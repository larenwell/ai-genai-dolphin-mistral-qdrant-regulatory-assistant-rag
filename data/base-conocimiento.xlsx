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FPA" sheetId="1" r:id="rId4"/>
    <sheet state="visible" name="FMDS" sheetId="2" r:id="rId5"/>
    <sheet state="visible" name="RNE" sheetId="3" r:id="rId6"/>
    <sheet state="visible" name="Gestion" sheetId="4" r:id="rId7"/>
    <sheet state="visible" name="ISO" sheetId="5" r:id="rId8"/>
    <sheet state="visible" name="SST" sheetId="6" r:id="rId9"/>
    <sheet state="visible" name="Medio Ambiente" sheetId="7" r:id="rId10"/>
    <sheet state="visible" name="ASIS" sheetId="8" r:id="rId11"/>
    <sheet state="hidden" name="catalogo" sheetId="9" r:id="rId12"/>
    <sheet state="hidden" name="resultados de ingesta" sheetId="10" r:id="rId13"/>
  </sheets>
  <definedNames>
    <definedName hidden="1" localSheetId="0" name="_xlnm._FilterDatabase">NFPA!$A$1:$AQ$23</definedName>
    <definedName hidden="1" localSheetId="1" name="_xlnm._FilterDatabase">FMDS!$J$1:$AQ$226</definedName>
    <definedName hidden="1" localSheetId="2" name="_xlnm._FilterDatabase">RNE!$A$1:$AP$122</definedName>
    <definedName hidden="1" localSheetId="3" name="_xlnm._FilterDatabase">Gestion!$A$1:$AP$27</definedName>
    <definedName hidden="1" localSheetId="5" name="_xlnm._FilterDatabase">SST!$A$1:$AQ$144</definedName>
    <definedName hidden="1" localSheetId="6" name="_xlnm._FilterDatabase">'Medio Ambiente'!$A$2:$AQ$109</definedName>
  </definedNames>
  <calcPr/>
  <pivotCaches>
    <pivotCache cacheId="0" r:id="rId14"/>
  </pivotCaches>
  <extLst>
    <ext uri="GoogleSheetsCustomDataVersion2">
      <go:sheetsCustomData xmlns:go="http://customooxmlschemas.google.com/" r:id="rId15" roundtripDataChecksum="wcp2HVpF0bQN3fFMR0QnXuFgKQQ3VRPaBELU3v0QBfI="/>
    </ext>
  </extLst>
</workbook>
</file>

<file path=xl/sharedStrings.xml><?xml version="1.0" encoding="utf-8"?>
<sst xmlns="http://schemas.openxmlformats.org/spreadsheetml/2006/main" count="19178" uniqueCount="4660">
  <si>
    <t>temp</t>
  </si>
  <si>
    <t>obligatorio</t>
  </si>
  <si>
    <t>opcional</t>
  </si>
  <si>
    <t>Nro.</t>
  </si>
  <si>
    <t>nombre archivo</t>
  </si>
  <si>
    <t>codigo</t>
  </si>
  <si>
    <t>tipo</t>
  </si>
  <si>
    <t>idioma</t>
  </si>
  <si>
    <t>extensión</t>
  </si>
  <si>
    <t>condición</t>
  </si>
  <si>
    <t>peso (MB)</t>
  </si>
  <si>
    <t>Nro. páginas</t>
  </si>
  <si>
    <t>document_id</t>
  </si>
  <si>
    <t>source_file</t>
  </si>
  <si>
    <t>book_title</t>
  </si>
  <si>
    <t>language</t>
  </si>
  <si>
    <t>code</t>
  </si>
  <si>
    <t>full_name</t>
  </si>
  <si>
    <t>edition</t>
  </si>
  <si>
    <t>provider</t>
  </si>
  <si>
    <t>provider_full_name</t>
  </si>
  <si>
    <t>country</t>
  </si>
  <si>
    <t>scope</t>
  </si>
  <si>
    <t>status</t>
  </si>
  <si>
    <t>jerarquia_normativa</t>
  </si>
  <si>
    <t>is_base_regulation</t>
  </si>
  <si>
    <t>regulates</t>
  </si>
  <si>
    <t>regulated_by</t>
  </si>
  <si>
    <t>thematic_area</t>
  </si>
  <si>
    <t>tipo_principal</t>
  </si>
  <si>
    <t>tipo_secundario</t>
  </si>
  <si>
    <t>sector</t>
  </si>
  <si>
    <t>disciplina</t>
  </si>
  <si>
    <t>aplicabilidad</t>
  </si>
  <si>
    <t>topic_category</t>
  </si>
  <si>
    <t>subtopics</t>
  </si>
  <si>
    <t>keywords_manual</t>
  </si>
  <si>
    <t>publication_date</t>
  </si>
  <si>
    <t>effective_date</t>
  </si>
  <si>
    <t>expiration_date</t>
  </si>
  <si>
    <t>supersedes</t>
  </si>
  <si>
    <t>superseded_by</t>
  </si>
  <si>
    <t>related_standards</t>
  </si>
  <si>
    <t>complementary_norms</t>
  </si>
  <si>
    <t>conflicts_with</t>
  </si>
  <si>
    <t>derived_from</t>
  </si>
  <si>
    <t>Norma para Espumas de Baja, Media y Alta Expansión</t>
  </si>
  <si>
    <t>NFPA 11</t>
  </si>
  <si>
    <t>en</t>
  </si>
  <si>
    <t>DOCX</t>
  </si>
  <si>
    <t>ingestado</t>
  </si>
  <si>
    <t>NFPA_11_2024_ED_2024</t>
  </si>
  <si>
    <t>NFPA 11.docx</t>
  </si>
  <si>
    <t>NFPA 11 - Standard for Foam</t>
  </si>
  <si>
    <t>Standard for Low-, Medium-, and High-Expansion Foam</t>
  </si>
  <si>
    <t>NFPA</t>
  </si>
  <si>
    <t>National Fire Protection Association</t>
  </si>
  <si>
    <t>us</t>
  </si>
  <si>
    <t xml:space="preserve">internacional </t>
  </si>
  <si>
    <t>vigente</t>
  </si>
  <si>
    <t>proteccion_contra_incendios</t>
  </si>
  <si>
    <t>norma_tecnica_internacional</t>
  </si>
  <si>
    <t>estandar_proteccion_incendios</t>
  </si>
  <si>
    <t>seguridad_industrial</t>
  </si>
  <si>
    <t>seguridad_ocupacional</t>
  </si>
  <si>
    <t>sistemas_proteccion_activa</t>
  </si>
  <si>
    <t>espumas_contraincendios</t>
  </si>
  <si>
    <t>Espumas, Sistemas de Expansión, Agente Extintor, Aplicación</t>
  </si>
  <si>
    <t>2023-12-01</t>
  </si>
  <si>
    <t>2023-12-21</t>
  </si>
  <si>
    <t>null</t>
  </si>
  <si>
    <t>Norma para la Instalación de Sistemas de Rociadores</t>
  </si>
  <si>
    <t>NFPA 13</t>
  </si>
  <si>
    <t>PDF</t>
  </si>
  <si>
    <r>
      <rPr>
        <rFont val="Arial"/>
        <color theme="1"/>
      </rPr>
      <t>NFPA_13_2025_</t>
    </r>
    <r>
      <rPr>
        <rFont val="Arial"/>
        <color theme="1"/>
      </rPr>
      <t>ED_2025</t>
    </r>
  </si>
  <si>
    <t>NFPA 13.pdf</t>
  </si>
  <si>
    <t>NFPA 13 - Standard for Sprinkler</t>
  </si>
  <si>
    <t>Standard for the Installation of Sprinkler Systems</t>
  </si>
  <si>
    <t>rociadores_automaticos</t>
  </si>
  <si>
    <t>Rociadores Automáticos, Sistemas de Sprinklers, Instalación, Diseño</t>
  </si>
  <si>
    <t>2024-08-29</t>
  </si>
  <si>
    <t>2024-09-18</t>
  </si>
  <si>
    <t>Norma para la Instalación de Sistemas de Montantes y Mangueras</t>
  </si>
  <si>
    <t>NFPA 14</t>
  </si>
  <si>
    <t>NFPA_14_2024_ED_2024</t>
  </si>
  <si>
    <t>NFPA 14.docx</t>
  </si>
  <si>
    <t>NFPA 14 - Standard for  Standpipe and Hose</t>
  </si>
  <si>
    <t>Standard for the Installation of Standpipe and Hose Systems</t>
  </si>
  <si>
    <t>Sistemas_Fijos_de_Soporte</t>
  </si>
  <si>
    <t>Montantes, Sistemas de Mangueras, Tubería Vertical, Suministro de Agua</t>
  </si>
  <si>
    <t>2023-08-25</t>
  </si>
  <si>
    <t>2023-09-24</t>
  </si>
  <si>
    <t>Norma para Sistemas Fijos de Protección contra Incendios de Agua Pulverizada</t>
  </si>
  <si>
    <t>NFPA 15</t>
  </si>
  <si>
    <t>NFPA_15_2022_ED_2022</t>
  </si>
  <si>
    <t>NFPA 15.docx</t>
  </si>
  <si>
    <t xml:space="preserve">NFPA 15 - Standard for Water Spray </t>
  </si>
  <si>
    <t>Standard for Water Spray Fixed Systems for Fire Protection</t>
  </si>
  <si>
    <t>Pulverización de Agua, Sistemas Fijos, Supresión, Boquillas</t>
  </si>
  <si>
    <t>2020-11-26</t>
  </si>
  <si>
    <t>2020-12-16</t>
  </si>
  <si>
    <t>Norma para la Instalación de Bombas Estacionarias de Protección contra Incendios</t>
  </si>
  <si>
    <t>NFPA 20</t>
  </si>
  <si>
    <r>
      <rPr>
        <rFont val="Arial"/>
        <color theme="1"/>
        <sz val="10.0"/>
      </rPr>
      <t>NFPA_20_2025_</t>
    </r>
    <r>
      <rPr>
        <rFont val="Arial"/>
        <color theme="1"/>
        <sz val="10.0"/>
      </rPr>
      <t>ED_2025</t>
    </r>
  </si>
  <si>
    <t>NFPA 20.pdf</t>
  </si>
  <si>
    <t>NFPA 20 - Standard for the Installation of Stationary Pumps for Fire Protection</t>
  </si>
  <si>
    <t xml:space="preserve">NFPA 20 </t>
  </si>
  <si>
    <t>Standard for the Installation of Stationary Pumps for Fire Protection</t>
  </si>
  <si>
    <t>Bombas Estacionarias, Protección contra Incendios, Instalación, Suministro de Agua</t>
  </si>
  <si>
    <t>Norma para la Instalación de Tuberías para Servicio Privado de Incendios y sus Accesorio</t>
  </si>
  <si>
    <t>NFPA 24</t>
  </si>
  <si>
    <t>NFPA_24_2025_ED_2025</t>
  </si>
  <si>
    <t>NFPA 24.docx</t>
  </si>
  <si>
    <t>NFPA 24 - Standard for the Installation of Private Fire Service Mains and Their Appurtenances</t>
  </si>
  <si>
    <t xml:space="preserve">Standard for the Installation of Private Fire Service Mains and Their Appurtenances </t>
  </si>
  <si>
    <t>Tuberías para Servicio Privado de Incendios, Tubería Subterránea, Válvulas, Conexiones</t>
  </si>
  <si>
    <t>2024-04-22</t>
  </si>
  <si>
    <t>2024-05-12</t>
  </si>
  <si>
    <t>Norma para la Inspección, Prueba, y Mantenimiento de Sistemas de Protección contra Incendios a Base de Agua</t>
  </si>
  <si>
    <t>NFPA 25</t>
  </si>
  <si>
    <t>NFPA_25_2023_ED_2023</t>
  </si>
  <si>
    <t>NFPA 25.docx</t>
  </si>
  <si>
    <t>NFPA 25 - Standard for the Inspection, Testing, and Maintenance of Water-Based Fire Protection Systems</t>
  </si>
  <si>
    <t>Standard for the Inspection, Testing, and Maintenance of Water-Based Fire Protection Systems</t>
  </si>
  <si>
    <t>Inspección, Pruebas, Mantenimiento, Sistemas a Base de Agua</t>
  </si>
  <si>
    <t>2022-08-12</t>
  </si>
  <si>
    <t>2022-09-01</t>
  </si>
  <si>
    <t>Código de Líquidos Inflamables y Combustible</t>
  </si>
  <si>
    <t>NFPA 30</t>
  </si>
  <si>
    <t>NFPA_30_2024_ED_2024</t>
  </si>
  <si>
    <t>NFPA 30.docx</t>
  </si>
  <si>
    <t>NFPA 30 - Flammable and Combustible Liquids Code</t>
  </si>
  <si>
    <t>Flammable and Combustible Liquids Code</t>
  </si>
  <si>
    <t>Códigos_de_Seguridad_y_Detección</t>
  </si>
  <si>
    <t>Líquidos Inflamables, Líquidos Combustibles, Almacenamiento, Manejo Seguro</t>
  </si>
  <si>
    <t>2023-04-23</t>
  </si>
  <si>
    <t>2023-05-13</t>
  </si>
  <si>
    <t>Código Nacional de Alarmas de Incendios y Señalización</t>
  </si>
  <si>
    <t>NFPA 72</t>
  </si>
  <si>
    <t>NFPA_72_2025_ED_2025</t>
  </si>
  <si>
    <t>NFPA 72.docx</t>
  </si>
  <si>
    <t>NFPA 72 - National Fire Alarm and Signaling Code</t>
  </si>
  <si>
    <t>National Fire Alarm and Signaling Code</t>
  </si>
  <si>
    <t>Alarmas de Incendio, Detección, Señalización, Sistemas de Notificación</t>
  </si>
  <si>
    <t>Norma para los Sistemas de Control de Humo</t>
  </si>
  <si>
    <t>NFPA 92</t>
  </si>
  <si>
    <t>NFPA_92_2024_ED_2024</t>
  </si>
  <si>
    <t>NFPA 92.docx</t>
  </si>
  <si>
    <t>NFPA 92 - Standard for Smoke Control Systems</t>
  </si>
  <si>
    <t>Standard for Smoke Control Systems</t>
  </si>
  <si>
    <t>sistemas_proteccion_pasiva</t>
  </si>
  <si>
    <t>Sistemas de Control de Humo, Evacuación, Manejo de Humo, Barreras</t>
  </si>
  <si>
    <t>Código de Instalaciones de Cuidado de la Salud</t>
  </si>
  <si>
    <t>NFPA 99</t>
  </si>
  <si>
    <t>NFPA_99_2024_ED_2024</t>
  </si>
  <si>
    <t>NFPA 99.docx</t>
  </si>
  <si>
    <t>NFPA 99 - Health Care Facilities Code</t>
  </si>
  <si>
    <t>Health Care Facilities Code</t>
  </si>
  <si>
    <t>salud_ocupacional</t>
  </si>
  <si>
    <t>Instalaciones de Cuidado de la Salud, Equipos Médicos, Seguridad del Paciente, Riesgos Eléctricos</t>
  </si>
  <si>
    <t>2023-09-14</t>
  </si>
  <si>
    <t>Código de Seguridad Humana</t>
  </si>
  <si>
    <t>NFPA 101</t>
  </si>
  <si>
    <t>NFPA_101_2024_ED_2024</t>
  </si>
  <si>
    <t>NFPA 101.docx</t>
  </si>
  <si>
    <t>NFPA 101 - Life Safety Code</t>
  </si>
  <si>
    <t xml:space="preserve">Life Safety Code </t>
  </si>
  <si>
    <t>Código de Seguridad Humana, Medios de Egreso, Evacuación, Ocupación</t>
  </si>
  <si>
    <t>Código de Seguridad y Construcción de Edificios</t>
  </si>
  <si>
    <t>NFPA 5000</t>
  </si>
  <si>
    <t>NFPA_5000_2024_ED_2024</t>
  </si>
  <si>
    <t>NFPA 5000.docx</t>
  </si>
  <si>
    <t>NFPA 5000 - Building Construction and Safety Code</t>
  </si>
  <si>
    <t>Building Construction and Safety Code</t>
  </si>
  <si>
    <t>requisitos_constructivos</t>
  </si>
  <si>
    <t>Código de Edificación, Seguridad en la Construcción, Ocupación, Diseño Estructural</t>
  </si>
  <si>
    <t>Código para la Fabricación y Almacenamiento de Productos en Aerosol</t>
  </si>
  <si>
    <t>NFPA 30B</t>
  </si>
  <si>
    <t>NFPA_30B_2023_ED_2023</t>
  </si>
  <si>
    <t>NFPA 30B.pdf</t>
  </si>
  <si>
    <t>NFPA 30B-Code for the Manufacture and Storage of Aerosol Products</t>
  </si>
  <si>
    <t>Code for the Manufacture and Storage of Aerosol Products</t>
  </si>
  <si>
    <t>Rociadores_Automatico</t>
  </si>
  <si>
    <t>Aerosoles, Fabricación, Almacenamiento, Productos</t>
  </si>
  <si>
    <t>2022-03-20</t>
  </si>
  <si>
    <t>2022-04-09</t>
  </si>
  <si>
    <t>Norma para la instalación y uso de motores de combustión estacionarios y turbinas de gas</t>
  </si>
  <si>
    <t>NFPA 37</t>
  </si>
  <si>
    <t>NFPA_37_2024_ED_2024</t>
  </si>
  <si>
    <t>NFPA 37.pdf</t>
  </si>
  <si>
    <t>NFPA 37-Standard for the Installation and Use of Stationary Combustion Engines and Gas Turbines</t>
  </si>
  <si>
    <t>Standard for the Installation and Use of Stationary Combustion Engines and Gas Turbines</t>
  </si>
  <si>
    <t>Estructuras_Edificaciones</t>
  </si>
  <si>
    <t>Motores de combustión, Turbinas de gas, Instalación, Estacionario</t>
  </si>
  <si>
    <t>Norma para Plantas de Extracción de Solventes</t>
  </si>
  <si>
    <t>NFPA 36</t>
  </si>
  <si>
    <t>NFPA_36_2025_ED_2025</t>
  </si>
  <si>
    <t>NFPA 36.pdf</t>
  </si>
  <si>
    <t>NFPA 36-Standard for Solvent Extraction Plants</t>
  </si>
  <si>
    <t>Standard for Solvent Extraction Plants</t>
  </si>
  <si>
    <t>Auditorias_Inspecciones</t>
  </si>
  <si>
    <t>Extracción por solventes, Plantas, Volátiles, Seguridad</t>
  </si>
  <si>
    <t>2024-11-16</t>
  </si>
  <si>
    <t>2024-12-06</t>
  </si>
  <si>
    <t>Norma para la Protección contra Incendios de Laboratorios que Usan Químicos</t>
  </si>
  <si>
    <t>NFPA 45</t>
  </si>
  <si>
    <t>NFPA_45_2024_ED_2024</t>
  </si>
  <si>
    <t>NFPA 45.pdf</t>
  </si>
  <si>
    <t>NFPA 45-Standard on Fire Protection for Laboratories Using Chemicals</t>
  </si>
  <si>
    <t>Standard on Fire Protection for Laboratories Using Chemicals</t>
  </si>
  <si>
    <t>Equipos_Proteccion_Personal</t>
  </si>
  <si>
    <t>Laboratorios, Químicos, Protección contra incendios, Peligros</t>
  </si>
  <si>
    <t>2023-07-21</t>
  </si>
  <si>
    <t>2023-08-10</t>
  </si>
  <si>
    <t>Norma para la seguridad eléctrica en el lugar de trabajo</t>
  </si>
  <si>
    <t>NFPA 70E</t>
  </si>
  <si>
    <t>NFPA_70E_2024_ED_2024</t>
  </si>
  <si>
    <t>NFPA 70E.pdf</t>
  </si>
  <si>
    <t>NFPA 70E-Standard for Electrical Safety in the Workplace</t>
  </si>
  <si>
    <t>Standard for Electrical Safety in the Workplace</t>
  </si>
  <si>
    <t>Seguridad eléctrica, Lugar de trabajo, Riesgo de arco, Descargas</t>
  </si>
  <si>
    <t>Norma para tanques de agua para protección privada contra incendios</t>
  </si>
  <si>
    <t>NFPA 22</t>
  </si>
  <si>
    <t>NFPA_22_2023_ED_2023</t>
  </si>
  <si>
    <t>NFPA 22.pdf</t>
  </si>
  <si>
    <t>NFPA 22-Standard for Water Tanks for Private Fire Protection</t>
  </si>
  <si>
    <t>Standard for Water Tanks for Private Fire Protection</t>
  </si>
  <si>
    <t>Tanques de agua, Protección privada, Suministro de agua, Incendios</t>
  </si>
  <si>
    <t>2022-04-14</t>
  </si>
  <si>
    <t>2022-05-04</t>
  </si>
  <si>
    <t>Norma para la Instalación de Sistemas de Aire Acondicionado y Ventilación</t>
  </si>
  <si>
    <t>NFPA 90A</t>
  </si>
  <si>
    <t>NFPA_90A_2024_ED_2024</t>
  </si>
  <si>
    <t>NFPA 90A.pdf</t>
  </si>
  <si>
    <t>NFPA 90A-Standard for the Installation of Air-Conditioning and Ventilating Systems</t>
  </si>
  <si>
    <t>Standard for the Installation of Air-Conditioning and Ventilating Systems</t>
  </si>
  <si>
    <t>Sistemas de ventilación, Aire acondicionado, Instalación, Ductos</t>
  </si>
  <si>
    <t>Práctica Recomendad de Electricidad Estática</t>
  </si>
  <si>
    <t>NFPA 77</t>
  </si>
  <si>
    <t>NFPA_77_2024_ED_2024</t>
  </si>
  <si>
    <t>NFPA 77.pdf</t>
  </si>
  <si>
    <t>NFPA 77-Recommended Practice on Static Electricity</t>
  </si>
  <si>
    <t>Recommended Practice on Static Electricity</t>
  </si>
  <si>
    <t>Electricidad estática, Práctica recomendada, Control, Aterrizaje</t>
  </si>
  <si>
    <t>Norma para pruebas integradas de sistemas de protección contra incendios y seguridad humana</t>
  </si>
  <si>
    <t>NFPA 04</t>
  </si>
  <si>
    <t>NFPA_04_2024_ED_2024</t>
  </si>
  <si>
    <t>NFPA 04.pdf</t>
  </si>
  <si>
    <t>NFPA 04 - Standard for Integrated Fire Protection and Life Safety System Testing</t>
  </si>
  <si>
    <t>Standard for Integrated Fire Protection and Life Safety System Testing</t>
  </si>
  <si>
    <t>internacional</t>
  </si>
  <si>
    <t>Seguridad en la vida, certificado de ocupación, plan de pruebas, estandarización</t>
  </si>
  <si>
    <t>Norma para extintores portátiles</t>
  </si>
  <si>
    <t>NFPA 10</t>
  </si>
  <si>
    <t>NFPA_10_2026_ED_2026</t>
  </si>
  <si>
    <t>NFPA 10.pdf</t>
  </si>
  <si>
    <t>NFPA 10 - Standard for Portable Fire Extinguishers</t>
  </si>
  <si>
    <t>Standard for Portable Fire Extinguishers</t>
  </si>
  <si>
    <t>Equipos_Proteccion</t>
  </si>
  <si>
    <t>mantenimiento, capacitación, extintores portátiles, inspección</t>
  </si>
  <si>
    <t>2025-08-20</t>
  </si>
  <si>
    <t>2025-09-09</t>
  </si>
  <si>
    <t>Norma para la protección contra incendios de equipos de tecnología de la información</t>
  </si>
  <si>
    <t>NFPA 75</t>
  </si>
  <si>
    <t>NFPA_75_2024_ED_2024</t>
  </si>
  <si>
    <t>NFPA 75.pdf</t>
  </si>
  <si>
    <t>NFPA 75 - Standard for the Fire Protection of Information Technology Equipment</t>
  </si>
  <si>
    <t>Standard for the Fire Protection of Information Technology Equipment</t>
  </si>
  <si>
    <t>centro de datos, mantenimiento, requisitos de protección , detección de incendios</t>
  </si>
  <si>
    <t>Norma para estructuras de estacionamiento</t>
  </si>
  <si>
    <t>NFPA 88A</t>
  </si>
  <si>
    <t>NFPA_88A_2023_ED_2023</t>
  </si>
  <si>
    <t>NFPA 88A.pdf</t>
  </si>
  <si>
    <t>NFPA 88A - Standard for Parking Structures</t>
  </si>
  <si>
    <t>Standard for Parking Structures</t>
  </si>
  <si>
    <t>diseño, control de riesgos, códigos de construcción, ventilación, sistema de detección</t>
  </si>
  <si>
    <t>Norma sobre sistemas de extinción de incendios con agentes limpios</t>
  </si>
  <si>
    <t>NFPA 2001</t>
  </si>
  <si>
    <t>NFPA_2001_2025_ED_2025</t>
  </si>
  <si>
    <t>NFPA 2001.pdf</t>
  </si>
  <si>
    <t>NFPA 2001 - Standard on Clean Agent Fire Extinguishing Systems</t>
  </si>
  <si>
    <t>Extinción de gases, detección de incendios, segguridad, planeación de emergencia, materiales peligrosos</t>
  </si>
  <si>
    <t>Código de incendios</t>
  </si>
  <si>
    <t>NFPA 01</t>
  </si>
  <si>
    <t>NFPA_01_2024_ED_2024</t>
  </si>
  <si>
    <t>NFPA 01.pdf</t>
  </si>
  <si>
    <t>NFPA 01 - Fire Code</t>
  </si>
  <si>
    <t>Fire Code</t>
  </si>
  <si>
    <t>Prevención de incendios, seguridad estructural, accesibilidad, control de riesgos, auditoria de seguridad</t>
  </si>
  <si>
    <t>Norma para la puesta en servicio de sistemas de protección contra incendios y seguridad humana</t>
  </si>
  <si>
    <t>NFPA 03</t>
  </si>
  <si>
    <t>NFPA_03_2024_ED_2024</t>
  </si>
  <si>
    <t>NFPA 03.pdf</t>
  </si>
  <si>
    <t>NFPA 03 - Standard for Commissioning of Fire Protection and Life Safety Systems</t>
  </si>
  <si>
    <t>Standard for Commissioning of Fire Protection and Life Safety Systems</t>
  </si>
  <si>
    <t>Vida, seguridad, documentación, instalación, evaluación</t>
  </si>
  <si>
    <t>Norma sobre sistemas de extinción de dióxido de carbono</t>
  </si>
  <si>
    <t>NFPA 12</t>
  </si>
  <si>
    <t>es</t>
  </si>
  <si>
    <t>NFPA_12_2025_ED_2025</t>
  </si>
  <si>
    <t>NFPA 12.pdf</t>
  </si>
  <si>
    <t>NFPA 12 - Standard on Carbon Dioxide Extinguishing Systems</t>
  </si>
  <si>
    <t>Standard on Carbon Dioxide Extinguishing Systems</t>
  </si>
  <si>
    <t>Dióxido de carbono, prevención de incendios, pruebas de funcionamiento, requisitos normativos</t>
  </si>
  <si>
    <t>Norma para la instalación de sistemas de rociadores de espuma y agua y sistemas de pulverización de espuma y agua</t>
  </si>
  <si>
    <t>NFPA 16</t>
  </si>
  <si>
    <t>NFPA_16_2019_ED_2019</t>
  </si>
  <si>
    <t>NFPA 16.pdf</t>
  </si>
  <si>
    <t>NFPA 16 - Standard for the Installation of Foam-Water Sprinkler and Foam-Water Spray Systems</t>
  </si>
  <si>
    <t>Standard for the Installation of Foam-Water Sprinkler and Foam-Water Spray Systems</t>
  </si>
  <si>
    <t>Diseño de sistema, clasificación de riesgos, control de incendios, agentes extintores, rociadores de espuma, sistema de rociadores</t>
  </si>
  <si>
    <t>2018-05-05</t>
  </si>
  <si>
    <t>2018-05-25</t>
  </si>
  <si>
    <t>Norma para sistemas de extinción con polvo químico seco</t>
  </si>
  <si>
    <t>NFPA 17</t>
  </si>
  <si>
    <t>por ingestar</t>
  </si>
  <si>
    <t>NFPA_17_2024_ED_2024</t>
  </si>
  <si>
    <t>NFPA 17.pdf</t>
  </si>
  <si>
    <t>NFPA 17 - Standard for Dry Chemical Extinguishing Systems</t>
  </si>
  <si>
    <t>Standard for Dry Chemical Extinguishing Systems</t>
  </si>
  <si>
    <t>Extinción, agentes, seguridad, capacitación, configuración</t>
  </si>
  <si>
    <t>Norma sobre agentes humectantes</t>
  </si>
  <si>
    <t>NFPA 18</t>
  </si>
  <si>
    <t>NFPA_18_2021_ED_2021</t>
  </si>
  <si>
    <t>NFPA 18.pdf</t>
  </si>
  <si>
    <t>NFPA 18 - Standard on Wetting Agent</t>
  </si>
  <si>
    <t>Standard on Wetting Agent</t>
  </si>
  <si>
    <t>Humedad, incendios, aditivos, aplicación, mitigación</t>
  </si>
  <si>
    <t>Norma para la instalación de equipos que queman petróleo</t>
  </si>
  <si>
    <t>NFPA 31</t>
  </si>
  <si>
    <t>NFPA_31_2024_ED_2024</t>
  </si>
  <si>
    <t>NFPA 31.pdf</t>
  </si>
  <si>
    <t>NFPA 31 - Standard for the Installation of Oil-Burning Equipment</t>
  </si>
  <si>
    <t>Standard for the Installation of Oil-Burning Equipment</t>
  </si>
  <si>
    <t>instalación, petróleo, eficiencia, requisitos, normativa</t>
  </si>
  <si>
    <t>Norma para instalaciones de limpieza en seco</t>
  </si>
  <si>
    <t>NFPA 32</t>
  </si>
  <si>
    <t>NFPA_32_2026_ED_2026</t>
  </si>
  <si>
    <t>NFPA 32.pdf</t>
  </si>
  <si>
    <t>NFPA 32 - Standard for Drycleaning Facilities</t>
  </si>
  <si>
    <t>Standard for Drycleaning Facilities</t>
  </si>
  <si>
    <t>Norma para la aplicación por pulverización con materiales inflamables o combustibles</t>
  </si>
  <si>
    <t>NFPA 33</t>
  </si>
  <si>
    <t>NFPA_33_2024_ED_2024</t>
  </si>
  <si>
    <t>NFPA 33.pdf</t>
  </si>
  <si>
    <t>NFPA 33 - Standard for Spray Application Using Flammable or Combustible Materials</t>
  </si>
  <si>
    <t>Standard for Spray Application Using Flammable or Combustible Materials</t>
  </si>
  <si>
    <t>Norma para procesos de inmersión, recubrimiento e impresión con líquidos inflamables o combustibles</t>
  </si>
  <si>
    <t>NFPA 34</t>
  </si>
  <si>
    <t>NFPA_34_2024_ED_2024</t>
  </si>
  <si>
    <t>NFPA 34.pdf</t>
  </si>
  <si>
    <t>NFPA 34 - Standard for Dipping, Coating, and Printing Processes Using Flammable or Combustible Liquids</t>
  </si>
  <si>
    <t>Standard for Dipping, Coating, and Printing Processes Using Flammable or Combustible Liquids</t>
  </si>
  <si>
    <t>Medidas de protección, etiquetado, almacenamiento, inflamabilidad, aerosoles</t>
  </si>
  <si>
    <t>Norma para la fabricación de recubrimientos orgánicos</t>
  </si>
  <si>
    <t>NFPA 35</t>
  </si>
  <si>
    <t>NFPA_35_2026_ED_2026</t>
  </si>
  <si>
    <t>NFPA 35.pdf</t>
  </si>
  <si>
    <t>NFPA 35 - Standard for the Manufacture of Organic Coatings</t>
  </si>
  <si>
    <t>Standard for the Manufacture of Organic Coatings</t>
  </si>
  <si>
    <t>Revestimientos orgánicos, inflamabilidad, ventilación, regulaciones, fabricación</t>
  </si>
  <si>
    <t>Norma para el almacenamiento y manejo de películas de nitrato de celulosa</t>
  </si>
  <si>
    <t>NFPA 40</t>
  </si>
  <si>
    <t>NFPA_35_2025_ED_2025</t>
  </si>
  <si>
    <t>NFPA 40.pdf</t>
  </si>
  <si>
    <t>NFPA 40 - Standard for the Storage and Handling of Cellulose Nitrate Film</t>
  </si>
  <si>
    <t>Standard for the Storage and Handling of Cellulose Nitrate Film</t>
  </si>
  <si>
    <t>Riesgos, contenedores, sistemas de ventilación, seguridad, almacenamiento</t>
  </si>
  <si>
    <t>Norma para el diseño e instalación de sistemas de oxígeno-gas combustible para soldadura, corte y procesos afines</t>
  </si>
  <si>
    <t>NFPA 51</t>
  </si>
  <si>
    <t>NFPA_51_2023_ED_2023</t>
  </si>
  <si>
    <t>NFPA 51.pdf</t>
  </si>
  <si>
    <t>NFPA 51 - Standard for the Design and Installation of Oxygen-Fuel Gas Systems for Welding, Cutting, and Allied Processes</t>
  </si>
  <si>
    <t>Standard for the Design and Installation of Oxygen-Fuel Gas Systems for Welding, Cutting, and Allied Processes</t>
  </si>
  <si>
    <t>Oxígeno, seguridad, mantenimiento, diseño, instalación</t>
  </si>
  <si>
    <t>Norma para la Prevención de Incendios durante Soldadura, Corte y Otros Trabajos en Caliente</t>
  </si>
  <si>
    <t>NFPA 51B</t>
  </si>
  <si>
    <t xml:space="preserve">NFPA </t>
  </si>
  <si>
    <t>NFPA_51B_2023_ED_2023</t>
  </si>
  <si>
    <t>NFPA 51B.pdf</t>
  </si>
  <si>
    <t>NFPA 51B - Standard for Fire Prevention During Welding, Cutting, and Other Hot Work</t>
  </si>
  <si>
    <t>Standard for Fire Prevention During Welding, Cutting, and Other Hot Work</t>
  </si>
  <si>
    <t>Corte, medidas de control, trabajo caliente, welding, prevención de incendios, ventilación</t>
  </si>
  <si>
    <t>Código de Sistemas de Combustible de Gas Natural Vehicular</t>
  </si>
  <si>
    <t>NFPA 52</t>
  </si>
  <si>
    <t>NFPA_52_2026_ED_2026</t>
  </si>
  <si>
    <t>NFPA 52.pdf</t>
  </si>
  <si>
    <t>NFPA 52 - Vehicular Natural Gas Fuel Systems Code</t>
  </si>
  <si>
    <t>Vehicular Natural Gas Fuel Systems Code</t>
  </si>
  <si>
    <t>Práctica recomendada sobre materiales, equipos y sistemas utilizados en atmósferas enriquecidas con oxígeno</t>
  </si>
  <si>
    <t>NFPA 53</t>
  </si>
  <si>
    <t>NFPA_53_2026_ED_2026</t>
  </si>
  <si>
    <t>NFPA 53.pdf</t>
  </si>
  <si>
    <t>NFPA 53 - Recommended Practice on Materials, Equipment, and Systems Used in Oxygen-Enriched Atmospheres</t>
  </si>
  <si>
    <t xml:space="preserve">Recommended Practice on Materials, Equipment, and Systems Used in Oxygen-Enriched Atmospheres </t>
  </si>
  <si>
    <t>Código Nacional de Gas Combustible</t>
  </si>
  <si>
    <t>NFPA 54</t>
  </si>
  <si>
    <t>NFPA_54_2024_ED_2024</t>
  </si>
  <si>
    <t>NFPA 54.pdf</t>
  </si>
  <si>
    <t>NFPA 54/ANSI Z223.1 - National Fuel Gas Code</t>
  </si>
  <si>
    <t>National Fuel Gas Code</t>
  </si>
  <si>
    <t>Código de Gases Comprimidos y Fluidos Criogénicos</t>
  </si>
  <si>
    <t>NFPA 55</t>
  </si>
  <si>
    <t>NFPA_55_2023_ED_2023</t>
  </si>
  <si>
    <t>NFPA 55.pdf</t>
  </si>
  <si>
    <t xml:space="preserve">NFPA 55 - Compressed Gases and Cryogenic Fluids Code </t>
  </si>
  <si>
    <t>Compressed Gases and Cryogenic Fluids Code</t>
  </si>
  <si>
    <t>Norma para la Prevención de Incendios y Explosiones durante la Limpieza y Purga de Sistemas de Tuberías de Gas Inflamable</t>
  </si>
  <si>
    <t>NFPA 56</t>
  </si>
  <si>
    <t>NFPA_56_2023_ED_2023</t>
  </si>
  <si>
    <t>NFPA 56.pdf</t>
  </si>
  <si>
    <t>NFPA 56 - Standard for Fire and Explosion Prevention During Cleaning and Purging of Flammable Gas Piping Systems</t>
  </si>
  <si>
    <t>Standard for Fire and Explosion Prevention During Cleaning and Purging of Flammable Gas Piping Systems</t>
  </si>
  <si>
    <t>SAFEGUARDS DURING CONSTRUCTION, ALTERATION, AND DEMOLITION</t>
  </si>
  <si>
    <t>FMDS0100</t>
  </si>
  <si>
    <t>FMDS_0100_2023_ED_2023</t>
  </si>
  <si>
    <t>FMDS0100.pdf</t>
  </si>
  <si>
    <t>FMDS 0100</t>
  </si>
  <si>
    <t>FMDS</t>
  </si>
  <si>
    <t>FM Global Property Loss Prevention Data Sheets</t>
  </si>
  <si>
    <t>seguridad_salud_trabajo</t>
  </si>
  <si>
    <t>ficha_tecnica</t>
  </si>
  <si>
    <t>guia_instalacion</t>
  </si>
  <si>
    <t>proteccion_contra_incendios, seguridad_ocupacional, higiene_industrial, prevencion_riesgos</t>
  </si>
  <si>
    <t>Gestión_y_Planificación_de_Riesgos</t>
  </si>
  <si>
    <t>Construcción, Demolición, Alteración, Salvaguardas</t>
  </si>
  <si>
    <t>EARTHQUAKES</t>
  </si>
  <si>
    <t>FMDS0102</t>
  </si>
  <si>
    <t>FMDS_0102_2024_ED_2024</t>
  </si>
  <si>
    <t>FMDS0102.pdf</t>
  </si>
  <si>
    <t>FMDS 0102</t>
  </si>
  <si>
    <t>construccion_edificaciones</t>
  </si>
  <si>
    <t>especificacion_producto</t>
  </si>
  <si>
    <t>construccion</t>
  </si>
  <si>
    <t>estructuras, arquitectura, instalaciones_sanitarias, instalaciones_electricas, geotecnia</t>
  </si>
  <si>
    <t>estructuras_edificaciones</t>
  </si>
  <si>
    <t>Sismo, Cargas Sísmicas, Diseño Estructural, Riesgo Natural</t>
  </si>
  <si>
    <t>HIGH-RISE BUILDINGS</t>
  </si>
  <si>
    <t>FMDS0103</t>
  </si>
  <si>
    <t>FMDS_0103_2013_ED_2013</t>
  </si>
  <si>
    <t>FMDS0103.pdf</t>
  </si>
  <si>
    <t>FMDS 0103</t>
  </si>
  <si>
    <t>Edificios Altos, Riesgo Estructural, Diseño, Protección</t>
  </si>
  <si>
    <t>FIRE TESTS</t>
  </si>
  <si>
    <t>FMDS0104</t>
  </si>
  <si>
    <t>FMDS_0104_2019_ED_2019</t>
  </si>
  <si>
    <t>FMDS0104.pdf</t>
  </si>
  <si>
    <t>FMDS 0104</t>
  </si>
  <si>
    <t>Protección_Estructural_y_Eléctrica</t>
  </si>
  <si>
    <t>Pruebas de Fuego, Clasificación, Ensambles, Resistencia</t>
  </si>
  <si>
    <t>COOLING TOWERS</t>
  </si>
  <si>
    <t>FMDS0106</t>
  </si>
  <si>
    <t>FMDS_0106_2020_ED_2020</t>
  </si>
  <si>
    <t>FMDS0106.pdf</t>
  </si>
  <si>
    <t>FMDS 0106</t>
  </si>
  <si>
    <t>Torres de Enfriamiento, Riesgo de Fuego, Materiales, Mantenimiento</t>
  </si>
  <si>
    <t>ROOF ANCHORAGE FOR OLDER, WOOD-ROOFED BUILDINGS</t>
  </si>
  <si>
    <t>FMDS0109</t>
  </si>
  <si>
    <t>FMDS_0109_2020_ED_2020</t>
  </si>
  <si>
    <t>FMDS0109.pdf</t>
  </si>
  <si>
    <t>FMDS 0109</t>
  </si>
  <si>
    <t>Anclaje de Techo, Madera, Edificios Viejos, Refuerzo</t>
  </si>
  <si>
    <t>INTERACTION OF SPRINKLERS, SMOKE AND HEAT VENTS, AND DRAFT CURTAINS</t>
  </si>
  <si>
    <t>FMDS0110</t>
  </si>
  <si>
    <t>FMDS_0110_2011_ED_2011</t>
  </si>
  <si>
    <t>FMDS0110.pdf</t>
  </si>
  <si>
    <t>FMDS 0110</t>
  </si>
  <si>
    <t>Diseño_e_Integración_de_Sistemas_Activos</t>
  </si>
  <si>
    <t>Sprinklers, Ventilación de Humo, Barreras, Interacción</t>
  </si>
  <si>
    <t>FIRE FOLLOWING EARTHQUAKE</t>
  </si>
  <si>
    <t>FMDS0111</t>
  </si>
  <si>
    <t>FMDS_0111_2025_ED_2025</t>
  </si>
  <si>
    <t>FMDS0111.pdf</t>
  </si>
  <si>
    <t>FMDS 0111</t>
  </si>
  <si>
    <t>Fuego Post-Sismo, Consecuencias, Planificación, Mitigación</t>
  </si>
  <si>
    <t>CEILINGS AND CONCEALED SPACES</t>
  </si>
  <si>
    <t>FMDS0112</t>
  </si>
  <si>
    <t>FMDS_0112_2025_ED_2025</t>
  </si>
  <si>
    <t>FMDS0112.pdf</t>
  </si>
  <si>
    <t>FMDS 0112</t>
  </si>
  <si>
    <t>Cielorrasos, Espacios Ocultos, Barreras de Fuego, Propagación</t>
  </si>
  <si>
    <t>ROOF-MOUNTED SOLAR PHOTOVOLTAIC PANELS</t>
  </si>
  <si>
    <t>FMDS0115</t>
  </si>
  <si>
    <t>FMDS_0115_2025_ED_2025</t>
  </si>
  <si>
    <t>FMDS0115.pdf</t>
  </si>
  <si>
    <t>FMDS 0115</t>
  </si>
  <si>
    <t>Paneles Solares, Instalación en Techos, Riesgo de Fuego, Montaje</t>
  </si>
  <si>
    <t>REFLECTIVE WALL AND CEILING INSULATION</t>
  </si>
  <si>
    <t>FMDS0117</t>
  </si>
  <si>
    <t>FMDS_0117_2023_ED_2023</t>
  </si>
  <si>
    <t>FMDS0117.pdf</t>
  </si>
  <si>
    <t>FMDS 0117</t>
  </si>
  <si>
    <t>Aislamiento Reflectante, Riesgo de Fuego, Clasificación, Materiales</t>
  </si>
  <si>
    <t>PROTECTION AGAINST EXTERIOR FIRE EXPOSURE</t>
  </si>
  <si>
    <t>FMDS0120</t>
  </si>
  <si>
    <t>FMDS_0120_2025_ED_2025</t>
  </si>
  <si>
    <t>FMDS0120.pdf</t>
  </si>
  <si>
    <t>FMDS 0120</t>
  </si>
  <si>
    <t>Exposición Externa, Protección de Edificios, Separación, Aberturas</t>
  </si>
  <si>
    <t>FIRE RESISTANCE OF BUILDING ASSEMBLIES</t>
  </si>
  <si>
    <t>FMDS0121</t>
  </si>
  <si>
    <t>FMDS_0121_2012_ED_2012</t>
  </si>
  <si>
    <t>FMDS0121.pdf</t>
  </si>
  <si>
    <t>FMDS 0121</t>
  </si>
  <si>
    <t>Resistencia al Fuego, Ensambles Constructivos, Clasificación, Requisito</t>
  </si>
  <si>
    <t>MAXIMUM FORESEEABLE LOSS</t>
  </si>
  <si>
    <t>FMDS0122</t>
  </si>
  <si>
    <t>FMDS_0122_2025_ED_2025</t>
  </si>
  <si>
    <t>FMDS0122.pdf</t>
  </si>
  <si>
    <t>FMDS 0122</t>
  </si>
  <si>
    <t>Pérdida Máxima Previsible, Evaluación de Riesgo, Límite, Seguros</t>
  </si>
  <si>
    <t>PROTECTION AGAINST LIQUID DAMAGE IN LIGHT-HAZARD OCCUPANCIES</t>
  </si>
  <si>
    <t>FMDS0124</t>
  </si>
  <si>
    <t>FMDS_0124_2024_ED_2024</t>
  </si>
  <si>
    <t>FMDS0124.pdf</t>
  </si>
  <si>
    <t>FMDS 0124</t>
  </si>
  <si>
    <t>Daño por Líquidos, Ocupaciones de Riesgo Ligero, Drenaje, Prevención</t>
  </si>
  <si>
    <t>WIND DESIGN</t>
  </si>
  <si>
    <t>FMDS0128</t>
  </si>
  <si>
    <t>FMDS_0128_2025_ED_2025</t>
  </si>
  <si>
    <t>FMDS0128.pdf</t>
  </si>
  <si>
    <t>FMDS 0128</t>
  </si>
  <si>
    <t>Diseño de Viento, Cargas de Viento, Resistencia, Edificación</t>
  </si>
  <si>
    <t>ROOF DECK SECUREMENT AND ABOVE-DECK ROOF COMPONENTS</t>
  </si>
  <si>
    <t>FMDS0129</t>
  </si>
  <si>
    <t>FMDS_0129_2022_ED_2022</t>
  </si>
  <si>
    <t>FMDS0129.pdf</t>
  </si>
  <si>
    <t>FMDS 0129</t>
  </si>
  <si>
    <t>Fijación de Cubierta, Componentes de Techo, Instalación, Seguridad</t>
  </si>
  <si>
    <t>PANEL ROOF SYSTEMS</t>
  </si>
  <si>
    <t>FMDS0131</t>
  </si>
  <si>
    <t>FMDS_0131_2024_ED_2024</t>
  </si>
  <si>
    <t>FMDS0131.pdf</t>
  </si>
  <si>
    <t>FMDS 0131</t>
  </si>
  <si>
    <t>Paneles de Techo, Sistemas Prefabricados, Diseño, Requisitos</t>
  </si>
  <si>
    <t>SAFEGUARDING TORCH-APPLIED ROOF INSTALLATIONS</t>
  </si>
  <si>
    <t>FMDS0133</t>
  </si>
  <si>
    <t>FMDS_0133_2017_ED_2017</t>
  </si>
  <si>
    <t>FMDS0133.pdf</t>
  </si>
  <si>
    <t>FMDS 0133</t>
  </si>
  <si>
    <t>Techos con Soplete, Instalación Segura, Procedimiento, Permisos</t>
  </si>
  <si>
    <t>HAIL DAMAGE</t>
  </si>
  <si>
    <t>FMDS0134</t>
  </si>
  <si>
    <t>FMDS_0134_2025_ED_2025</t>
  </si>
  <si>
    <t>FMDS0134.pdf</t>
  </si>
  <si>
    <t>FMDS 0134</t>
  </si>
  <si>
    <t>Daño por Granizo, Techos, Evaluación de Riesgo, Prevención</t>
  </si>
  <si>
    <t>VEGETATIVE ROOF SYSTEMS, OCCUPIED ROOF AREAS AND DECKS</t>
  </si>
  <si>
    <t>FMDS0135</t>
  </si>
  <si>
    <t>FMDS_0135_2024_ED_2024</t>
  </si>
  <si>
    <t>FMDS0135.pdf</t>
  </si>
  <si>
    <t>FMDS 0135</t>
  </si>
  <si>
    <t>Techos Verdes, Cubiertas Vegetales, Diseño, Cargas</t>
  </si>
  <si>
    <t>MASS ENGINEERED TIMBER</t>
  </si>
  <si>
    <t>FMDS0136</t>
  </si>
  <si>
    <t>FMDS_0136_2023_ED_2023</t>
  </si>
  <si>
    <t>FMDS0136.pdf</t>
  </si>
  <si>
    <t>FMDS 0136</t>
  </si>
  <si>
    <t>Madera Laminada, Estructuras Masivas, Resistencia al Fuego, Diseño</t>
  </si>
  <si>
    <t>FLOOD</t>
  </si>
  <si>
    <t>FMDS0140</t>
  </si>
  <si>
    <t>FMDS_0140_2025_ED_2025</t>
  </si>
  <si>
    <t>FMDS0140.pdf</t>
  </si>
  <si>
    <t>FMDS 0140</t>
  </si>
  <si>
    <t>medio_ambiente</t>
  </si>
  <si>
    <t>gestion_ambiental, residuos_solidos, calidad_aire, recursos_hidricos</t>
  </si>
  <si>
    <t>Gestión_riesgos_naturales</t>
  </si>
  <si>
    <t>Pérdida_por_Riesgos_Hidrológicos</t>
  </si>
  <si>
    <t>Inundación, Mitigación de Riesgo, Diseño de Barreras, Planificación</t>
  </si>
  <si>
    <t>MAXIMUM FORESEEABLE LOSS LIMITING FACTORS</t>
  </si>
  <si>
    <t>FMDS0142</t>
  </si>
  <si>
    <t>FMDS_0142_2025_ED_2025</t>
  </si>
  <si>
    <t>FMDS0142.pdf</t>
  </si>
  <si>
    <t>FMDS 0142</t>
  </si>
  <si>
    <t>MFL, Factores Limitantes, Riesgo, Consecuencia</t>
  </si>
  <si>
    <t>DAMAGE-LIMITING CONSTRUCTION</t>
  </si>
  <si>
    <t>FMDS0144</t>
  </si>
  <si>
    <t>FMDS_0144_2024_ED_2024</t>
  </si>
  <si>
    <t>FMDS0144.pdf</t>
  </si>
  <si>
    <t>FMDS 0144</t>
  </si>
  <si>
    <t>Construcción Sismo-Resistente, Límites de Daño, Resiliencia, Estructuras</t>
  </si>
  <si>
    <t>PERIMETER FLASHING</t>
  </si>
  <si>
    <t>FMDS0149</t>
  </si>
  <si>
    <t>FMDS_0149_2024_ED_2024</t>
  </si>
  <si>
    <t>FMDS0149.pdf</t>
  </si>
  <si>
    <t>FMDS 0149</t>
  </si>
  <si>
    <t>Tapajuntas Perimetral, Sellado de Techo, Instalación, Impermeabilización</t>
  </si>
  <si>
    <t>FIELD VERIFICATION OF ROOF WIND UPLIFT RESISTANCE</t>
  </si>
  <si>
    <t>FMDS0152</t>
  </si>
  <si>
    <t>FMDS_0152_2024_ED_2024</t>
  </si>
  <si>
    <t>FMDS0152.pdf</t>
  </si>
  <si>
    <t>FMDS 0152</t>
  </si>
  <si>
    <t>Verificación en Campo, Resistencia al Viento, Pruebas, Procedimiento</t>
  </si>
  <si>
    <t>ANECHOIC CHAMBERS</t>
  </si>
  <si>
    <t>FMDS0153</t>
  </si>
  <si>
    <t>FMDS_0153_2025_ED_2025</t>
  </si>
  <si>
    <t>FMDS0153.pdf</t>
  </si>
  <si>
    <t>FMDS 0153</t>
  </si>
  <si>
    <t>instalaciones_edificaciones</t>
  </si>
  <si>
    <t>Manufactura_Química_y_Especializada</t>
  </si>
  <si>
    <t>Cámaras Anecoicas, Riesgo de Fuego, Diseño, Aislamiento</t>
  </si>
  <si>
    <t>ROOF LOADS AND DRAINAGE</t>
  </si>
  <si>
    <t>FMDS0154</t>
  </si>
  <si>
    <t>FMDS_0154_2024_ED_2024</t>
  </si>
  <si>
    <t>FMDS0154.pdf</t>
  </si>
  <si>
    <t>FMDS 0154</t>
  </si>
  <si>
    <t>Cargas de Techo, Drenaje, Diseño, Requisitos</t>
  </si>
  <si>
    <t>CLEANROOMS</t>
  </si>
  <si>
    <t>FMDS0156</t>
  </si>
  <si>
    <t>FMDS_0156_2020_ED_2020</t>
  </si>
  <si>
    <t>FMDS0156.pdf</t>
  </si>
  <si>
    <t>FMDS 0156</t>
  </si>
  <si>
    <t>Salas Limpias, Riesgo de Fuego, Construcción, Ventilación</t>
  </si>
  <si>
    <t>PLASTICS IN CONSTRUCTION</t>
  </si>
  <si>
    <t>FMDS0157</t>
  </si>
  <si>
    <t>FMDS_0157_2025_ED_2025</t>
  </si>
  <si>
    <t>FMDS0157.pdf</t>
  </si>
  <si>
    <t>FMDS 0157</t>
  </si>
  <si>
    <t>Plásticos, Materiales de Construcción, Riesgo de Incendio, Aplicación</t>
  </si>
  <si>
    <t>FABRIC AND MEMBRANE STRUCTURES</t>
  </si>
  <si>
    <t>FMDS0159</t>
  </si>
  <si>
    <t>FMDS_0159_2021_ED_2021</t>
  </si>
  <si>
    <t>FMDS0159.pdf</t>
  </si>
  <si>
    <t>FMDS 0159</t>
  </si>
  <si>
    <t>Estructuras de Membrana, Telas Tensionadas, Diseño, Cubiertas</t>
  </si>
  <si>
    <t>CRANES</t>
  </si>
  <si>
    <t>FMDS0162</t>
  </si>
  <si>
    <t>FMDS_0162_2023_ED_2023</t>
  </si>
  <si>
    <t>FMDS0162.pdf</t>
  </si>
  <si>
    <t>FMDS 0162</t>
  </si>
  <si>
    <t>Procesos_Térmicos_y_Operaciones</t>
  </si>
  <si>
    <t>Grúas, Instalación, Operación Segura, Mantenimiento</t>
  </si>
  <si>
    <t>INSTALLATION GUIDELINES FOR AUTOMATIC SPRINKLERS</t>
  </si>
  <si>
    <t>FMDS0200</t>
  </si>
  <si>
    <t>FMDS_0200_2025_ED_2025</t>
  </si>
  <si>
    <t>FMDS0200.pdf</t>
  </si>
  <si>
    <t>FMDS 0200</t>
  </si>
  <si>
    <t>Rociadores_y_Tuberías</t>
  </si>
  <si>
    <t>Rociadores Automáticos, Guía de Instalación, Diseño de Red, Tuberías</t>
  </si>
  <si>
    <t>CORROSION IN AUTOMATIC SPRINKLER SYSTEMS</t>
  </si>
  <si>
    <t>FMDS0201</t>
  </si>
  <si>
    <t>FMDS_0201_2022_ED_2022</t>
  </si>
  <si>
    <t>FMDS0201.pdf</t>
  </si>
  <si>
    <t>FMDS 0201</t>
  </si>
  <si>
    <t>Corrosión, Sprinklers, Prevención, Mantenimiento</t>
  </si>
  <si>
    <t>EARTHQUAKE PROTECTION FOR WATER-BASED FIRE PROTECTION SYSTEMS</t>
  </si>
  <si>
    <t>FMDS0208</t>
  </si>
  <si>
    <t>FMDS_0208_2025_ED_2025</t>
  </si>
  <si>
    <t>FMDS0208.pdf</t>
  </si>
  <si>
    <t>FMDS 0208</t>
  </si>
  <si>
    <t>Ingeniería_Sísmica_en_Sistemas_de_PCI</t>
  </si>
  <si>
    <t>Protección Sísmica, Tuberías, Sistemas de Agua, Instalación</t>
  </si>
  <si>
    <t>FIRE PROTECTION SYSTEM INSPECTION, TESTING AND MAINTENANCE</t>
  </si>
  <si>
    <t>FMDS0281</t>
  </si>
  <si>
    <t>FMDS_0281_2025_ED_2025</t>
  </si>
  <si>
    <t>FMDS0281.pdf</t>
  </si>
  <si>
    <t>FMDS 0281</t>
  </si>
  <si>
    <t>Mantenimiento_e_Inspección_de_Sistemas</t>
  </si>
  <si>
    <t>Inspección, Pruebas, Mantenimiento, Sistemas de Protección</t>
  </si>
  <si>
    <t>PIPE FRICTION LOSS TABLES</t>
  </si>
  <si>
    <t>FMDS0289</t>
  </si>
  <si>
    <t>FMDS_0289_2001_ED_2001</t>
  </si>
  <si>
    <t>FMDS0289.pdf</t>
  </si>
  <si>
    <t>FMDS 0289</t>
  </si>
  <si>
    <t>Hidráulica_y_Suministro_de_Agua</t>
  </si>
  <si>
    <t>Pérdida por Fricción, Tablas de Tuberías, Hidráulica, Flujo</t>
  </si>
  <si>
    <t>HYDRAULICS OF FIRE PROTECTION SYSTEMS</t>
  </si>
  <si>
    <t>FMDS0300</t>
  </si>
  <si>
    <t>FMDS_0300_2010_ED_2010</t>
  </si>
  <si>
    <t>FMDS0300.pdf</t>
  </si>
  <si>
    <t>FMDS 0300</t>
  </si>
  <si>
    <t>Hidráulica, Cálculo de Flujo, Diseño de Sistemas, Presión</t>
  </si>
  <si>
    <t>TANKS AND RESERVOIRS FOR INTERCONNECTED FIRE SERVICE AND PUBLIC MAINS</t>
  </si>
  <si>
    <t>FMDS0301</t>
  </si>
  <si>
    <t>FMDS_0301_2025_ED_2025</t>
  </si>
  <si>
    <t>FMDS0301.pdf</t>
  </si>
  <si>
    <t>FMDS 0301</t>
  </si>
  <si>
    <t>Tanques, Reservorios, Red Pública, Conexiones</t>
  </si>
  <si>
    <t>WATER TANKS FOR FIRE PROTECTION</t>
  </si>
  <si>
    <t>FMDS0302</t>
  </si>
  <si>
    <t>FMDS_0302_2022_ED_2022</t>
  </si>
  <si>
    <t>FMDS0302.pdf</t>
  </si>
  <si>
    <t>FMDS 0302</t>
  </si>
  <si>
    <t>Tanques de Agua, Reserva, Suministro de Incendio, Almacenamiento</t>
  </si>
  <si>
    <t>EMBANKMENT-SUPPORTED FABRIC TANKS</t>
  </si>
  <si>
    <t>FMDS0304</t>
  </si>
  <si>
    <t>FMDS_0304_2022_ED_2022</t>
  </si>
  <si>
    <t>FMDS0304.pdf</t>
  </si>
  <si>
    <t>FMDS 0304</t>
  </si>
  <si>
    <t>Tanques de Tela, Soporte de Terraplén, Diseño, Almacenamiento</t>
  </si>
  <si>
    <t>LINED EARTH RESERVOIRS FOR FIRE PROTECTION</t>
  </si>
  <si>
    <t>FMDS0306</t>
  </si>
  <si>
    <t>FMDS_0306_2022_ED_2022</t>
  </si>
  <si>
    <t>FMDS0306.pdf</t>
  </si>
  <si>
    <t>FMDS 0306</t>
  </si>
  <si>
    <t>Reservorios de Tierra, Revestimiento, Protección contra Incendios, Agua</t>
  </si>
  <si>
    <t>FIRE PROTECTION PUMPS</t>
  </si>
  <si>
    <t>FMDS0307</t>
  </si>
  <si>
    <t>FMDS_0307_2025_ED_2025</t>
  </si>
  <si>
    <t>FMDS0307.pdf</t>
  </si>
  <si>
    <t>FMDS 0307</t>
  </si>
  <si>
    <t>Bombas contra Incendio, Estaciones de Bombeo, Instalación, Pruebas</t>
  </si>
  <si>
    <t>PRIVATE FIRE SERVICE MAINS AND CONNECTIONS</t>
  </si>
  <si>
    <t>FMDS0310</t>
  </si>
  <si>
    <t>FMDS_0310_2025_ED_2025</t>
  </si>
  <si>
    <t>FMDS0310.pdf</t>
  </si>
  <si>
    <t>FMDS 0310</t>
  </si>
  <si>
    <t>Tuberías Principales, Red Privada, Conexiones, Suministro</t>
  </si>
  <si>
    <t>FLOW AND PRESSURE REGULATING DEVICES FOR FIRE PROTECTION SERVICE</t>
  </si>
  <si>
    <t>FMDS0311</t>
  </si>
  <si>
    <t>FMDS_0311_2023_ED_2023</t>
  </si>
  <si>
    <t>FMDS0311.pdf</t>
  </si>
  <si>
    <t>FMDS 0311</t>
  </si>
  <si>
    <t>Válvulas Reguladoras, Flujo, Presión, Dispositivos</t>
  </si>
  <si>
    <t>FIRE PROTECTION FOR NONSTORAGE OCCUPANCIES</t>
  </si>
  <si>
    <t>FMDS0326</t>
  </si>
  <si>
    <t>FMDS_0326_2025_ED_2025</t>
  </si>
  <si>
    <t>FMDS0326.pdf</t>
  </si>
  <si>
    <t>FMDS 0326</t>
  </si>
  <si>
    <t>Protección_de_Edificios_Generales</t>
  </si>
  <si>
    <t>Protección contra Incendio, Ocupaciones sin Almacenamiento, Diseño</t>
  </si>
  <si>
    <t>RELIABILITY OF FIRE PROTECTION WATER SUPPLIES</t>
  </si>
  <si>
    <t>FMDS0329</t>
  </si>
  <si>
    <t>FMDS_0329_2021_ED_2021</t>
  </si>
  <si>
    <t>FMDS0329.pdf</t>
  </si>
  <si>
    <t>FMDS 0329</t>
  </si>
  <si>
    <t>Suministro de Agua, Confiabilidad, Evaluación de Riesgo, Fuentes</t>
  </si>
  <si>
    <t>SPECIAL PROTECTION SYSTEMS</t>
  </si>
  <si>
    <t>FMDS0400</t>
  </si>
  <si>
    <t>FMDS_0400_2020_ED_2020</t>
  </si>
  <si>
    <t>FMDS0400.pdf</t>
  </si>
  <si>
    <t>FMDS 0400</t>
  </si>
  <si>
    <t>Sistemas_Especiales_y_Agentes_Limpios</t>
  </si>
  <si>
    <t>Sistemas Especiales, Agentes Limpios, Diseño, Aplicación</t>
  </si>
  <si>
    <t>FIXED WATER SPRAY SYSTEMS FOR FIRE PROTECTION</t>
  </si>
  <si>
    <t>FMDS0401N</t>
  </si>
  <si>
    <t>FMDS_0401N_2010_ED_2010</t>
  </si>
  <si>
    <t>FMDS0401N.pdf</t>
  </si>
  <si>
    <t>FMDS 0401N</t>
  </si>
  <si>
    <t>Rociadores Fijos, Pulverización de Agua, Supresión, Instalación</t>
  </si>
  <si>
    <t>WATER MIST SYSTEMS</t>
  </si>
  <si>
    <t>FMDS0402</t>
  </si>
  <si>
    <t>FMDS_0402_2022_ED_2022</t>
  </si>
  <si>
    <t>FMDS0402.pdf</t>
  </si>
  <si>
    <t>FMDS 0402</t>
  </si>
  <si>
    <t>Sistemas de Niebla, Agua Pulverizada, Supresión, Diseño</t>
  </si>
  <si>
    <t>PORTABLE EXTINGUISHERS</t>
  </si>
  <si>
    <t>FMDS0405</t>
  </si>
  <si>
    <t>FMDS_0405_2012_ED_2012</t>
  </si>
  <si>
    <t>FMDS0405.pdf</t>
  </si>
  <si>
    <t>FMDS 0405</t>
  </si>
  <si>
    <t>Extintores_Portátiles</t>
  </si>
  <si>
    <t>Extintores Portátiles, Agentes Extintores, Clasificación, Uso</t>
  </si>
  <si>
    <t>HYBRID (WATER AND INERT GAS) EXTINGUISHING SYSTEMS</t>
  </si>
  <si>
    <t>FMDS0406</t>
  </si>
  <si>
    <t>FMDS_0406_2020_ED_2020</t>
  </si>
  <si>
    <t>FMDS0406.pdf</t>
  </si>
  <si>
    <t>FMDS 0406</t>
  </si>
  <si>
    <t>Sistemas Híbridos, Agua/Gas Inerte, Supresión, Tecnología</t>
  </si>
  <si>
    <t>HALOCARBON AND INERT GAS (CLEAN AGENT) FIRE EXTINGUISHING SYSTEMS</t>
  </si>
  <si>
    <t>FMDS0409</t>
  </si>
  <si>
    <t>FMDS_0409_2025_ED_2025</t>
  </si>
  <si>
    <t>FMDS0409.pdf</t>
  </si>
  <si>
    <t>FMDS 0409</t>
  </si>
  <si>
    <t>Agentes Limpios, Gas Inerte, Supresión, Instalación</t>
  </si>
  <si>
    <t>DRY CHEMICAL SYSTEMS</t>
  </si>
  <si>
    <t>FMDS0410</t>
  </si>
  <si>
    <t>FMDS_0410_2000_ED_2000</t>
  </si>
  <si>
    <t>FMDS0410.pdf</t>
  </si>
  <si>
    <t>FMDS 0410</t>
  </si>
  <si>
    <t>Sistemas de Polvo Químico Seco, Supresión, Aplicación, Diseño</t>
  </si>
  <si>
    <t>CARBON DIOXIDE EXTINGUISHING SYSTEMS</t>
  </si>
  <si>
    <t>FMDS0411N</t>
  </si>
  <si>
    <t>FMDS_0411N_2013_ED_2013</t>
  </si>
  <si>
    <t>FMDS0411N.pdf</t>
  </si>
  <si>
    <t>FMDS 0411N</t>
  </si>
  <si>
    <t>CO2, Sistemas de Inundación, Agente Limpio, Peligros</t>
  </si>
  <si>
    <t>FOAM EXTINGUISHING SYSTEMS</t>
  </si>
  <si>
    <t>FMDS0412</t>
  </si>
  <si>
    <t>FMDS_0412_2025_ED_2025</t>
  </si>
  <si>
    <t>FMDS0412.pdf</t>
  </si>
  <si>
    <t>FMDS 0412</t>
  </si>
  <si>
    <t>Sistemas de Espuma, Supresión, Agente Extintor, Aplicación</t>
  </si>
  <si>
    <t>OXYGEN REDUCTION SYSTEMS</t>
  </si>
  <si>
    <t>FMDS0413</t>
  </si>
  <si>
    <t>FMDS_0413_2023_ED_2023</t>
  </si>
  <si>
    <t>FMDS0413.pdf</t>
  </si>
  <si>
    <t>FMDS 0413</t>
  </si>
  <si>
    <t>Reducción de Oxígeno, Sistemas de Inerteo, Prevención, Almacenamiento</t>
  </si>
  <si>
    <t>ELECTRICAL EQUIPMENT IN HAZARDOUS (CLASSIFIED) LOCATIONS</t>
  </si>
  <si>
    <t>FMDS0501</t>
  </si>
  <si>
    <t>FMDS_0501_2012_ED_2012</t>
  </si>
  <si>
    <t>FMDS0501.pdf</t>
  </si>
  <si>
    <t>FMDS 0501</t>
  </si>
  <si>
    <t>Áreas Clasificadas, Riesgo Eléctrico, Equipos Intrínsecos, Instalación</t>
  </si>
  <si>
    <t>HYDROELECTRIC POWER</t>
  </si>
  <si>
    <t>FMDS0503</t>
  </si>
  <si>
    <t>FMDS_0503_2023_ED_2023</t>
  </si>
  <si>
    <t>FMDS0503.pdf</t>
  </si>
  <si>
    <t>FMDS 0503</t>
  </si>
  <si>
    <t>mineria_energia</t>
  </si>
  <si>
    <t>energia</t>
  </si>
  <si>
    <t>generacion_electrica, distribucion_electrica, hidrocarburos, renovables</t>
  </si>
  <si>
    <t>Generación_distribución_de_energía</t>
  </si>
  <si>
    <t>eneración_y_Equipos_Eléctricos</t>
  </si>
  <si>
    <t>Energía Hidroeléctrica, Centrales, Riesgo de Fuego, Protección</t>
  </si>
  <si>
    <t>TRANSFORMERS</t>
  </si>
  <si>
    <t>FMDS0504</t>
  </si>
  <si>
    <t>FMDS_0504_2025_ED_2025</t>
  </si>
  <si>
    <t>FMDS0504.pdf</t>
  </si>
  <si>
    <t>FMDS 0504</t>
  </si>
  <si>
    <t>Transformadores, Líquidos Aislantes, Riesgo de Fuego, Contención</t>
  </si>
  <si>
    <t>STATIC ELECTRICITY</t>
  </si>
  <si>
    <t>FMDS0508</t>
  </si>
  <si>
    <t>FMDS_0508_2012_ED_2012</t>
  </si>
  <si>
    <t>FMDS0508.pdf</t>
  </si>
  <si>
    <t>FMDS 0508</t>
  </si>
  <si>
    <t>Electricidad Estática, Puesta a Tierra, Descarga, Riesgo de Ignición</t>
  </si>
  <si>
    <t>LIGHTNING AND SURGE PROTECTION FOR ELECTRICAL SYSTEMS</t>
  </si>
  <si>
    <t>FMDS0511</t>
  </si>
  <si>
    <t>FMDS_0511_2012_ED_2012</t>
  </si>
  <si>
    <t>FMDS0511.pdf</t>
  </si>
  <si>
    <t>FMDS 0511</t>
  </si>
  <si>
    <t>Protección contra Rayos, Sobretensiones, Sistemas Eléctricos, Instalación</t>
  </si>
  <si>
    <t>ELECTRIC AC GENERATORS</t>
  </si>
  <si>
    <t>FMDS0512</t>
  </si>
  <si>
    <t>FMDS_0512_2025_ED_2025</t>
  </si>
  <si>
    <t>FMDS0512.pdf</t>
  </si>
  <si>
    <t>FMDS 0512</t>
  </si>
  <si>
    <t>Generadores AC, Riesgo Eléctrico, Protección contra Fuego, Instalación</t>
  </si>
  <si>
    <t>TELECOMMUNICATIONS</t>
  </si>
  <si>
    <t>FMDS0514</t>
  </si>
  <si>
    <t>FMDS_0514_2025_ED_2025</t>
  </si>
  <si>
    <t>FMDS0514.pdf</t>
  </si>
  <si>
    <t>FMDS 0514</t>
  </si>
  <si>
    <t>Telecomunicaciones, Equipos, Riesgo de Fuego, Instalación</t>
  </si>
  <si>
    <t>MOTORS AND ADJUSTABLE SPEED DRIVES</t>
  </si>
  <si>
    <t>FMDS0517</t>
  </si>
  <si>
    <t>FMDS_0517_2024_ED_2024</t>
  </si>
  <si>
    <t>FMDS0517.pdf</t>
  </si>
  <si>
    <t>FMDS 0517</t>
  </si>
  <si>
    <t>Motores, Variadores de Velocidad, Riesgo Eléctrico, Mantenimiento</t>
  </si>
  <si>
    <t>SWITCHGEAR AND CIRCUIT BREAKERS</t>
  </si>
  <si>
    <t>FMDS0519</t>
  </si>
  <si>
    <t>FMDS_0519_2024_ED_2024</t>
  </si>
  <si>
    <t>FMDS0519.pdf</t>
  </si>
  <si>
    <t>FMDS 0519</t>
  </si>
  <si>
    <t>Subestaciones, Interruptores, Riesgo de Arco Eléctrico, Protección</t>
  </si>
  <si>
    <t>ELECTRICAL TESTING</t>
  </si>
  <si>
    <t>FMDS0520</t>
  </si>
  <si>
    <t>FMDS_0520_2024_ED_2024</t>
  </si>
  <si>
    <t>FMDS0520.pdf</t>
  </si>
  <si>
    <t>FMDS 0520</t>
  </si>
  <si>
    <t>Detección_y_Sistemas_Eléctricos</t>
  </si>
  <si>
    <t>Pruebas Eléctricas, Mantenimiento Predictivo, Diagnóstico, Subestaciones</t>
  </si>
  <si>
    <t>DESIGN AND PROTECTION FOR EMERGENCY AND STANDBY POWER SYSTEMS</t>
  </si>
  <si>
    <t>FMDS0523</t>
  </si>
  <si>
    <t>FMDS_0523_2022_ED_2022</t>
  </si>
  <si>
    <t>FMDS0523.pdf</t>
  </si>
  <si>
    <t>FMDS 0523</t>
  </si>
  <si>
    <t>Plantas de Emergencia, Grupos Electrógenos, Diseño, Protección</t>
  </si>
  <si>
    <t>HIGH VOLTAGE DIRECT CURRENT CONVERTER STATIONS</t>
  </si>
  <si>
    <t>FMDS0525</t>
  </si>
  <si>
    <t>FMDS_0525_2023_ED_2023</t>
  </si>
  <si>
    <t>FMDS0525.pdf</t>
  </si>
  <si>
    <t>FMDS 0525</t>
  </si>
  <si>
    <t>HVDC, Estaciones Convertidoras, Alto Voltaje, Protección</t>
  </si>
  <si>
    <t>DC BATTERY SYSTEMS</t>
  </si>
  <si>
    <t>FMDS0528</t>
  </si>
  <si>
    <t>FMDS_0528_2021_ED_2021</t>
  </si>
  <si>
    <t>FMDS0528.pdf</t>
  </si>
  <si>
    <t>FMDS 0528</t>
  </si>
  <si>
    <t>Sistemas de Baterías DC, Riesgo Eléctrico, Ventilación, Protección</t>
  </si>
  <si>
    <t>POWER FACTOR CORRECTION AND STATIC REACTIVE COMPENSATOR SYSTEMS</t>
  </si>
  <si>
    <t>FMDS0530</t>
  </si>
  <si>
    <t>FMDS_0530_2024_ED_2024</t>
  </si>
  <si>
    <t>FMDS0530.pdf</t>
  </si>
  <si>
    <t>FMDS 0530</t>
  </si>
  <si>
    <t>Factor de Potencia, Compensadores, Riesgo de Fuego, Diseño</t>
  </si>
  <si>
    <t>CABLES AND BUS BARS</t>
  </si>
  <si>
    <t>FMDS0531</t>
  </si>
  <si>
    <t>FMDS_0531_2021_ED_2021</t>
  </si>
  <si>
    <t>FMDS0531.pdf</t>
  </si>
  <si>
    <t>FMDS 0531</t>
  </si>
  <si>
    <t>Cables Eléctricos, Barras Conductoras, Cortocircuito, Instalación</t>
  </si>
  <si>
    <t>DATA CENTERS AND RELATED FACILITIES</t>
  </si>
  <si>
    <t>FMDS0532</t>
  </si>
  <si>
    <t>FMDS_0532_2025_ED_2025</t>
  </si>
  <si>
    <t>FMDS0532.pdf</t>
  </si>
  <si>
    <t>FMDS 0532</t>
  </si>
  <si>
    <t>Centros de Datos, Riesgo de Fuego, Instalaciones, Supresión</t>
  </si>
  <si>
    <t>LITHIUM-ION BATTERY ENERGY STORAGE SYSTEMS</t>
  </si>
  <si>
    <t>FMDS0533</t>
  </si>
  <si>
    <t>FMDS_0533_2025_ED_2025</t>
  </si>
  <si>
    <t>FMDS0533.pdf</t>
  </si>
  <si>
    <t>FMDS 0533</t>
  </si>
  <si>
    <t>Baterías de Litio, Almacenamiento de Energía, Riesgo Térmico, Protección</t>
  </si>
  <si>
    <t>FIRE ALARM SYSTEMS</t>
  </si>
  <si>
    <t>FMDS0540</t>
  </si>
  <si>
    <t>FMDS_0540_2007_ED_2007</t>
  </si>
  <si>
    <t>FMDS0540.pdf</t>
  </si>
  <si>
    <t>FMDS 0540</t>
  </si>
  <si>
    <t>Energía</t>
  </si>
  <si>
    <t>Sistemas de Alarma, Detección, Notificación, Instalación</t>
  </si>
  <si>
    <t>AUTOMATIC FIRE DETECTION</t>
  </si>
  <si>
    <t>FMDS0548</t>
  </si>
  <si>
    <t>FMDS_0548_2025_ED_2025</t>
  </si>
  <si>
    <t>FMDS0548.pdf</t>
  </si>
  <si>
    <t>FMDS 0548</t>
  </si>
  <si>
    <t>Detección Automática, Sensores, Monitoreo, Tecnología</t>
  </si>
  <si>
    <t>GAS AND VAPOR DETECTORS AND ANALYSIS SYSTEMS</t>
  </si>
  <si>
    <t>FMDS0549</t>
  </si>
  <si>
    <t>FMDS_0549_2018_ED_2018</t>
  </si>
  <si>
    <t>FMDS0549.pdf</t>
  </si>
  <si>
    <t>FMDS 0549</t>
  </si>
  <si>
    <t>Detectores de Gas, Vapores, Análisis, Alarmas</t>
  </si>
  <si>
    <t>ELEMENTS OF INDUSTRIAL HEATING EQUIPMENT</t>
  </si>
  <si>
    <t>FMDS0600</t>
  </si>
  <si>
    <t>FMDS_0600_2001_ED_2001</t>
  </si>
  <si>
    <t>FMDS0600.pdf</t>
  </si>
  <si>
    <t>FMDS 0600</t>
  </si>
  <si>
    <t>Procesos_térmicos_e_industriales</t>
  </si>
  <si>
    <t>Calefacción Industrial, Elementos, Riesgo de Fuego, Diseño</t>
  </si>
  <si>
    <t>PULVERIZED COAL-FIRED BOILERS</t>
  </si>
  <si>
    <t>FMDS0602</t>
  </si>
  <si>
    <t>FMDS_0602_2023_ED_2023</t>
  </si>
  <si>
    <t>FMDS0602.pdf</t>
  </si>
  <si>
    <t>FMDS 0602</t>
  </si>
  <si>
    <t>Calderas de Carbón, Pulverizado, Riesgo de Explosión, Protección</t>
  </si>
  <si>
    <t>INDUCTION AND DIELECTRIC HEATING EQUIPMENT</t>
  </si>
  <si>
    <t>FMDS0603</t>
  </si>
  <si>
    <t>en revisión</t>
  </si>
  <si>
    <t>FMDS_0603_2024_ED_2024</t>
  </si>
  <si>
    <t>FMDS0603.pdf</t>
  </si>
  <si>
    <t>FMDS 0603</t>
  </si>
  <si>
    <t>Calefacción por Inducción, Riesgo Eléctrico, Protección, Equipos</t>
  </si>
  <si>
    <t>OIL- AND GAS-FIRED SINGLE-BURNER BOILERS</t>
  </si>
  <si>
    <t>FMDS0604</t>
  </si>
  <si>
    <t>FMDS_0604_2024_ED_2024</t>
  </si>
  <si>
    <t>FMDS0604.pdf</t>
  </si>
  <si>
    <t>FMDS 0604</t>
  </si>
  <si>
    <t>Calderas de Quemador Único, Gas, Aceite, Riesgo de Explosión, Control</t>
  </si>
  <si>
    <t>OIL- AND GAS-FIRED MULTIPLE BURNER BOILERS</t>
  </si>
  <si>
    <t>FMDS0605</t>
  </si>
  <si>
    <t>FMDS_0605_2023_ED_2023</t>
  </si>
  <si>
    <t>FMDS0605.pdf</t>
  </si>
  <si>
    <t>FMDS 0605</t>
  </si>
  <si>
    <t>Calderas de Múltiples Quemadores, Gas, Aceite, Riesgo de Explosión, Control</t>
  </si>
  <si>
    <t>BOILER FURNACE IMPLOSIONS</t>
  </si>
  <si>
    <t>FMDS0606</t>
  </si>
  <si>
    <t>FMDS_0606_2002_ED_2002</t>
  </si>
  <si>
    <t>FMDS0606.pdf</t>
  </si>
  <si>
    <t>FMDS 0606</t>
  </si>
  <si>
    <t>Implosión de Caldera, Riesgo, Control de Presión, Diseño</t>
  </si>
  <si>
    <t>FLUIDIZED BED BOILERS</t>
  </si>
  <si>
    <t>FMDS0607</t>
  </si>
  <si>
    <t>FMDS_0607_2021_ED_2021</t>
  </si>
  <si>
    <t>FMDS0607.pdf</t>
  </si>
  <si>
    <t>FMDS 0607</t>
  </si>
  <si>
    <t>Calderas de Lecho Fluidizado, Combustión, Riesgo de Fuego, Protección</t>
  </si>
  <si>
    <t>INDUSTRIAL OVENS AND DRYERS</t>
  </si>
  <si>
    <t>FMDS0609</t>
  </si>
  <si>
    <t>FMDS_0609_2021_ED_2021</t>
  </si>
  <si>
    <t>FMDS0609.pdf</t>
  </si>
  <si>
    <t>FMDS 0609</t>
  </si>
  <si>
    <t>Hornos Industriales, Secadores, Riesgo de Fuego, Ventilación</t>
  </si>
  <si>
    <t>PROCESS FURNACES</t>
  </si>
  <si>
    <t>FMDS0610</t>
  </si>
  <si>
    <t>FMDS_0610_2025_ED_2025</t>
  </si>
  <si>
    <t>FMDS0610.pdf</t>
  </si>
  <si>
    <t>FMDS 0610</t>
  </si>
  <si>
    <t>Hornos de Proceso, Calentamiento, Riesgo de Fuego, Control</t>
  </si>
  <si>
    <t>THERMAL AND REGENERATIVE CATALYTIC OXIDIZERS</t>
  </si>
  <si>
    <t>FMDS0611</t>
  </si>
  <si>
    <t>FMDS_0611_2018_ED_2018</t>
  </si>
  <si>
    <t>FMDS0611.pdf</t>
  </si>
  <si>
    <t>FMDS 0611</t>
  </si>
  <si>
    <t>Oxidadores Catalíticos, Control de Contaminación, Riesgo Térmico</t>
  </si>
  <si>
    <t>LOW-WATER PROTECTION FOR BOILERS</t>
  </si>
  <si>
    <t>FMDS0612</t>
  </si>
  <si>
    <t>FMDS_0612_2025_ED_2025</t>
  </si>
  <si>
    <t>FMDS0612.pdf</t>
  </si>
  <si>
    <t>FMDS 0612</t>
  </si>
  <si>
    <t>Protección de Bajo Nivel de Agua, Calderas, Seguridad, Enclavamiento</t>
  </si>
  <si>
    <t>WASTE FUEL-FIRED FACILITIES</t>
  </si>
  <si>
    <t>FMDS0613</t>
  </si>
  <si>
    <t>FMDS_0613_2021_ED_2021</t>
  </si>
  <si>
    <t>FMDS0613.pdf</t>
  </si>
  <si>
    <t>FMDS 0613</t>
  </si>
  <si>
    <t>Combustibles Residuales, Instalaciones, Riesgo de Fuego, Protección</t>
  </si>
  <si>
    <t>HEAT RECOVERY BOILERS</t>
  </si>
  <si>
    <t>FMDS0614</t>
  </si>
  <si>
    <t>FMDS_0614_2025_ED_2025</t>
  </si>
  <si>
    <t>FMDS0614.pdf</t>
  </si>
  <si>
    <t>FMDS 0614</t>
  </si>
  <si>
    <t>Calderas de Recuperación, Calor Residual, Riesgo de Fuego, Diseño</t>
  </si>
  <si>
    <t>ROTARY KILNS AND DRYER</t>
  </si>
  <si>
    <t>FMDS0617</t>
  </si>
  <si>
    <t>FMDS_0617_2023_ED_2023</t>
  </si>
  <si>
    <t>FMDS0617.pdf</t>
  </si>
  <si>
    <t>FMDS 0617</t>
  </si>
  <si>
    <t>Hornos Rotatorios, Secadores, Riesgo de Fuego, Procesos</t>
  </si>
  <si>
    <t>CHEMICAL RECOVERY BOILERS</t>
  </si>
  <si>
    <t>FMDS0621</t>
  </si>
  <si>
    <t>FMDS_0621_2025_ED_2025</t>
  </si>
  <si>
    <t>FMDS0621.pdf</t>
  </si>
  <si>
    <t>FMDS 0621</t>
  </si>
  <si>
    <t>Calderas de Recuperación Química, Pulpa y Papel, Riesgo de Explosión</t>
  </si>
  <si>
    <t>FIRETUBE BOILERS</t>
  </si>
  <si>
    <t>FMDS0622</t>
  </si>
  <si>
    <t>FMDS_0622_2025_ED_2025</t>
  </si>
  <si>
    <t>FMDS0622.pdf</t>
  </si>
  <si>
    <t>FMDS 0622</t>
  </si>
  <si>
    <t>Calderas Pirotubulares, Diseño, Seguridad, Riesgo de Explosión</t>
  </si>
  <si>
    <t>WATERTUBE BOILERS</t>
  </si>
  <si>
    <t>FMDS0623</t>
  </si>
  <si>
    <t>FMDS_0623_2025_ED_2025</t>
  </si>
  <si>
    <t>FMDS0623.pdf</t>
  </si>
  <si>
    <t>FMDS 0623</t>
  </si>
  <si>
    <t>Calderas Acuotubulares, Diseño, Seguridad, Operación</t>
  </si>
  <si>
    <t>CAUSES AND EFFECTS OF FIRES AND EXPLOSIONS</t>
  </si>
  <si>
    <t>FMDS0700</t>
  </si>
  <si>
    <t>FMDS_0700_2013_ED_2013</t>
  </si>
  <si>
    <t>FMDS0700.pdf</t>
  </si>
  <si>
    <t>FMDS 0700</t>
  </si>
  <si>
    <t>Minero</t>
  </si>
  <si>
    <t>Seguridad_de_Procesos_y_Materiales</t>
  </si>
  <si>
    <t>Causas de Fuego, Efectos, Explosiones, Investigación</t>
  </si>
  <si>
    <t>FIRE PROTECTION FOR TEXTILE MILLS</t>
  </si>
  <si>
    <t>FMDS0701</t>
  </si>
  <si>
    <t>FMDS_0701_2023_ED_2023</t>
  </si>
  <si>
    <t>FMDS0701.pdf</t>
  </si>
  <si>
    <t>FMDS 0701</t>
  </si>
  <si>
    <t>Protección_de_Riesgos_Especiales</t>
  </si>
  <si>
    <t>Textiles, Fuego, Protección, Fábricas</t>
  </si>
  <si>
    <t>WASTE SOLVENT RECOVERY</t>
  </si>
  <si>
    <t>FMDS0702</t>
  </si>
  <si>
    <t>FMDS_0702_2025_ED_2025</t>
  </si>
  <si>
    <t>FMDS0702.pdf</t>
  </si>
  <si>
    <t>FMDS 0702</t>
  </si>
  <si>
    <t>Materiales_química_especializada</t>
  </si>
  <si>
    <t>Recuperación de Solventes, Riesgo de Fuego, Procesos, Instalaciones</t>
  </si>
  <si>
    <t>FLIGHT AND OTHER SIMULATORS</t>
  </si>
  <si>
    <t>FMDS0703</t>
  </si>
  <si>
    <t>FMDS_0703_2021_ED_2021</t>
  </si>
  <si>
    <t>FMDS0703.pdf</t>
  </si>
  <si>
    <t>FMDS 0703</t>
  </si>
  <si>
    <t>Simuladores, Riesgo de Fuego, Instalaciones, Protección</t>
  </si>
  <si>
    <t>PAPER MACHINES AND PULP DRYERS</t>
  </si>
  <si>
    <t>FMDS0704</t>
  </si>
  <si>
    <t>FMDS_0704_2024_ED_2024</t>
  </si>
  <si>
    <t>FMDS0704.pdf</t>
  </si>
  <si>
    <t>FMDS 0704</t>
  </si>
  <si>
    <t>Máquinas de Papel, Secadores, Riesgo de Fuego, Procesos</t>
  </si>
  <si>
    <t>PLASTIC AND PLASTIC-LINED TANKS</t>
  </si>
  <si>
    <t>FMDS0706</t>
  </si>
  <si>
    <t>FMDS_0706_2017_ED_2017</t>
  </si>
  <si>
    <t>FMDS0706.pdf</t>
  </si>
  <si>
    <t>FMDS 0706</t>
  </si>
  <si>
    <t>Tanques Plásticos, Revestimiento, Riesgo de Fuego, Almacenamiento</t>
  </si>
  <si>
    <t>SEMICONDUCTOR FABRICATION FACILITIES</t>
  </si>
  <si>
    <t>FMDS0707</t>
  </si>
  <si>
    <t>FMDS_0707_2025_ED_2025</t>
  </si>
  <si>
    <t>FMDS0707.pdf</t>
  </si>
  <si>
    <t>FMDS 0707</t>
  </si>
  <si>
    <t>Fabricación de Semiconductores, Riesgo de Fuego, Cleanrooms, Procesos</t>
  </si>
  <si>
    <t>DIP TANKS, FLOW COATERS AND ROLL COATERS</t>
  </si>
  <si>
    <t>FMDS0709</t>
  </si>
  <si>
    <t>FMDS_0709_2025_ED_2025</t>
  </si>
  <si>
    <t>FMDS0709.pdf</t>
  </si>
  <si>
    <t>FMDS 0709</t>
  </si>
  <si>
    <t>Tanques de Inmersión, Recubrimiento, Líquidos Inflamables, Riesgo</t>
  </si>
  <si>
    <t>WOOD PROCESSING AND WOODWORKING FACILITIES</t>
  </si>
  <si>
    <t>FMDS0710</t>
  </si>
  <si>
    <t>FMDS_0710_2010_ED_2010</t>
  </si>
  <si>
    <t>FMDS0710.pdf</t>
  </si>
  <si>
    <t>FMDS 0710</t>
  </si>
  <si>
    <t>Procesamiento de Madera, Aserraderos, Polvo Combustible, Protección</t>
  </si>
  <si>
    <t>FIRE PROTECTION FOR STEAM TURBINES AND ELECTRIC GENERATORS</t>
  </si>
  <si>
    <t>FMDS07101</t>
  </si>
  <si>
    <t>FMDS_07101_2022_ED_2022</t>
  </si>
  <si>
    <t>FMDS07101.pdf</t>
  </si>
  <si>
    <t>FMDS 07101</t>
  </si>
  <si>
    <t>Turbinas de Vapor, Generadores, Riesgo de Fuego, Protección</t>
  </si>
  <si>
    <t>TURPENTINE RECOVERY IN PULP AND PAPER MILLS</t>
  </si>
  <si>
    <t>FMDS07103</t>
  </si>
  <si>
    <t>FMDS_07103_2025_ED_2025</t>
  </si>
  <si>
    <t>FMDS07103.pdf</t>
  </si>
  <si>
    <t>FMDS 07103</t>
  </si>
  <si>
    <t>Recuperación de Trementina, Pulpa y Papel, Riesgo de Fuego, Proceso</t>
  </si>
  <si>
    <t>METAL TREATMENT PROCESSES</t>
  </si>
  <si>
    <t>FMDS07104</t>
  </si>
  <si>
    <t>FMDS_07104_2013_ED_2013</t>
  </si>
  <si>
    <t>FMDS07104.pdf</t>
  </si>
  <si>
    <t>FMDS 07104</t>
  </si>
  <si>
    <t>Tratamiento de Metales, Riesgo de Fuego, Procesos, Protección</t>
  </si>
  <si>
    <t>GROUND-MOUNTED SOLAR PHOTOVOLTAIC POWER</t>
  </si>
  <si>
    <t>FMDS07106</t>
  </si>
  <si>
    <t>FMDS_07106_2024_ED_2024</t>
  </si>
  <si>
    <t>FMDS07106.pdf</t>
  </si>
  <si>
    <t>FMDS 07106</t>
  </si>
  <si>
    <t>Generación_y_Equipos_Eléctricos</t>
  </si>
  <si>
    <t>Paneles Solares, Instalación en Suelo, Riesgo Eléctrico, Fuego</t>
  </si>
  <si>
    <t>SILANE</t>
  </si>
  <si>
    <t>FMDS07108</t>
  </si>
  <si>
    <t>FMDS_07108_2014_ED_2014</t>
  </si>
  <si>
    <t>FMDS07108.pdf</t>
  </si>
  <si>
    <t>FMDS 07108</t>
  </si>
  <si>
    <t>Silano, Gas Peligroso, Riesgo de Fuego, Almacenamiento</t>
  </si>
  <si>
    <t>FUEL FIRED THERMAL ELECTRIC POWER GENERATION FACILITIES</t>
  </si>
  <si>
    <t>FMDS07109</t>
  </si>
  <si>
    <t>FMDS_07109_2024_ED_2024</t>
  </si>
  <si>
    <t>FMDS07109.pdf</t>
  </si>
  <si>
    <t>FMDS 07109</t>
  </si>
  <si>
    <t>Generación Eléctrica Térmica, Combustibles Fósiles, Riesgo de Fuego</t>
  </si>
  <si>
    <t>CONVEYORS</t>
  </si>
  <si>
    <t>FMDS0711</t>
  </si>
  <si>
    <t>FMDS_0711_2025_ED_2025</t>
  </si>
  <si>
    <t>FMDS0711.pdf</t>
  </si>
  <si>
    <t>FMDS 0711</t>
  </si>
  <si>
    <t>Cintas Transportadoras, Riesgo de Fuego, Paro de Emergencia, Protección</t>
  </si>
  <si>
    <t>INDUSTRIAL CONTROL SYSTEMS</t>
  </si>
  <si>
    <t>FMDS07110</t>
  </si>
  <si>
    <t>FMDS_07110_2024_ED_2024</t>
  </si>
  <si>
    <t>FMDS07110.pdf</t>
  </si>
  <si>
    <t>FMDS 07110</t>
  </si>
  <si>
    <t>Seguridad_en_Sistemas_de_Control</t>
  </si>
  <si>
    <t>Sistemas de Control Industrial, Seguridad, Ciberseguridad, Riesgo</t>
  </si>
  <si>
    <t>CHEMICAL PROCESS INDUSTRIES</t>
  </si>
  <si>
    <t>FMDS07111</t>
  </si>
  <si>
    <t>FMDS_07111_2024_ED_2024</t>
  </si>
  <si>
    <t>FMDS07111.pdf</t>
  </si>
  <si>
    <t>FMDS 07111</t>
  </si>
  <si>
    <t>Industria Química, Procesos, Riesgos, Protección</t>
  </si>
  <si>
    <t>FUEL-GRADE ETHANOL</t>
  </si>
  <si>
    <t>FMDS07111A</t>
  </si>
  <si>
    <t>FMDS_07111A_2023_ED_2023</t>
  </si>
  <si>
    <t>FMDS07111A.pdf</t>
  </si>
  <si>
    <t>FMDS 07111A</t>
  </si>
  <si>
    <t>Etanol, Combustible, Riesgo de Fuego, Almacenamiento</t>
  </si>
  <si>
    <t>CARBON BLACK</t>
  </si>
  <si>
    <t>FMDS07111B</t>
  </si>
  <si>
    <t>FMDS_07111B_2024_ED_2024</t>
  </si>
  <si>
    <t>FMDS07111B.pdf</t>
  </si>
  <si>
    <t>FMDS 07111B</t>
  </si>
  <si>
    <t>Negro de Carbón, Polvo Combustible, Riesgo de Explosión, Protección</t>
  </si>
  <si>
    <t>TITANIUM DIOXIDE</t>
  </si>
  <si>
    <t>FMDS07111C</t>
  </si>
  <si>
    <t>FMDS_07111C_2023_ED_2023</t>
  </si>
  <si>
    <t>FMDS07111C.pdf</t>
  </si>
  <si>
    <t>FMDS 07111C</t>
  </si>
  <si>
    <t>Dióxido de Titanio, Riesgo de Polvo, Procesamiento, Almacenamiento</t>
  </si>
  <si>
    <t>OILSEED EXTRACTION</t>
  </si>
  <si>
    <t>FMDS07111D</t>
  </si>
  <si>
    <t>FMDS_07111D_2023_ED_2023</t>
  </si>
  <si>
    <t>FMDS07111D.pdf</t>
  </si>
  <si>
    <t>FMDS 07111D</t>
  </si>
  <si>
    <t>Extracción de Aceite, Semillas Oleaginosas, Solventes, Riesgo de Fuego</t>
  </si>
  <si>
    <t>CHLOR-ALKALI</t>
  </si>
  <si>
    <t>FMDS07111E</t>
  </si>
  <si>
    <t>FMDS_07111E_2024_ED_2024</t>
  </si>
  <si>
    <t>FMDS07111E.pdf</t>
  </si>
  <si>
    <t>FMDS 07111E</t>
  </si>
  <si>
    <t>Cloro-Álcali, Procesos Químicos, Riesgos, Protección</t>
  </si>
  <si>
    <t>SULFURIC ACID</t>
  </si>
  <si>
    <t>FMDS07111F</t>
  </si>
  <si>
    <t>FMDS_07111F_2024_ED_2024</t>
  </si>
  <si>
    <t>FMDS07111F.pdf</t>
  </si>
  <si>
    <t>FMDS 07111F</t>
  </si>
  <si>
    <t>Ácido Sulfúrico, Manejo, Almacenamiento, Riesgos de Proceso</t>
  </si>
  <si>
    <t>AMMONIA AND AMMONIA DERIVATIVES</t>
  </si>
  <si>
    <t>FMDS07111G</t>
  </si>
  <si>
    <t>FMDS_07111G_2023_ED_2023</t>
  </si>
  <si>
    <t>FMDS07111G.pdf</t>
  </si>
  <si>
    <t>FMDS 07111G</t>
  </si>
  <si>
    <t>Amoníaco, Derivados, Almacenamiento, Riesgos de Proceso</t>
  </si>
  <si>
    <t>OLEFINS</t>
  </si>
  <si>
    <t>FMDS07111H</t>
  </si>
  <si>
    <t>FMDS_07111H_2023_ED_2023</t>
  </si>
  <si>
    <t>FMDS07111H.pdf</t>
  </si>
  <si>
    <t>FMDS 07111H</t>
  </si>
  <si>
    <t>Olefinas, Producción, Riesgo de Fuego, Protección</t>
  </si>
  <si>
    <t>INK, PAINT AND COATING FORMULATIONS</t>
  </si>
  <si>
    <t>FMDS07111I</t>
  </si>
  <si>
    <t>FMDS_07111I_2022_ED_2022</t>
  </si>
  <si>
    <t>FMDS07111I.pdf</t>
  </si>
  <si>
    <t>FMDS 07111I</t>
  </si>
  <si>
    <t>Tintas y Pinturas, Líquidos Inflamables, Riesgo de Fuego, Almacenamiento</t>
  </si>
  <si>
    <t>LITHIUM-ION BATTERY MANUFACTURING AND STORAGE</t>
  </si>
  <si>
    <t>FMDS07112</t>
  </si>
  <si>
    <t>FMDS_07112_2025_ED_2025</t>
  </si>
  <si>
    <t>FMDS07112.pdf</t>
  </si>
  <si>
    <t>FMDS 07112</t>
  </si>
  <si>
    <t>Fabricación de Baterías, Litio-Ion, Riesgo Térmico, Protección</t>
  </si>
  <si>
    <t>MINING AND MINERAL PROCESSING</t>
  </si>
  <si>
    <t>FMDS0712</t>
  </si>
  <si>
    <t>FMDS_0712_2022_ED_2022</t>
  </si>
  <si>
    <t>FMDS0712.pdf</t>
  </si>
  <si>
    <t>FMDS 0712</t>
  </si>
  <si>
    <t>Minería, Procesamiento de Minerales, Riesgos de Proceso, Protección</t>
  </si>
  <si>
    <t>MECHANICAL REFRIGERATION</t>
  </si>
  <si>
    <t>FMDS0713</t>
  </si>
  <si>
    <t>FMDS_0713_2018_ED_2018</t>
  </si>
  <si>
    <t>FMDS0713.pdf</t>
  </si>
  <si>
    <t>FMDS 0713</t>
  </si>
  <si>
    <t>Refrigeración Mecánica, Amoníaco, Riesgo de Fuego, Equipos</t>
  </si>
  <si>
    <t>FIRE PROTECTION FOR CHEMICAL PLANTS</t>
  </si>
  <si>
    <t>FMDS0714</t>
  </si>
  <si>
    <t>FMDS_0714_2019_ED_2019</t>
  </si>
  <si>
    <t>FMDS0714.pdf</t>
  </si>
  <si>
    <t>FMDS 0714</t>
  </si>
  <si>
    <t>Plantas Químicas, Fuego, Protección, Diseño</t>
  </si>
  <si>
    <t>GARAGES</t>
  </si>
  <si>
    <t>FMDS0715</t>
  </si>
  <si>
    <t>FMDS_0715_2025_ED_2025</t>
  </si>
  <si>
    <t>FMDS0715.pdf</t>
  </si>
  <si>
    <t>FMDS 0715</t>
  </si>
  <si>
    <t>Garajes, Riesgo de Fuego, Ventilación, Protección</t>
  </si>
  <si>
    <t>EXPLOSION PROTECTION SYSTEMS</t>
  </si>
  <si>
    <t>FMDS0717</t>
  </si>
  <si>
    <t>FMDS_0717_2012_ED_2012</t>
  </si>
  <si>
    <t>FMDS0717.pdf</t>
  </si>
  <si>
    <t>FMDS 0717</t>
  </si>
  <si>
    <t>Protección contra Explosiones, Ventilación, Supresión, Diseño</t>
  </si>
  <si>
    <t>OIL COOKERS</t>
  </si>
  <si>
    <t>FMDS0720</t>
  </si>
  <si>
    <t>FMDS_0720_2023_ED_2023</t>
  </si>
  <si>
    <t>FMDS0720.pdf</t>
  </si>
  <si>
    <t>FMDS 0720</t>
  </si>
  <si>
    <t>Cocinas de Aceite, Riesgo de Fuego, Extinción, Mantenimiento</t>
  </si>
  <si>
    <t>ROLLING MILLS</t>
  </si>
  <si>
    <t>FMDS0721</t>
  </si>
  <si>
    <t>FMDS_0721_2023_ED_2023</t>
  </si>
  <si>
    <t>FMDS0721.pdf</t>
  </si>
  <si>
    <t>FMDS 0721</t>
  </si>
  <si>
    <t>Laminadores, Metalurgia, Riesgo de Fuego, Procesos</t>
  </si>
  <si>
    <t>BLOWING AGENTS</t>
  </si>
  <si>
    <t>FMDS0724</t>
  </si>
  <si>
    <t>FMDS_0724_2012_ED_2012</t>
  </si>
  <si>
    <t>FMDS0724.pdf</t>
  </si>
  <si>
    <t>FMDS 0724</t>
  </si>
  <si>
    <t>Agentes Espumantes, Procesos, Riesgo de Fuego, Almacenamiento</t>
  </si>
  <si>
    <t>BLAST FURNACE IRONMAKING AND BASIC OXYGEN STEELMAKING</t>
  </si>
  <si>
    <t>FMDS0725</t>
  </si>
  <si>
    <t>FMDS_0725_2025_ED_2025</t>
  </si>
  <si>
    <t>FMDS0725.pdf</t>
  </si>
  <si>
    <t>FMDS 0725</t>
  </si>
  <si>
    <t>Alto Horno, Siderurgia, Riesgo de Explosión, Protección</t>
  </si>
  <si>
    <t>GLASS MANUFACTURING</t>
  </si>
  <si>
    <t>FMDS0726</t>
  </si>
  <si>
    <t>FMDS_0726_2025_ED_2025</t>
  </si>
  <si>
    <t>FMDS0726.pdf</t>
  </si>
  <si>
    <t>FMDS 0726</t>
  </si>
  <si>
    <t>Fabricación de Vidrio, Hornos, Riesgo de Fuego, Procesos</t>
  </si>
  <si>
    <t>SPRAY APPLICATION OF IGNITABLE AND COMBUSTIBLE MATERIALS</t>
  </si>
  <si>
    <t>FMDS0727</t>
  </si>
  <si>
    <t>FMDS_0727_2018_ED_2018</t>
  </si>
  <si>
    <t>FMDS0727.pdf</t>
  </si>
  <si>
    <t>FMDS 0727</t>
  </si>
  <si>
    <t>Aplicación por Rociado, Pintura, Líquidos Inflamables, Ventilación</t>
  </si>
  <si>
    <t>ENERGETIC MATERIALS</t>
  </si>
  <si>
    <t>FMDS0728</t>
  </si>
  <si>
    <t>FMDS_0728_2021_ED_2021</t>
  </si>
  <si>
    <t>FMDS0728.pdf</t>
  </si>
  <si>
    <t>FMDS 0728</t>
  </si>
  <si>
    <t>Materiales Energéticos, Explosivos, Almacenamiento, Riesgo</t>
  </si>
  <si>
    <t>IGNITABLE LIQUID STORAGE IN PORTABLE CONTAINERS</t>
  </si>
  <si>
    <t>FMDS0729</t>
  </si>
  <si>
    <t>FMDS_0729_2025_ED_2025</t>
  </si>
  <si>
    <t>FMDS0729.pdf</t>
  </si>
  <si>
    <t>FMDS 0729</t>
  </si>
  <si>
    <t>Almacenamiento_y_Materiales_Peligrosos</t>
  </si>
  <si>
    <t>Líquidos Inflamables, Contenedores Portátiles, Almacenamiento, Clasificación</t>
  </si>
  <si>
    <t>STORAGE OF AEROSOL PRODUCTS</t>
  </si>
  <si>
    <t>FMDS0731</t>
  </si>
  <si>
    <t>FMDS_0731_2024_ED_2024</t>
  </si>
  <si>
    <t>FMDS0731.pdf</t>
  </si>
  <si>
    <t>FMDS 0731</t>
  </si>
  <si>
    <t>Aerosoles, Almacenamiento, Riesgo de Fuego, Protección</t>
  </si>
  <si>
    <t>IGNITABLE LIQUID OPERATIONS</t>
  </si>
  <si>
    <t>FMDS0732</t>
  </si>
  <si>
    <t>FMDS_0732_2024_ED_2024</t>
  </si>
  <si>
    <t>FMDS0732.pdf</t>
  </si>
  <si>
    <t>FMDS 0732</t>
  </si>
  <si>
    <t>Operaciones con Líquidos Inflamables, Trasiego, Procesos, Riesgo</t>
  </si>
  <si>
    <t>MOLTEN METALS AND OTHER MATERIALS</t>
  </si>
  <si>
    <t>FMDS0733</t>
  </si>
  <si>
    <t>FMDS_0733_2025_ED_2025</t>
  </si>
  <si>
    <t>FMDS0733.pdf</t>
  </si>
  <si>
    <t>FMDS 0733</t>
  </si>
  <si>
    <t>Metales Fundidos, Riesgo Térmico, Requisitos de Construcción</t>
  </si>
  <si>
    <t>AIR SEPARATION OXYGEN AND NITROGEN</t>
  </si>
  <si>
    <t>FMDS0735</t>
  </si>
  <si>
    <t>FMDS_0735_2021_ED_2021</t>
  </si>
  <si>
    <t>FMDS0735.pdf</t>
  </si>
  <si>
    <t>FMDS 0735</t>
  </si>
  <si>
    <t>Separación de Aire, Oxígeno, Nitrógeno, Riesgo de Fuego</t>
  </si>
  <si>
    <t>PHARMACEUTICAL OPERATIONS</t>
  </si>
  <si>
    <t>FMDS0736</t>
  </si>
  <si>
    <t>FMDS_0736_2021_ED_2021</t>
  </si>
  <si>
    <t>FMDS0736.pdf</t>
  </si>
  <si>
    <t>FMDS 0736</t>
  </si>
  <si>
    <t>Operaciones Farmacéuticas, Riesgo de Fuego, Procesos, Protección</t>
  </si>
  <si>
    <t>CUTTING FLUIDS</t>
  </si>
  <si>
    <t>FMDS0737</t>
  </si>
  <si>
    <t>FMDS_0737_2021_ED_2021</t>
  </si>
  <si>
    <t>FMDS0737.pdf</t>
  </si>
  <si>
    <t>FMDS 0737</t>
  </si>
  <si>
    <t>Fluidos de Corte, Riesgo de Fuego, Almacenamiento, Manejo</t>
  </si>
  <si>
    <t>MATERIAL HANDLING VEHICLES</t>
  </si>
  <si>
    <t>FMDS0739</t>
  </si>
  <si>
    <t>FMDS_0739_2025_ED_2025</t>
  </si>
  <si>
    <t>FMDS0739.pdf</t>
  </si>
  <si>
    <t>FMDS 0739</t>
  </si>
  <si>
    <t>Vehículos de Manejo de Materiales, Montacargas, Riesgo de Fuego</t>
  </si>
  <si>
    <t>HEAVY DUTY MOBILE EQUIPMENT</t>
  </si>
  <si>
    <t>FMDS0740</t>
  </si>
  <si>
    <t>FMDS_0740_2020_ED_2020</t>
  </si>
  <si>
    <t>FMDS0740.pdf</t>
  </si>
  <si>
    <t>FMDS 0740</t>
  </si>
  <si>
    <t>Equipo Móvil Pesado, Minería, Riesgo de Fuego, Protección</t>
  </si>
  <si>
    <t>HEAT TREATING OF MATERIALS USING
 OIL QUENCHING AND MOLTEN SALT BATHS</t>
  </si>
  <si>
    <t>FMDS0741</t>
  </si>
  <si>
    <t>FMDS_0741_2022_ED_2022</t>
  </si>
  <si>
    <t>FMDS0741.pdf</t>
  </si>
  <si>
    <t>FMDS 0741</t>
  </si>
  <si>
    <t>Tratamiento Térmico, Templado en Aceite, Baños de Sal Fundida, Riesgo</t>
  </si>
  <si>
    <t>VAPOR CLOUD EXPLOSIONS</t>
  </si>
  <si>
    <t>FMDS0742</t>
  </si>
  <si>
    <t>FMDS_0742_2019_ED_2019</t>
  </si>
  <si>
    <t>FMDS0742.pdf</t>
  </si>
  <si>
    <t>FMDS 0742</t>
  </si>
  <si>
    <t>Explosiones de Nubes de Vapor, Modelado, Consecuencias, Prevención</t>
  </si>
  <si>
    <t>PROCESS SAFETY</t>
  </si>
  <si>
    <t>FMDS0743</t>
  </si>
  <si>
    <t>FMDS_0743_2018_ED_2018</t>
  </si>
  <si>
    <t>FMDS0743.pdf</t>
  </si>
  <si>
    <t>FMDS 0743</t>
  </si>
  <si>
    <t>Seguridad de Procesos, Análisis de Riesgos (PHA), Gestión, Ingeniería</t>
  </si>
  <si>
    <t>SAFETY CONTROLS, ALARMS, AND INTERLOCKS (SCAI)</t>
  </si>
  <si>
    <t>FMDS0745</t>
  </si>
  <si>
    <t>FMDS_0745_2023_ED_2023</t>
  </si>
  <si>
    <t>FMDS0745.pdf</t>
  </si>
  <si>
    <t>FMDS 0745</t>
  </si>
  <si>
    <t>Controles de Seguridad, Alarmas, Enclavamientos, SCAI</t>
  </si>
  <si>
    <t>CHEMICAL REACTORS AND REACTIONS</t>
  </si>
  <si>
    <t>FMDS0746</t>
  </si>
  <si>
    <t>FMDS_0746_2024_ED_2024</t>
  </si>
  <si>
    <t>FMDS0746.pdf</t>
  </si>
  <si>
    <t>FMDS 0746</t>
  </si>
  <si>
    <t>Reactores Químicos, Riesgo de Reacción, Protección, Control</t>
  </si>
  <si>
    <t>EMERGENCY VENTING OF VESSELS</t>
  </si>
  <si>
    <t>FMDS0749</t>
  </si>
  <si>
    <t>FMDS_0749_2023_ED_2023</t>
  </si>
  <si>
    <t>FMDS0749.pdf</t>
  </si>
  <si>
    <t>FMDS 0749</t>
  </si>
  <si>
    <t>Ventilación de Emergencia, Recipientes, Alivio de Presión, Diseño</t>
  </si>
  <si>
    <t>COMPRESSED GASES IN PORTABLE CYLINDERS AND BULK STORAGE</t>
  </si>
  <si>
    <t>FMDS0750</t>
  </si>
  <si>
    <t>FMDS_0750_2023_ED_2023</t>
  </si>
  <si>
    <t>FMDS0750.pdf</t>
  </si>
  <si>
    <t>FMDS 0750</t>
  </si>
  <si>
    <t>Gases Comprimidos, Cilindros, Almacenamiento a Granel, Riesgo</t>
  </si>
  <si>
    <t>ACETYLENE</t>
  </si>
  <si>
    <t>FMDS0751</t>
  </si>
  <si>
    <t>FMDS_0751_2012_ED_2012</t>
  </si>
  <si>
    <t>FMDS0751.pdf</t>
  </si>
  <si>
    <t>FMDS 0751</t>
  </si>
  <si>
    <t>Acetileno, Almacenamiento, Riesgo de Explosión, Manejo</t>
  </si>
  <si>
    <t>OXYGEN</t>
  </si>
  <si>
    <t>FMDS0752</t>
  </si>
  <si>
    <t>FMDS_0752_2012_ED_2012</t>
  </si>
  <si>
    <t>FMDS0752.pdf</t>
  </si>
  <si>
    <t>FMDS 0752</t>
  </si>
  <si>
    <t>Oxígeno, Almacenamiento, Compatibilidad, Riesgo de Fuego</t>
  </si>
  <si>
    <t>NATURAL GAS AND GAS PIPING</t>
  </si>
  <si>
    <t>FMDS0754</t>
  </si>
  <si>
    <t>FMDS_0754_2023_ED_2023</t>
  </si>
  <si>
    <t>FMDS0754.pdf</t>
  </si>
  <si>
    <t>FMDS 0754</t>
  </si>
  <si>
    <t>Gas Natural, Tuberías, Riesgo de Fuego, Detección</t>
  </si>
  <si>
    <t>LIQUEFIED PETROLEUM GAS (LPG) STORAGE IN STATIONARY INSTALLATIONS</t>
  </si>
  <si>
    <t>FMDS0755</t>
  </si>
  <si>
    <t>FMDS_0755_2013_ED_2013</t>
  </si>
  <si>
    <t>FMDS0755.pdf</t>
  </si>
  <si>
    <t>FMDS 0755</t>
  </si>
  <si>
    <t>GLP, Almacenamiento Estacionario, Tanques, Riesgo de Fuego</t>
  </si>
  <si>
    <t>PULP AND PAPER MILLS</t>
  </si>
  <si>
    <t>FMDS0757</t>
  </si>
  <si>
    <t>FMDS_0757_2016_ED_2016</t>
  </si>
  <si>
    <t>FMDS0757.pdf</t>
  </si>
  <si>
    <t>FMDS 0757</t>
  </si>
  <si>
    <t>Pulpa y Papel, Molinos, Riesgo de Fuego, Protección</t>
  </si>
  <si>
    <t>CHLORINE DIOXIDE</t>
  </si>
  <si>
    <t>FMDS0758</t>
  </si>
  <si>
    <t>FMDS_0758_2025_ED_2025</t>
  </si>
  <si>
    <t>FMDS0758.pdf</t>
  </si>
  <si>
    <t>FMDS 0758</t>
  </si>
  <si>
    <t>Dióxido de Cloro, Generación, Riesgo de Explosión, Manejo</t>
  </si>
  <si>
    <t>INERTING AND PURGING VESSELS AND EQUIPMENT</t>
  </si>
  <si>
    <t>FMDS0759</t>
  </si>
  <si>
    <t>FMDS_0759_2022_ED_2022</t>
  </si>
  <si>
    <t>FMDS0759.pdf</t>
  </si>
  <si>
    <t>FMDS 0759</t>
  </si>
  <si>
    <t>Inerteo, Purga, Recipientes, Procedimientos</t>
  </si>
  <si>
    <t>FACILITIES PROCESSING RADIOACTIVE MATERIALS</t>
  </si>
  <si>
    <t>FMDS0761</t>
  </si>
  <si>
    <t>FMDS_0761_2025_ED_2025</t>
  </si>
  <si>
    <t>FMDS0761.pdf</t>
  </si>
  <si>
    <t>FMDS 0761</t>
  </si>
  <si>
    <t>Materiales Radiactivos, Procesamiento, Riesgo, Protección</t>
  </si>
  <si>
    <t>ALUMINUM SMELTING</t>
  </si>
  <si>
    <t>FMDS0764</t>
  </si>
  <si>
    <t>FMDS_0764_2025_ED_2025</t>
  </si>
  <si>
    <t>FMDS0764.pdf</t>
  </si>
  <si>
    <t>FMDS 0764</t>
  </si>
  <si>
    <t>Procesos_y_Equipos_Eléctricos</t>
  </si>
  <si>
    <t>Fundición de Aluminio, Riesgo de Explosión, Procesos, Protección</t>
  </si>
  <si>
    <t>REFORMER AND CRACKING FURNACES</t>
  </si>
  <si>
    <t>FMDS0772</t>
  </si>
  <si>
    <t>FMDS_0772_2022_ED_2022</t>
  </si>
  <si>
    <t>FMDS0772.pdf</t>
  </si>
  <si>
    <t>FMDS 0772</t>
  </si>
  <si>
    <t>Hornos de Reformado, Cracking, Riesgo de Proceso, Protección</t>
  </si>
  <si>
    <t>DISTILLERIES</t>
  </si>
  <si>
    <t>FMDS0774</t>
  </si>
  <si>
    <t>FMDS_0774_2010_ED_2010</t>
  </si>
  <si>
    <t>FMDS0774.pdf</t>
  </si>
  <si>
    <t>FMDS 0774</t>
  </si>
  <si>
    <t>Destilerías, Alcoholes, Riesgo de Fuego, Ventilación</t>
  </si>
  <si>
    <t>COMBUSTIBLE DUSTS</t>
  </si>
  <si>
    <t>FMDS0776</t>
  </si>
  <si>
    <t>FMDS_0776_2024_ED_2024</t>
  </si>
  <si>
    <t>FMDS0776.pdf</t>
  </si>
  <si>
    <t>FMDS 0776</t>
  </si>
  <si>
    <t>Polvos Combustibles, Explosión, Recolección, Ventilación de Explosiones</t>
  </si>
  <si>
    <t>TESTING OF ENGINES AND ACCESSORY EQUIPMENT</t>
  </si>
  <si>
    <t>FMDS0777</t>
  </si>
  <si>
    <t>FMDS_0777_2024_ED_2024</t>
  </si>
  <si>
    <t>FMDS0777.pdf</t>
  </si>
  <si>
    <t>FMDS 0777</t>
  </si>
  <si>
    <t>Pruebas de Motores, Equipos Auxiliares, Procedimiento, Seguridad</t>
  </si>
  <si>
    <t>INDUSTRIAL EXHAUST SYSTEMS</t>
  </si>
  <si>
    <t>FMDS0778</t>
  </si>
  <si>
    <t>FMDS_0778_2024_ED_2024</t>
  </si>
  <si>
    <t>FMDS0778.pdf</t>
  </si>
  <si>
    <t>FMDS 0778</t>
  </si>
  <si>
    <t>Sistemas de Extracción Industrial, Ventilación, Riesgo de Polvo</t>
  </si>
  <si>
    <t>FIRE PROTECTION FOR GAS TURBINES AND ELECTRIC GENERATORS</t>
  </si>
  <si>
    <t>FMDS0779</t>
  </si>
  <si>
    <t>FMDS_0779_2022_ED_2022</t>
  </si>
  <si>
    <t>FMDS0779.pdf</t>
  </si>
  <si>
    <t>FMDS 0779</t>
  </si>
  <si>
    <t>Turbinas de Gas, Generadores, Riesgo de Fuego, Protección</t>
  </si>
  <si>
    <t>ORGANIC PEROXIDES AND OXIDIZING MATERIALS</t>
  </si>
  <si>
    <t>FMDS0780</t>
  </si>
  <si>
    <t>FMDS_0780_2020_ED_2020</t>
  </si>
  <si>
    <t>FMDS0780.pdf</t>
  </si>
  <si>
    <t>FMDS 0780</t>
  </si>
  <si>
    <t>Peróxidos Orgánicos, Materiales Oxidantes, Riesgo, Almacenamiento</t>
  </si>
  <si>
    <t>DRAINAGE AND CONTAINMENT SYSTEMS FOR IGNITABLE LIQUIDS</t>
  </si>
  <si>
    <t>FMDS0783</t>
  </si>
  <si>
    <t>FMDS_0783_2015_ED_2015</t>
  </si>
  <si>
    <t>FMDS0783.pdf</t>
  </si>
  <si>
    <t>FMDS 0783</t>
  </si>
  <si>
    <t>Drenaje, Contención, Líquidos Inflamables, Diseño</t>
  </si>
  <si>
    <t>COMBUSTIBLE AND REACTIVE METALS</t>
  </si>
  <si>
    <t>FMDS0785</t>
  </si>
  <si>
    <t>FMDS_0785_2025_ED_2025</t>
  </si>
  <si>
    <t>FMDS0785.pdf</t>
  </si>
  <si>
    <t>FMDS 0785</t>
  </si>
  <si>
    <t>Metales Reactivos, Sodio, Riesgo de Fuego, Manejo</t>
  </si>
  <si>
    <t>CELLULOSE NITRATE</t>
  </si>
  <si>
    <t>FMDS0786</t>
  </si>
  <si>
    <t>FMDS_0786_2025_ED_2025</t>
  </si>
  <si>
    <t>FMDS0786.pdf</t>
  </si>
  <si>
    <t>FMDS 0786</t>
  </si>
  <si>
    <t>Nitrato de Celulosa, Explosivo, Almacenamiento, Riesgo</t>
  </si>
  <si>
    <t>OUTDOOR IGNITABLE LIQUID STORAGE TANKS</t>
  </si>
  <si>
    <t>FMDS0788</t>
  </si>
  <si>
    <t>FMDS_0788_2020_ED_2020</t>
  </si>
  <si>
    <t>FMDS0788.pdf</t>
  </si>
  <si>
    <t>FMDS 0788</t>
  </si>
  <si>
    <t>Tanques Exteriores, Líquidos Inflamables, Distancias, Contención</t>
  </si>
  <si>
    <t>AMMONIUM NITRATE AND MIXED FERTILIZERS CONTAINING AMMONIUM NITRATE</t>
  </si>
  <si>
    <t>FMDS0789</t>
  </si>
  <si>
    <t>FMDS_0789_2021_ED_2021</t>
  </si>
  <si>
    <t>FMDS0789.pdf</t>
  </si>
  <si>
    <t>FMDS 0789</t>
  </si>
  <si>
    <t>Nitrato de Amonio, Fertilizantes, Riesgo de Explosión, Almacenamiento</t>
  </si>
  <si>
    <t>HYDROGEN</t>
  </si>
  <si>
    <t>FMDS0791</t>
  </si>
  <si>
    <t>FMDS_0791_2024_ED_2024</t>
  </si>
  <si>
    <t>FMDS0791.pdf</t>
  </si>
  <si>
    <t>FMDS 0791</t>
  </si>
  <si>
    <t>Hidrógeno, Almacenamiento, Riesgo de Fuego, Ventilación</t>
  </si>
  <si>
    <t>ETHYLENE OXIDE</t>
  </si>
  <si>
    <t>FMDS0792</t>
  </si>
  <si>
    <t>FMDS_0792_2013_ED_2013</t>
  </si>
  <si>
    <t>FMDS0792.pdf</t>
  </si>
  <si>
    <t>FMDS 0792</t>
  </si>
  <si>
    <t>Óxido de Etileno, Riesgo de Explosión, Manejo, Protección</t>
  </si>
  <si>
    <t>HANGARES DE AERONAVES, INSTALACIONES DE FABRICACIÓN Y ENSAMBLAJE DE AERONAVES Y PROTECCIÓN DE INTERIORES DE AERONAVES DURANTE EL ENSAMBLAJE</t>
  </si>
  <si>
    <t>FMDS0793</t>
  </si>
  <si>
    <t>FMDS_0793_2022_ED_2022</t>
  </si>
  <si>
    <t>FMDS0793.pdf</t>
  </si>
  <si>
    <t>FMDS 0793</t>
  </si>
  <si>
    <t>Hangares, Aeronaves, Ensamblaje, Protección contra Incendios</t>
  </si>
  <si>
    <t>AMMONIA SYNTHESIS UNITS</t>
  </si>
  <si>
    <t>FMDS0794</t>
  </si>
  <si>
    <t>FMDS_0794_2010_ED_2010</t>
  </si>
  <si>
    <t>FMDS0794.pdf</t>
  </si>
  <si>
    <t>FMDS 0794</t>
  </si>
  <si>
    <t>Unidades de Síntesis de Amoníaco, Procesos, Riesgo de Fuego</t>
  </si>
  <si>
    <t>COMPRESSORS</t>
  </si>
  <si>
    <t>FMDS0795</t>
  </si>
  <si>
    <t>FMDS_0795_2024_ED_2024</t>
  </si>
  <si>
    <t>FMDS0795.pdf</t>
  </si>
  <si>
    <t>FMDS 0795</t>
  </si>
  <si>
    <t>Compresores, Riesgo de Fuego, Instalación, Mantenimiento</t>
  </si>
  <si>
    <t>PRINTING PLANTS</t>
  </si>
  <si>
    <t>FMDS0796</t>
  </si>
  <si>
    <t>FMDS_0796_2023_ED_2023</t>
  </si>
  <si>
    <t>FMDS0796.pdf</t>
  </si>
  <si>
    <t>FMDS 0796</t>
  </si>
  <si>
    <t>Imprentas, Tintas, Riesgo de Fuego, Protección</t>
  </si>
  <si>
    <t>METAL CLEANING</t>
  </si>
  <si>
    <t>FMDS0797</t>
  </si>
  <si>
    <t>FMDS_0797_2022_ED_2022</t>
  </si>
  <si>
    <t>FMDS0797.pdf</t>
  </si>
  <si>
    <t>FMDS 0797</t>
  </si>
  <si>
    <t>Limpieza de Metales, Solventes, Riesgo de Fuego, Ventilación</t>
  </si>
  <si>
    <t>HYDRAULIC FLUIDS</t>
  </si>
  <si>
    <t>FMDS0798</t>
  </si>
  <si>
    <t>FMDS_0798_2021_ED_2021</t>
  </si>
  <si>
    <t>FMDS0798.pdf</t>
  </si>
  <si>
    <t>FMDS 0798</t>
  </si>
  <si>
    <t>Fluidos Hidráulicos, Riesgo de Fuego, Mantenimiento, Tuberías</t>
  </si>
  <si>
    <t>HEAT TRANSFER FLUID SYSTEMS</t>
  </si>
  <si>
    <t>FMDS0799</t>
  </si>
  <si>
    <t>FMDS_0799_2022_ED_2022</t>
  </si>
  <si>
    <t>FMDS0799.pdf</t>
  </si>
  <si>
    <t>FMDS 0799</t>
  </si>
  <si>
    <t>Sistemas de Transferencia de Calor, Fluidos, Riesgo Térmico</t>
  </si>
  <si>
    <t>COMMODITY CLASSIFICATION</t>
  </si>
  <si>
    <t>FMDS0801</t>
  </si>
  <si>
    <t>FMDS_0801_2024_ED_2024</t>
  </si>
  <si>
    <t>FMDS0801.pdf</t>
  </si>
  <si>
    <t>FMDS 0801</t>
  </si>
  <si>
    <t>Almacenamiento_y_Tipos_de_Carga</t>
  </si>
  <si>
    <t>Clasificación de Mercancías, Almacenamiento, Riesgo de Fuego, Rack</t>
  </si>
  <si>
    <t>RUBBER TIRE STORAGE</t>
  </si>
  <si>
    <t>FMDS0803</t>
  </si>
  <si>
    <t>FMDS_0803_2009_ED_2009</t>
  </si>
  <si>
    <t>FMDS0803.pdf</t>
  </si>
  <si>
    <t>FMDS 0803</t>
  </si>
  <si>
    <t>Almacenamiento de Neumáticos, Pila, Rack, Protección contra Incendios</t>
  </si>
  <si>
    <t>BALED FIBER STORAGE</t>
  </si>
  <si>
    <t>FMDS0807</t>
  </si>
  <si>
    <t>FMDS_0807_2017_ED_2017</t>
  </si>
  <si>
    <t>FMDS0807.pdf</t>
  </si>
  <si>
    <t>FMDS 0807</t>
  </si>
  <si>
    <t>Fibras Empacadas, Almacenamiento, Riesgo de Fuego, Protección</t>
  </si>
  <si>
    <t>STORAGE OF CLASS 1, 2, 3, 4 AND PLASTIC COMMODITIES</t>
  </si>
  <si>
    <t>FMDS0809</t>
  </si>
  <si>
    <t>FMDS_0809_2025_ED_2025</t>
  </si>
  <si>
    <t>FMDS0809.pdf</t>
  </si>
  <si>
    <t>FMDS 0809</t>
  </si>
  <si>
    <t>Almacenamiento, Plásticos, Mercancías Clase I-IV, Protección</t>
  </si>
  <si>
    <t>COAL AND CHARCOAL STORAGE</t>
  </si>
  <si>
    <t>FMDS0810</t>
  </si>
  <si>
    <t>FMDS_0810_2003_ED_2003</t>
  </si>
  <si>
    <t>FMDS0810.pdf</t>
  </si>
  <si>
    <t>FMDS 0810</t>
  </si>
  <si>
    <t>Carbón, Almacenamiento, Riesgo de Combustión Espontánea, Protección</t>
  </si>
  <si>
    <t>STORAGE OF HANGING GARMENTS</t>
  </si>
  <si>
    <t>FMDS0818</t>
  </si>
  <si>
    <t>FMDS_0818_2019_ED_2019</t>
  </si>
  <si>
    <t>FMDS0818.pdf</t>
  </si>
  <si>
    <t>FMDS 0818</t>
  </si>
  <si>
    <t>Ropa Colgada, Almacenamiento, Racks, Protección</t>
  </si>
  <si>
    <t>ROLL PAPER STORAGE</t>
  </si>
  <si>
    <t>FMDS0821</t>
  </si>
  <si>
    <t>FMDS_0821_2023_ED_2023</t>
  </si>
  <si>
    <t>FMDS0821.pdf</t>
  </si>
  <si>
    <t>FMDS 0821</t>
  </si>
  <si>
    <t>Papel en Bobinas, Almacenamiento, Riesgo de Fuego, Protección</t>
  </si>
  <si>
    <t>STORAGE OF BALED WASTE PAPER</t>
  </si>
  <si>
    <t>FMDS0822</t>
  </si>
  <si>
    <t>FMDS_0822_2013_ED_2013</t>
  </si>
  <si>
    <t>FMDS0822.pdf</t>
  </si>
  <si>
    <t>FMDS 0822</t>
  </si>
  <si>
    <t>Papel de Desecho Empacado, Almacenamiento, Riesgo de Fuego</t>
  </si>
  <si>
    <t>ROLLED NONWOVEN FABRIC STORAGE</t>
  </si>
  <si>
    <t>FMDS0823</t>
  </si>
  <si>
    <t>FMDS_0823_2015_ED_2015</t>
  </si>
  <si>
    <t>FMDS0823.pdf</t>
  </si>
  <si>
    <t>FMDS 0823</t>
  </si>
  <si>
    <t>Telas No Tejidas, Almacenamiento, Protección contra Incendios</t>
  </si>
  <si>
    <t>IDLE PALLET STORAGE</t>
  </si>
  <si>
    <t>FMDS0824</t>
  </si>
  <si>
    <t>FMDS_0824_2015_ED_2015</t>
  </si>
  <si>
    <t>FMDS0824.pdf</t>
  </si>
  <si>
    <t>FMDS 0824</t>
  </si>
  <si>
    <t>Almacenamiento de Pallets, Paletas Vacías, Riesgo de Fuego, Altura</t>
  </si>
  <si>
    <t>STORAGE OF WOOD CHIPS</t>
  </si>
  <si>
    <t>FMDS0827</t>
  </si>
  <si>
    <t>FMDS_0827_2000_ED_2000</t>
  </si>
  <si>
    <t>FMDS0827.pdf</t>
  </si>
  <si>
    <t>FMDS 0827</t>
  </si>
  <si>
    <t>Astillas de Madera, Almacenamiento, Combustión Espontánea, Protección</t>
  </si>
  <si>
    <t>PULPWOOD AND OUTDOOR LOG STORAGE</t>
  </si>
  <si>
    <t>FMDS0828</t>
  </si>
  <si>
    <t>FMDS_0828_2000_ED_2000</t>
  </si>
  <si>
    <t>FMDS0828.pdf</t>
  </si>
  <si>
    <t>FMDS 0828</t>
  </si>
  <si>
    <t>Madera en Trozas, Almacenamiento Exterior, Riesgo de Fuego</t>
  </si>
  <si>
    <t>STORAGE OF CARPETS</t>
  </si>
  <si>
    <t>FMDS0830</t>
  </si>
  <si>
    <t>FMDS_0830_2025_ED_2025</t>
  </si>
  <si>
    <t>FMDS0830.pdf</t>
  </si>
  <si>
    <t>FMDS 0830</t>
  </si>
  <si>
    <t>Alfombras, Almacenamiento, Riesgo de Fuego, Protección</t>
  </si>
  <si>
    <t>CAROUSEL STORAGE AND RETRIEVAL SYSTEMS</t>
  </si>
  <si>
    <t>FMDS0833</t>
  </si>
  <si>
    <t>FMDS_0833_2025_ED_2025</t>
  </si>
  <si>
    <t>FMDS0833.pdf</t>
  </si>
  <si>
    <t>FMDS 0833</t>
  </si>
  <si>
    <t>Sistemas Carrusel, Almacenamiento Automatizado, Protección, Diseño</t>
  </si>
  <si>
    <t>PROTECTION FOR AUTOMATIC STORAGE AND RETRIEVAL SYSTEMS</t>
  </si>
  <si>
    <t>FMDS0834</t>
  </si>
  <si>
    <t>FMDS_0834_2024_ED_2024</t>
  </si>
  <si>
    <t>FMDS0834.pdf</t>
  </si>
  <si>
    <t>FMDS 0834</t>
  </si>
  <si>
    <t>ASRS, Almacenamiento Automatizado, Protección contra Incendios, Diseño</t>
  </si>
  <si>
    <t>ASSET INTEGRITY</t>
  </si>
  <si>
    <t>FMDS0900</t>
  </si>
  <si>
    <t>FMDS_0900_2024_ED_2024</t>
  </si>
  <si>
    <t>FMDS0900.pdf</t>
  </si>
  <si>
    <t>FMDS 0900</t>
  </si>
  <si>
    <t>Gestión_de_Activos_y_Riesgos</t>
  </si>
  <si>
    <t>Integridad de Activos, Gestión de Riesgo, Mantenimiento, Fiabilidad</t>
  </si>
  <si>
    <t>SUPERVISION OF PROPERTY</t>
  </si>
  <si>
    <t>FMDS0901</t>
  </si>
  <si>
    <t>FMDS_0901_2021_ED_2021</t>
  </si>
  <si>
    <t>FMDS0901.pdf</t>
  </si>
  <si>
    <t>FMDS 0901</t>
  </si>
  <si>
    <t>Supervisión, Vigilancia, Seguridad, Prevención de Pérdidas</t>
  </si>
  <si>
    <t>USA and CANADA (excl. PUERTO RICO) COST TRENDS</t>
  </si>
  <si>
    <t>FMDS0903</t>
  </si>
  <si>
    <t>FMDS_0903_2025_ED_2025</t>
  </si>
  <si>
    <t>FMDS0903.pdf</t>
  </si>
  <si>
    <t>FMDS 0903</t>
  </si>
  <si>
    <t>Tendencias de Costos, Construcción, EE. UU./Canadá, Estimación</t>
  </si>
  <si>
    <t>REST OF WORLD COST TRENDS</t>
  </si>
  <si>
    <t>FMDS0910</t>
  </si>
  <si>
    <t>FMDS_0910_2025_ED_2025</t>
  </si>
  <si>
    <t>FMDS0910.pdf</t>
  </si>
  <si>
    <t>FMDS 0910</t>
  </si>
  <si>
    <t>Tendencias de Costos, Global, Construcción, Estimación</t>
  </si>
  <si>
    <t>BURGLARY AND THEFT</t>
  </si>
  <si>
    <t>FMDS0916</t>
  </si>
  <si>
    <t>FMDS_0916_2025_ED_2025</t>
  </si>
  <si>
    <t>FMDS0916.pdf</t>
  </si>
  <si>
    <t>FMDS 0916</t>
  </si>
  <si>
    <t>Robo, Hurto, Seguridad Física, Prevención</t>
  </si>
  <si>
    <t>PREVENTION OF FREEZE-UPS</t>
  </si>
  <si>
    <t>FMDS0918</t>
  </si>
  <si>
    <t>FMDS_0918_2022_ED_2022</t>
  </si>
  <si>
    <t>FMDS0918.pdf</t>
  </si>
  <si>
    <t>FMDS 0918</t>
  </si>
  <si>
    <t>Prevención de Congelamiento, Tuberías, Sistemas de Agua, Invierno</t>
  </si>
  <si>
    <t>WILDLAND FIRE</t>
  </si>
  <si>
    <t>FMDS0919</t>
  </si>
  <si>
    <t>FMDS_0919_2024_ED_2024</t>
  </si>
  <si>
    <t>FMDS0919.pdf</t>
  </si>
  <si>
    <t>FMDS 0919</t>
  </si>
  <si>
    <t>Incendios Forestales, Interfaz Urbana, Mitigación, Diseño</t>
  </si>
  <si>
    <t>THE HUMAN FACTOR OF PROPERTY CONSERVATION</t>
  </si>
  <si>
    <t>FMDS1000</t>
  </si>
  <si>
    <t>FMDS_01000_2019_ED_2019</t>
  </si>
  <si>
    <t>FMDS1000.pdf</t>
  </si>
  <si>
    <t>FMDS 01000</t>
  </si>
  <si>
    <t>Factor Humano, Conservación de Propiedad, Cultura de Seguridad, Entrenamiento</t>
  </si>
  <si>
    <t>PRE-INCIDENT AND EMERGENCY RESPONSE PLANNING</t>
  </si>
  <si>
    <t>FMDS1001</t>
  </si>
  <si>
    <t>FMDS_01001_2023_ED_2023</t>
  </si>
  <si>
    <t>FMDS1001.pdf</t>
  </si>
  <si>
    <t>FMDS 01001</t>
  </si>
  <si>
    <t>Plan de Emergencia, Respuesta, Simulación, Preparación</t>
  </si>
  <si>
    <t>HOT WORK MANAGEMENT</t>
  </si>
  <si>
    <t>FMDS1003</t>
  </si>
  <si>
    <t>FMDS_01003_2021_ED_2021</t>
  </si>
  <si>
    <t>FMDS1003.pdf</t>
  </si>
  <si>
    <t>FMDS 01003</t>
  </si>
  <si>
    <t>Trabajos en Caliente, Gestión, Procedimiento, Permiso de Trabajo</t>
  </si>
  <si>
    <t>CONTRACTOR MANAGEMENT</t>
  </si>
  <si>
    <t>FMDS1004</t>
  </si>
  <si>
    <t>FMDS_01004_2024_ED_2024</t>
  </si>
  <si>
    <t>FMDS1004.pdf</t>
  </si>
  <si>
    <t>FMDS 01004</t>
  </si>
  <si>
    <t>Gestión de Contratistas, Seguridad, Procedimientos, Supervisión</t>
  </si>
  <si>
    <t>DISASTER RECOVERY PLANNING</t>
  </si>
  <si>
    <t>FMDS1005</t>
  </si>
  <si>
    <t>FMDS_01005_2025_ED_2025</t>
  </si>
  <si>
    <t>FMDS1005.pdf</t>
  </si>
  <si>
    <t>FMDS 01005</t>
  </si>
  <si>
    <t>Plan de Recuperación, Continuidad de Negocio, Desastres, Estrategia</t>
  </si>
  <si>
    <t>PROTECTION AGAINST ARSON AND OTHER INCENDIARY FIRES</t>
  </si>
  <si>
    <t>FMDS1006</t>
  </si>
  <si>
    <t>FMDS_01006_2025_ED_2025</t>
  </si>
  <si>
    <t>FMDS1006.pdf</t>
  </si>
  <si>
    <t>FMDS 01006</t>
  </si>
  <si>
    <t>Incendios Intencionales, Prevención de Arson, Seguridad Física</t>
  </si>
  <si>
    <t>FIRE PROTECTION IMPAIRMENT MANAGEMENT</t>
  </si>
  <si>
    <t>FMDS1007</t>
  </si>
  <si>
    <t>FMDS_01007_2019_ED_2019</t>
  </si>
  <si>
    <t>FMDS1007.pdf</t>
  </si>
  <si>
    <t>FMDS 01007</t>
  </si>
  <si>
    <t>Gestión de Deterioro, Sistemas de Fuego, Procedimiento, Notificación</t>
  </si>
  <si>
    <t>OPERATORS</t>
  </si>
  <si>
    <t>FMDS1008</t>
  </si>
  <si>
    <t>FMDS_01008_2019_ED_2019</t>
  </si>
  <si>
    <t>FMDS1008.pdf</t>
  </si>
  <si>
    <t>FMDS 01008</t>
  </si>
  <si>
    <t>Operadores, Roles, Responsabilidades, Entrenamiento</t>
  </si>
  <si>
    <t>VESSELS AND PIPING</t>
  </si>
  <si>
    <t>FMDS1202</t>
  </si>
  <si>
    <t>FMDS_01202_2024_ED_2024</t>
  </si>
  <si>
    <t>FMDS1202.pdf</t>
  </si>
  <si>
    <t>FMDS 01202</t>
  </si>
  <si>
    <t>Recipientes, Tuberías, Diseño, Mantenimiento</t>
  </si>
  <si>
    <t>CONTINUOUS DIGESTERS AND RELATED PROCESS VESSELS</t>
  </si>
  <si>
    <t>FMDS1203</t>
  </si>
  <si>
    <t>FMDS_01203_2025_ED_2025</t>
  </si>
  <si>
    <t>FMDS1203.pdf</t>
  </si>
  <si>
    <t>FMDS 01203</t>
  </si>
  <si>
    <t>Digestores Continuos, Recipientes de Proceso, Riesgo, Protección</t>
  </si>
  <si>
    <t>BATCH DIGESTERS AND RELATED PROCESS VESSELS</t>
  </si>
  <si>
    <t>FMDS1206</t>
  </si>
  <si>
    <t>FMDS_01206_2025_ED_2025</t>
  </si>
  <si>
    <t>FMDS1206.pdf</t>
  </si>
  <si>
    <t>FMDS 01206</t>
  </si>
  <si>
    <t>Digestores por Lotes, Recipientes de Proceso, Riesgo, Protección</t>
  </si>
  <si>
    <t>PRESSURE RELIEF DEVICES</t>
  </si>
  <si>
    <t>FMDS1243</t>
  </si>
  <si>
    <t>FMDS_01243_2013_ED_2013</t>
  </si>
  <si>
    <t>FMDS1243.pdf</t>
  </si>
  <si>
    <t>FMDS 01243</t>
  </si>
  <si>
    <t>Válvulas de Alivio, Dispositivos de Seguridad, Diseño, Mantenimiento</t>
  </si>
  <si>
    <t>STEAM TURBINES</t>
  </si>
  <si>
    <t>FMDS1303</t>
  </si>
  <si>
    <t>FMDS_01303_2025_ED_2025</t>
  </si>
  <si>
    <t>FMDS1303.pdf</t>
  </si>
  <si>
    <t>FMDS 01303</t>
  </si>
  <si>
    <t>Turbinas de Vapor, Riesgo de Fuego, Mantenimiento, Protección</t>
  </si>
  <si>
    <t>GEARS</t>
  </si>
  <si>
    <t>FMDS1307</t>
  </si>
  <si>
    <t>FMDS_01307_2023_ED_2023</t>
  </si>
  <si>
    <t>FMDS1307.pdf</t>
  </si>
  <si>
    <t>FMDS 01307</t>
  </si>
  <si>
    <t>Engranajes, Riesgo Mecánico, Mantenimiento, Lubricación</t>
  </si>
  <si>
    <t>POWER PRESSES</t>
  </si>
  <si>
    <t>FMDS1308</t>
  </si>
  <si>
    <t>FMDS_01308_2020_ED_2020</t>
  </si>
  <si>
    <t>FMDS1308.pdf</t>
  </si>
  <si>
    <t>FMDS 01308</t>
  </si>
  <si>
    <t>Prensas de Potencia, Riesgo Mecánico, Enclavamientos, Seguridad</t>
  </si>
  <si>
    <t>LAND-BASED WIND TURBINES AND FARMS</t>
  </si>
  <si>
    <t>FMDS1310</t>
  </si>
  <si>
    <t>FMDS_01310_2025_ED_2025</t>
  </si>
  <si>
    <t>FMDS1310.pdf</t>
  </si>
  <si>
    <t>FMDS 01310</t>
  </si>
  <si>
    <t>Aerogeneradores, Energía Eólica, Riesgo de Fuego, Protección</t>
  </si>
  <si>
    <t>GAS TURBINES</t>
  </si>
  <si>
    <t>FMDS1317</t>
  </si>
  <si>
    <t>FMDS_01317_2025_ED_2025</t>
  </si>
  <si>
    <t>FMDS1317.pdf</t>
  </si>
  <si>
    <t>FMDS 01317</t>
  </si>
  <si>
    <t>Turbinas de Gas, Mantenimiento, Riesgo de Fuego, Enclavamientos</t>
  </si>
  <si>
    <t>INDUSTRIAL CLUTCHES AND CLUTCH COUPLINGS</t>
  </si>
  <si>
    <t>FMDS1318</t>
  </si>
  <si>
    <t>FMDS_01318_2000_ED_2000</t>
  </si>
  <si>
    <t>FMDS1318.pdf</t>
  </si>
  <si>
    <t>FMDS 01318</t>
  </si>
  <si>
    <t>Embragues Industriales, Acoplamientos, Mantenimiento, Seguridad</t>
  </si>
  <si>
    <t>FANS AND BLOWERS</t>
  </si>
  <si>
    <t>FMDS1324</t>
  </si>
  <si>
    <t>FMDS_01324_2024_ED_2024</t>
  </si>
  <si>
    <t>FMDS1324.pdf</t>
  </si>
  <si>
    <t>FMDS 01324</t>
  </si>
  <si>
    <t>Ventiladores y Sopladores, Riesgo Mecánico, Mantenimiento, Seguridad</t>
  </si>
  <si>
    <t>INTERNAL COMBUSTION ENGINES</t>
  </si>
  <si>
    <t>FMDS1326</t>
  </si>
  <si>
    <t>FMDS_01326_2020_ED_2020</t>
  </si>
  <si>
    <t>FMDS1326.pdf</t>
  </si>
  <si>
    <t>FMDS 01326</t>
  </si>
  <si>
    <t>Motores de Combustión, Riesgo de Fuego, Instalación, Ventilación</t>
  </si>
  <si>
    <t>RNE - NORMA A-130 ED 2012.pdf</t>
  </si>
  <si>
    <t>RNE_A.130_2012_ED_2012</t>
  </si>
  <si>
    <t>Requisitos de seguridad</t>
  </si>
  <si>
    <t>A.130</t>
  </si>
  <si>
    <t>NORMA A-130 ED 2012.pdf,A.130,Norma Técnica A.130: Requisitos de Seguridad (Edición 2012)</t>
  </si>
  <si>
    <t>RNE</t>
  </si>
  <si>
    <t xml:space="preserve">Reglamento Nacional de Edificación </t>
  </si>
  <si>
    <t>pe</t>
  </si>
  <si>
    <t>Nacional</t>
  </si>
  <si>
    <t>Vigente</t>
  </si>
  <si>
    <t>norma_tecnica_nacional</t>
  </si>
  <si>
    <t>norma_construccion</t>
  </si>
  <si>
    <t>Seguridad, Evacuación, Riesgos</t>
  </si>
  <si>
    <t>2012-11-09</t>
  </si>
  <si>
    <t>2012-11-10</t>
  </si>
  <si>
    <t>RNE - PARTE 012.pdf</t>
  </si>
  <si>
    <t>RNE_E.090_12_2006_ED_2006</t>
  </si>
  <si>
    <t>Limites de aceptación y reparación de discontinuidades laminares producidos en el taller en superficies cortadas</t>
  </si>
  <si>
    <t>E.090</t>
  </si>
  <si>
    <t>PARTE 012.pdf,Estructuras,Límites de Aceptación y Reparación de Discontinuidades Laminares Producidas en el Taller en Superficies Cortadas (Parte 012)</t>
  </si>
  <si>
    <t>Discontinuidades, Laminar, Reparación</t>
  </si>
  <si>
    <t>2006-06-08</t>
  </si>
  <si>
    <t>2006-06-09</t>
  </si>
  <si>
    <t>RNE - NORMA A-010 ED 2009.pdf</t>
  </si>
  <si>
    <t>RNE_A.010_2009_ED_2009</t>
  </si>
  <si>
    <t xml:space="preserve">Condiciones generales de diseño </t>
  </si>
  <si>
    <t>A.010</t>
  </si>
  <si>
    <t>NORMA A-010 ED 2009.pdf,A.010,Norma Técnica A.010: Condiciones Generales de Diseño (Edición 2009)</t>
  </si>
  <si>
    <t>Diseño, Condiciones, Generales</t>
  </si>
  <si>
    <t>2009-05-08</t>
  </si>
  <si>
    <t>2009-05-09</t>
  </si>
  <si>
    <t>RNE - NORMA A-050 ED 2009.pdf</t>
  </si>
  <si>
    <t>RNE_A.050_2009_ED_2009</t>
  </si>
  <si>
    <t>Salud</t>
  </si>
  <si>
    <t>A.050</t>
  </si>
  <si>
    <t>NORMA A-050 ED 2009.pdf,A.050,Norma Técnica A.050: Salud (Edición 2009)</t>
  </si>
  <si>
    <t>Salud, Habitabilidad, Ambientes</t>
  </si>
  <si>
    <t>RNE - PARTE 011.pdf</t>
  </si>
  <si>
    <t>RNE_E.010_011_2006_ED_2006</t>
  </si>
  <si>
    <t xml:space="preserve">Requisitos de diseño </t>
  </si>
  <si>
    <t xml:space="preserve">E.010 </t>
  </si>
  <si>
    <t>PARTE 011.pdf,Diseño,Requisitos de Diseño (Parte 011)</t>
  </si>
  <si>
    <t>Requisitos, Diseño, Construcción</t>
  </si>
  <si>
    <t>RNE - PARTE 001.pdf</t>
  </si>
  <si>
    <t>RNE_G.010_001_2006_ED_2006</t>
  </si>
  <si>
    <t xml:space="preserve">RNE separata especial </t>
  </si>
  <si>
    <t xml:space="preserve">G.010 </t>
  </si>
  <si>
    <t>PARTE 001.pdf,General,Reglamento Nacional de Edificaciones (RNE) - Separata Especial (Parte 001)</t>
  </si>
  <si>
    <t>RNE, Separata, Edificaciones</t>
  </si>
  <si>
    <t>RNE - NORMA A-010 ED 2014.pdf</t>
  </si>
  <si>
    <t>RNE_A.010_2014_ED_2014</t>
  </si>
  <si>
    <t xml:space="preserve">Norma técnica A.010 Condiciones generales de diseño </t>
  </si>
  <si>
    <t>NORMA A-010 ED 2014.pdf,A.010,Norma Técnica A.010: Condiciones Generales de Diseño (Edición 2014)</t>
  </si>
  <si>
    <t>Diseño, Condiciones, Edificación</t>
  </si>
  <si>
    <t>2014-05-09</t>
  </si>
  <si>
    <t>2014-05-10</t>
  </si>
  <si>
    <t>RNE - NORMA A-120 ED 2006.pdf</t>
  </si>
  <si>
    <t>RNE_A.120_2006_ED_2006</t>
  </si>
  <si>
    <t>Norma A.120 Accesibilidad para personas con discapacidad</t>
  </si>
  <si>
    <t>A.120</t>
  </si>
  <si>
    <t>NORMA A-120 ED 2006.pdf,A.120,Norma Técnica A.120: Accesibilidad para Personas con Discapacidad (Edición 2006)</t>
  </si>
  <si>
    <t>Accesibilidad, Discapacidad, Universal</t>
  </si>
  <si>
    <t>RNE - PARTE 013.pdf</t>
  </si>
  <si>
    <t>RNE_IS_2006_ED_2006</t>
  </si>
  <si>
    <t>INSTALACIONES, REQUISITOS DE CONSTRUCCIÓN</t>
  </si>
  <si>
    <t xml:space="preserve">IS </t>
  </si>
  <si>
    <t>PARTE 013.pdf,Instalaciones,Instalaciones: Requisitos de Construcción (Parte 013)</t>
  </si>
  <si>
    <t>Instalaciones, Requisitos, Construcción</t>
  </si>
  <si>
    <t>RNE - PARTE 002.pdf</t>
  </si>
  <si>
    <t>RNE_TH.020_2006_ED_2006</t>
  </si>
  <si>
    <t xml:space="preserve">Norma th.020 Habilitaciones para uso comercial </t>
  </si>
  <si>
    <t>TH.020</t>
  </si>
  <si>
    <t>PARTE 002.pdf,TH.020,Norma Técnica TH.020: Habilitaciones para Uso Comercial (Parte 002)</t>
  </si>
  <si>
    <t>Habilitaciones, Uso Comercial, Terrenos</t>
  </si>
  <si>
    <t>RNE - NORMA IS-010.pdf</t>
  </si>
  <si>
    <t>RNE_IS.010_2006_ED_2006</t>
  </si>
  <si>
    <t>Norma IS.010 Instalaciones sanitarias para editficaciones</t>
  </si>
  <si>
    <t>IS.010</t>
  </si>
  <si>
    <t>NORMA IS-010.pdf,IS.010,Norma Técnica IS.010: Instalaciones Sanitarias para Edificaciones</t>
  </si>
  <si>
    <t>Sanitarias, Instalaciones, Edificaciones</t>
  </si>
  <si>
    <t>RNE - NORMA A-020 - VIVIENDA ED 2021.pdf</t>
  </si>
  <si>
    <t>RNE_A.020_2021_ED_2021</t>
  </si>
  <si>
    <t>Norma Técnica A.020 vivienda del reglamento nacional de edificaciones</t>
  </si>
  <si>
    <t>A.020</t>
  </si>
  <si>
    <t>NORMA A-020 - VIVIENDA ED 2021.pdf,A.020,Norma Técnica A.020: Vivienda (Edición 2021)</t>
  </si>
  <si>
    <t>Vivienda, Habitabilidad, Distribución</t>
  </si>
  <si>
    <t>2021-05-11</t>
  </si>
  <si>
    <t>2021-05-12</t>
  </si>
  <si>
    <t>RNE - PARTE 009.pdf</t>
  </si>
  <si>
    <t>RNE_E.060_2006_ED_2006</t>
  </si>
  <si>
    <t>Norma E.060 contreto armado</t>
  </si>
  <si>
    <t>E.060</t>
  </si>
  <si>
    <t>PARTE 009.pdf,E.060,Norma Técnica E.060: Concreto Armado (Parte 009)</t>
  </si>
  <si>
    <t>Concreto Armado, Estructuras, Diseño</t>
  </si>
  <si>
    <t>RNE - NORMA G-040 ED 2021.pdf</t>
  </si>
  <si>
    <t>RNE_G.040_2021_ED_2021</t>
  </si>
  <si>
    <t xml:space="preserve">Modificación de la norma técnica G.040, definiciones del reglamento nacional de edificaciones </t>
  </si>
  <si>
    <t>G.040</t>
  </si>
  <si>
    <t>NORMA G-040 ED 2021.pdf,G.040,Norma Técnica G.040: Modificación de Definiciones del RNE (Edición 2021)</t>
  </si>
  <si>
    <t>Definiciones, Modificación, Glosario</t>
  </si>
  <si>
    <t>RNE - NORMA A-010 ED 2009-a.pdf</t>
  </si>
  <si>
    <t>RNE_A.010_a_2009_ED_2009</t>
  </si>
  <si>
    <t>NORMA A.010 CONDICIONES GENERALES DE DISEÑO</t>
  </si>
  <si>
    <t>NORMA A-010 ED 2009-a.pdf,A.010,Norma Técnica A.010: Condiciones Generales de Diseño (Versión 2009-A)</t>
  </si>
  <si>
    <t>Diseño, Condiciones, Normativa</t>
  </si>
  <si>
    <t>RNE - NORMA A-130 ED 2006.pdf</t>
  </si>
  <si>
    <t>RNE_A.130_2006_ED_2006</t>
  </si>
  <si>
    <t>Norma A.130 Requisitos de seguridad</t>
  </si>
  <si>
    <t>NORMA A-130 ED 2006.pdf,A.130,Norma Técnica A.130: Requisitos de Seguridad (Edición 2006)</t>
  </si>
  <si>
    <t>RNE - NORMA A-120 ED 2019.pdf</t>
  </si>
  <si>
    <t>RNE_A.120_2019_ED_2019</t>
  </si>
  <si>
    <t>Modificación de la norma técnica a.120 "accesibilidad universal en edificaciones" del rne</t>
  </si>
  <si>
    <t>NORMA A-120 ED 2019.pdf,A.120,Norma Técnica A.120: Modificación de Accesibilidad Universal en Edificaciones (Edición 2019)</t>
  </si>
  <si>
    <t>Accesibilidad, Universal, Modificación</t>
  </si>
  <si>
    <t>2019-03-24</t>
  </si>
  <si>
    <t>RNE - PARTE 003.pdf</t>
  </si>
  <si>
    <t>RNE_IS.020_2006_ED_2006</t>
  </si>
  <si>
    <t>7. CONSIDERACIONES HIDRAÚLICAS EN SISTE-
MAS DE DRENAJE URBANO MAYOR</t>
  </si>
  <si>
    <t>IS.020</t>
  </si>
  <si>
    <t>PARTE 003.pdf,Drenaje,Consideraciones Hidráulicas en Sistemas de Drenaje Urbano Mayor (Parte 003)</t>
  </si>
  <si>
    <t>Hidráulicas, Drenaje, Urbano</t>
  </si>
  <si>
    <t>RNE - PARTE 005.pdf</t>
  </si>
  <si>
    <t>RNE_GE.040_2006_ED_2006</t>
  </si>
  <si>
    <t xml:space="preserve">Norma GE.040 Uso y mantenimiento </t>
  </si>
  <si>
    <t>GE.040</t>
  </si>
  <si>
    <t>PARTE 005.pdf,GE.040,Norma Técnica GE.040: Uso y Mantenimiento (Parte 005)</t>
  </si>
  <si>
    <t>Uso, Mantenimiento, Edificaciones</t>
  </si>
  <si>
    <t>RNE - PARTE 007.pdf</t>
  </si>
  <si>
    <t>RNE_E.010_007_2006_ED_2006</t>
  </si>
  <si>
    <t>Anexo Normas de materiales y procedimientos citados</t>
  </si>
  <si>
    <t>PARTE 007.pdf,Anexo,Anexo: Normas de Materiales y Procedimientos Citados (Parte 007)</t>
  </si>
  <si>
    <t>Anexo, Materiales, Procedimientos</t>
  </si>
  <si>
    <t>RNE - NORMA IS-010 - Edicion 2012.pdf</t>
  </si>
  <si>
    <t>RNE_IS.010_2012_ED_2012</t>
  </si>
  <si>
    <t xml:space="preserve">Instalaciones sanitarias para edificaciones </t>
  </si>
  <si>
    <t>NORMA IS-010 - Edicion 2012.pdf,IS.010,Norma Técnica IS.010: Instalaciones Sanitarias para Edificaciones (Edición 2012)</t>
  </si>
  <si>
    <t>RNE - PARTE 008.pdf</t>
  </si>
  <si>
    <r>
      <rPr>
        <rFont val="Arial"/>
        <color theme="1"/>
      </rPr>
      <t>RNE_E.0</t>
    </r>
    <r>
      <rPr>
        <rFont val="Arial"/>
        <color rgb="FFFF0000"/>
      </rPr>
      <t>30_E</t>
    </r>
    <r>
      <rPr>
        <rFont val="Arial"/>
        <color theme="1"/>
      </rPr>
      <t>.070_2006_ED_2006</t>
    </r>
  </si>
  <si>
    <t xml:space="preserve">elementos no estructurales , apéndices y equipo </t>
  </si>
  <si>
    <t>E.030 / E.070</t>
  </si>
  <si>
    <t>PARTE 008.pdf,Estructuras,"Elementos No Estructurales, Apéndices y Equipo (Parte 008)"</t>
  </si>
  <si>
    <t>No Estructurales, Apéndices, Equipo</t>
  </si>
  <si>
    <t>RNE - PARTE 004.pdf</t>
  </si>
  <si>
    <t>RNE_G.010_004_2006_ED_2006</t>
  </si>
  <si>
    <t xml:space="preserve">Disposiciones generales </t>
  </si>
  <si>
    <t>G.010</t>
  </si>
  <si>
    <t>PARTE 004.pdf,General,Disposiciones Generales (Parte 004)</t>
  </si>
  <si>
    <t>Disposiciones, Generales, Ámbito</t>
  </si>
  <si>
    <t>RNE - PARTE 006.pdf</t>
  </si>
  <si>
    <r>
      <rPr>
        <rFont val="Arial"/>
        <color theme="1"/>
      </rPr>
      <t>RNE_E.0</t>
    </r>
    <r>
      <rPr>
        <rFont val="Arial"/>
        <color rgb="FFFF0000"/>
      </rPr>
      <t>30_E.</t>
    </r>
    <r>
      <rPr>
        <rFont val="Arial"/>
        <color theme="1"/>
      </rPr>
      <t>060_2006_ED_2006</t>
    </r>
  </si>
  <si>
    <t xml:space="preserve">Muros de corte , carga lateral sismoo viento </t>
  </si>
  <si>
    <t>E.030 / E.060</t>
  </si>
  <si>
    <t>PARTE 006.pdf,Estructuras,"Muros de Corte, Carga Lateral Sismo o Viento (Parte 006)"</t>
  </si>
  <si>
    <t>Muros, Sismo, Carga Lateral</t>
  </si>
  <si>
    <t>RNE - NORMA A-140 ED 2021.pdf</t>
  </si>
  <si>
    <t>RNE_A.140_2021_ED_2021</t>
  </si>
  <si>
    <t>Norma técnica A.140 Bienes culturales inmuebles del RNE</t>
  </si>
  <si>
    <t>A.140</t>
  </si>
  <si>
    <t>NORMA A-140 ED 2021.pdf,A.140,Norma Técnica A.140: Bienes Culturales Inmuebles del RNE (Edición 2021)</t>
  </si>
  <si>
    <t>Bienes Culturales, Inmuebles, Patrimonio</t>
  </si>
  <si>
    <t>RNE - NORMA EM-030 ED 2020.pdf</t>
  </si>
  <si>
    <t>RNE_EM.030_2020_ED_2020</t>
  </si>
  <si>
    <t>Modifican la Norma Técnica EM.030
Instalaciones de Ventilación del Reglamento
Nacional de Edificaciones y dictan otras
disposiciones</t>
  </si>
  <si>
    <t>EM.030</t>
  </si>
  <si>
    <t>NORMA EM-030 ED 2020.pdf,EM.030,Norma Técnica EM.030: Modificación de Instalaciones de Ventilación (Edición 2020)</t>
  </si>
  <si>
    <t>Ventilación, Instalaciones, Modificación</t>
  </si>
  <si>
    <t>2020-03-13</t>
  </si>
  <si>
    <t>2020-03-14</t>
  </si>
  <si>
    <t>RNE - PARTE 010.pdf</t>
  </si>
  <si>
    <t>RNE_E.090_010_2006_ED_2006</t>
  </si>
  <si>
    <t>ARTICULO 19 – CÁSCARAS Y LÁMINAS PLEGADAS</t>
  </si>
  <si>
    <t>PARTE 010.pdf,Estructuras,Artículo 19: Cáscaras y Láminas Plegadas (Parte 010)</t>
  </si>
  <si>
    <t>Cáscaras, Láminas Plegadas, Artículo 19</t>
  </si>
  <si>
    <t>RNE - NORMA A-120 ED 2023.pdf</t>
  </si>
  <si>
    <t>RNE_A.120_2023_ED_2023</t>
  </si>
  <si>
    <t>Modificacion de la norma técnica A.120 Accesibilidad universal en edificaciones del RNE</t>
  </si>
  <si>
    <t>NORMA A-120 ED 2023.pdf,A.120,Norma Técnica A.120: Modificación de Accesibilidad Universal en Edificaciones (Edición 2023)</t>
  </si>
  <si>
    <t>2023-02-17</t>
  </si>
  <si>
    <t>2023-02-18</t>
  </si>
  <si>
    <t>RNE - NORMA A-010 ED 2021.pdf</t>
  </si>
  <si>
    <t>RNE_A.010_2021_ED_2021</t>
  </si>
  <si>
    <t>Condiciones generales de diseño del RNE</t>
  </si>
  <si>
    <t>NORMA A-010 ED 2021.pdf,A.010,Norma Técnica A.010: Condiciones Generales de Diseño del RNE (Edición 2021)</t>
  </si>
  <si>
    <t>RNE - 2009_G_050.pdf</t>
  </si>
  <si>
    <t>RNE_G_050_2009_ED_2009</t>
  </si>
  <si>
    <t>RNE_G_050.pdf</t>
  </si>
  <si>
    <t>Seguridad durante la construcción</t>
  </si>
  <si>
    <t>G.050-Seguridad durante la construcción</t>
  </si>
  <si>
    <t>G.050 Seguridad durante la construcción</t>
  </si>
  <si>
    <t>Seguridad, Construcción, Riesgos</t>
  </si>
  <si>
    <t>RNE - 2006_G_030.pdf</t>
  </si>
  <si>
    <t>RNE_G_030_2006_ED_2006</t>
  </si>
  <si>
    <t>RNE_G_030.pdf</t>
  </si>
  <si>
    <t>Derechos y resposabilidades</t>
  </si>
  <si>
    <t>G.030-Derechos y resposabilidades</t>
  </si>
  <si>
    <t>G.030 Derechos y resposabilidades</t>
  </si>
  <si>
    <t>Derechos, Responsabilidades, Legal</t>
  </si>
  <si>
    <t>RNE - 2006_G_020.pdf</t>
  </si>
  <si>
    <t>RNE_G_020_2006_ED_2006</t>
  </si>
  <si>
    <t>RNE_G_020.pdf</t>
  </si>
  <si>
    <t>Principios Generales</t>
  </si>
  <si>
    <t>G.020-Principios Generales</t>
  </si>
  <si>
    <t>G.020 Principios Generales</t>
  </si>
  <si>
    <t>Principios, General, Obligatoriedad</t>
  </si>
  <si>
    <t>RNE - 2006_G_010.pdf</t>
  </si>
  <si>
    <t>RNE_G_010_2006_ED_2006</t>
  </si>
  <si>
    <t>RNE_G_010.pdf</t>
  </si>
  <si>
    <t>Consideraciones Básicas</t>
  </si>
  <si>
    <t>G.010-Consideraciones Básicas</t>
  </si>
  <si>
    <t>G.010 Consideraciones Básicas</t>
  </si>
  <si>
    <t>Consideraciones, Alcance, Aplicación</t>
  </si>
  <si>
    <t>RNE - RM_029-2021-Vivienda.pdf</t>
  </si>
  <si>
    <t>RNE_RM_029_2021_ED_2021</t>
  </si>
  <si>
    <t>RNE_RM_029.pdf</t>
  </si>
  <si>
    <t>Definición</t>
  </si>
  <si>
    <t>G.040-Definición</t>
  </si>
  <si>
    <t>G.040 Definición</t>
  </si>
  <si>
    <t>Definiciones, Glosario, Términos</t>
  </si>
  <si>
    <t>2021-01-29</t>
  </si>
  <si>
    <t>2021-01-30</t>
  </si>
  <si>
    <t>RNE - 2018_EM040-G030_RM-341-2018-VIVIENDA.pdf</t>
  </si>
  <si>
    <t>RNE_EM040-G030_2018_ED_2018</t>
  </si>
  <si>
    <t>RNE_EM040-G030.pdf</t>
  </si>
  <si>
    <t>G.030-Seguridad durante la construcción</t>
  </si>
  <si>
    <t>G.030 Seguridad durante la construcción</t>
  </si>
  <si>
    <t>2018-10-06</t>
  </si>
  <si>
    <t>2018-10-07</t>
  </si>
  <si>
    <t>RNE - 017-2012-CE020</t>
  </si>
  <si>
    <t>RNE_CE_020_2012_ED_2012</t>
  </si>
  <si>
    <t>RNE_CE_020.pdf</t>
  </si>
  <si>
    <t>Estabilizacion de suelos y taludes</t>
  </si>
  <si>
    <t>CE.020-Estabilizacion de suelos y taludes</t>
  </si>
  <si>
    <t>CE.020 Estabilizacion de suelos y taludes</t>
  </si>
  <si>
    <t>Alcances, Contenido, Proyectos</t>
  </si>
  <si>
    <t>RNE - DS005-2014_CE.030</t>
  </si>
  <si>
    <t>RNE_CE_030_2014_ED_2014</t>
  </si>
  <si>
    <t>RNE_CE_030.pdf</t>
  </si>
  <si>
    <t>Obras esppeciales y complementarias</t>
  </si>
  <si>
    <t>CE.030-Obras esppeciales y complementarias</t>
  </si>
  <si>
    <t>CE.030 Obras esppeciales y complementarias</t>
  </si>
  <si>
    <t>Componentes, Características, Proyectos</t>
  </si>
  <si>
    <t>RNE - Pavimentos_Urbanos</t>
  </si>
  <si>
    <t>RNE_PAVIMENTOS_URB_2010_ED_2010</t>
  </si>
  <si>
    <t>RNE_PAVIMENTOS_URB.pdf</t>
  </si>
  <si>
    <t>Pavimentos urbanos</t>
  </si>
  <si>
    <t>CE.010-Pavimentos urbanos</t>
  </si>
  <si>
    <t>CE.010 Pavimentos urbanos</t>
  </si>
  <si>
    <t>Calidad, Construcción, Supervisión</t>
  </si>
  <si>
    <t>2010-01-14</t>
  </si>
  <si>
    <t>2010-01-15</t>
  </si>
  <si>
    <t>RNE - RM_126-2021-Vivienda</t>
  </si>
  <si>
    <t>RNE_RM_126_2021_ED_2021</t>
  </si>
  <si>
    <t>RNE_RM_126.pdf</t>
  </si>
  <si>
    <t>Drenaje pluvial urbano a norma técnica CE.040- Drenaje pluvial del reglamentonacional de edificacion</t>
  </si>
  <si>
    <t>OS.060-Drenaje pluvial urbano a norma técnica CE.040-Drenaje pluvial del reglamentonacional de edificaciones</t>
  </si>
  <si>
    <t>OS.060 Drenaje pluvial urbano a norma técnica CE.040 Drenaje pluvial del reglamentonacional de edificaciones</t>
  </si>
  <si>
    <t>Uso, Mantenimiento, Edificación</t>
  </si>
  <si>
    <t>2021-04-24</t>
  </si>
  <si>
    <t>2021-04-25</t>
  </si>
  <si>
    <t>RNE - RM_431-2024_VIVIENDA</t>
  </si>
  <si>
    <t>RNE_RM_431_2024_ED_2024</t>
  </si>
  <si>
    <t>RNE_RM_431.pdf</t>
  </si>
  <si>
    <t>Drenaje pluvial del reglamento nacional de edificaciones</t>
  </si>
  <si>
    <t>CE.040-Drenaje pluvial del reglamento nacional de edificaciones</t>
  </si>
  <si>
    <t>CE.040 Drenaje pluvial del reglamento nacional de edificaciones</t>
  </si>
  <si>
    <t>Habilitación, Residencial, Lotes</t>
  </si>
  <si>
    <t>2024-11-21</t>
  </si>
  <si>
    <t>2024-11-22</t>
  </si>
  <si>
    <t>RNE - 2006_GH_010</t>
  </si>
  <si>
    <t>RNE_GH_010_2006_ED_2006</t>
  </si>
  <si>
    <t>RNE_GH_010.pdf</t>
  </si>
  <si>
    <t xml:space="preserve">ALCANCE T CONTENIDO </t>
  </si>
  <si>
    <t xml:space="preserve">GH.010-ALCANCE T CONTENIDO </t>
  </si>
  <si>
    <t xml:space="preserve">GH.010 ALCANCE T CONTENIDO </t>
  </si>
  <si>
    <t>Habilitación, Industrial, Zonificación</t>
  </si>
  <si>
    <t>RNE - 2011_GH_020</t>
  </si>
  <si>
    <t>RNE_GH_020_2011_ED_2011</t>
  </si>
  <si>
    <t>RNE_GH_020.pdf</t>
  </si>
  <si>
    <t xml:space="preserve">Componentes de diseño urbano </t>
  </si>
  <si>
    <t xml:space="preserve">GH.020-Componentes de diseño urbano </t>
  </si>
  <si>
    <t xml:space="preserve">GH.020 Componentes de diseño urbano </t>
  </si>
  <si>
    <t>Habilitación, Usos Especiales, Terrenos</t>
  </si>
  <si>
    <t>2011-05-21</t>
  </si>
  <si>
    <t>2011-05-22</t>
  </si>
  <si>
    <t>RNE - DS022-2009-VIVIENDA</t>
  </si>
  <si>
    <t>RNE_DS022_2009_ED_2009</t>
  </si>
  <si>
    <t>RNE_DS022.pdf</t>
  </si>
  <si>
    <t>Plantas de tratamiento de aguas residuales</t>
  </si>
  <si>
    <t xml:space="preserve"> Modifican Norma Técnica OS.090-Plantas de tratamiento de aguas residuales</t>
  </si>
  <si>
    <t xml:space="preserve"> Modifican Norma Técnica OS.090 Plantas de tratamiento de aguas residuales</t>
  </si>
  <si>
    <t>Habilitación, Ribera, Ladera</t>
  </si>
  <si>
    <t>2009-11-27</t>
  </si>
  <si>
    <t>2009-11-28</t>
  </si>
  <si>
    <t>RNE - DS024-2009-VIVIENDA</t>
  </si>
  <si>
    <t>RNE_DS024_2009_ED_2009</t>
  </si>
  <si>
    <t>RNE_DS024.pdf</t>
  </si>
  <si>
    <t>Plantas de tratamiento de agua para consumo humano</t>
  </si>
  <si>
    <t xml:space="preserve"> Modifican Norma Técnica OS.020-Plantas de tratamiento de agua para consumo humano</t>
  </si>
  <si>
    <t xml:space="preserve"> Modifican Norma Técnica OS.020 Plantas de tratamiento de agua para consumo humano</t>
  </si>
  <si>
    <t>Reurbanización, Densificación, Trazado</t>
  </si>
  <si>
    <t>2009-12-18</t>
  </si>
  <si>
    <t>2009-12-19</t>
  </si>
  <si>
    <t>RNE - 2006_OS_010</t>
  </si>
  <si>
    <t>RNE_OS_010_2006_ED_2006</t>
  </si>
  <si>
    <t>RNE_OS_010.pdf</t>
  </si>
  <si>
    <t xml:space="preserve">Capacitación y conducción de agua para consumo humano </t>
  </si>
  <si>
    <t xml:space="preserve">OS.010-Capacitación y conducción de agua para consumo humano </t>
  </si>
  <si>
    <t xml:space="preserve">OS.010 Capacitación y conducción de agua para consumo humano </t>
  </si>
  <si>
    <t>Habilitación, Comercial, Lotes</t>
  </si>
  <si>
    <t>RNE - 2006_OS_020</t>
  </si>
  <si>
    <t>RNE_OS_020_2006_ED_2006</t>
  </si>
  <si>
    <t>RNE_OS_020.pdf</t>
  </si>
  <si>
    <t xml:space="preserve">Plantas de tratamiento de agua para consumo humano </t>
  </si>
  <si>
    <t xml:space="preserve">OS.020-Plantas de tratamiento de agua para consumo humano </t>
  </si>
  <si>
    <t xml:space="preserve">OS.020 Plantas de tratamiento de agua para consumo humano </t>
  </si>
  <si>
    <t>Hospedaje, Alojamiento, Hoteles</t>
  </si>
  <si>
    <t>RNE - 2006_OS_030</t>
  </si>
  <si>
    <t>RNE_OS_030_2006_ED_2006</t>
  </si>
  <si>
    <t>RNE_OS_030.pdf</t>
  </si>
  <si>
    <t xml:space="preserve">Almacenamiento de agua para consumo humano </t>
  </si>
  <si>
    <t xml:space="preserve">OS.030-Almacenamiento de agua para consumo humano </t>
  </si>
  <si>
    <t xml:space="preserve">OS.030 Almacenamiento de agua para consumo humano </t>
  </si>
  <si>
    <t>Educación, Colegios, Aulas</t>
  </si>
  <si>
    <t>RNE - 2006_OS_040</t>
  </si>
  <si>
    <t>RNE_OS_040_2006_ED_2006</t>
  </si>
  <si>
    <t>RNE_OS_040.pdf</t>
  </si>
  <si>
    <t>Estaciones de bombeo de agua para consumo humano</t>
  </si>
  <si>
    <t>OS.040-Estaciones de bombeo de agua para consumo humano</t>
  </si>
  <si>
    <t>OS.040 Estaciones de bombeo de agua para consumo humano</t>
  </si>
  <si>
    <t>Bienes Culturales, Monumentales, Patrimonio</t>
  </si>
  <si>
    <t>RNE - 2006_OS_080</t>
  </si>
  <si>
    <t>RNE_OS_080_2006_ED_2006</t>
  </si>
  <si>
    <t>RNE_OS_080.pdf</t>
  </si>
  <si>
    <t>Estaciones de bombeo de aguas residuales</t>
  </si>
  <si>
    <t>OS.080-Estaciones de bombeo de aguas residuales</t>
  </si>
  <si>
    <t>OS.080 Estaciones de bombeo de aguas residuales</t>
  </si>
  <si>
    <t>Impacto Vial, Evaluación, Estacionamiento</t>
  </si>
  <si>
    <t>RNE - 2006_OS_090</t>
  </si>
  <si>
    <t>RNE_OS_090_2006_ED_2006</t>
  </si>
  <si>
    <t>RNE_OS_090.pdf</t>
  </si>
  <si>
    <t xml:space="preserve">Plantas de tratamiento de aguas residuales </t>
  </si>
  <si>
    <t xml:space="preserve">OS.090-Plantas de tratamiento de aguas residuales </t>
  </si>
  <si>
    <t xml:space="preserve">OS.090 Plantas de tratamiento de aguas residuales </t>
  </si>
  <si>
    <t>Recreación, Deportes, Espacios Libres</t>
  </si>
  <si>
    <t>RNE - 2006_OS_100</t>
  </si>
  <si>
    <t>RNE_OS_100_2006_ED_2006</t>
  </si>
  <si>
    <t>RNE_OS_100.pdf</t>
  </si>
  <si>
    <t>Consideraciones básicas de diseño de infraestructura sanitaria</t>
  </si>
  <si>
    <t>OS.100-Consideraciones básicas de diseño de infraestructura sanitaria</t>
  </si>
  <si>
    <t>OS.100 Consideraciones básicas de diseño de infraestructura sanitaria</t>
  </si>
  <si>
    <t>Comercio, Tiendas, Mercados</t>
  </si>
  <si>
    <t>RNE - 2009_OS_050</t>
  </si>
  <si>
    <t>RNE_OS_050_2009_ED_2009</t>
  </si>
  <si>
    <t>RNE_OS_050.pdf</t>
  </si>
  <si>
    <t xml:space="preserve">Redes de distribución de agua para consumo humano </t>
  </si>
  <si>
    <t xml:space="preserve">OS.050-Redes de distribución de agua para consumo humano </t>
  </si>
  <si>
    <t xml:space="preserve">OS.050 Redes de distribución de agua para consumo humano </t>
  </si>
  <si>
    <t>Seguridad, Evacuación, Incendios</t>
  </si>
  <si>
    <t>2009-05-10</t>
  </si>
  <si>
    <t>RNE - 2009_OS_070</t>
  </si>
  <si>
    <t>RNE_OS_070_2009_ED_2009</t>
  </si>
  <si>
    <t>RNE_OS_070.pdf</t>
  </si>
  <si>
    <t>Redes de aguas residuales</t>
  </si>
  <si>
    <t>OS.70-Redes de aguas residuales</t>
  </si>
  <si>
    <t>OS.70 Redes de aguas residuales</t>
  </si>
  <si>
    <t>Accesibilidad, Universal, Discapacidad</t>
  </si>
  <si>
    <t>RNE - 2006_EC_010</t>
  </si>
  <si>
    <t>RNE_EC_010_2006_ED_2006</t>
  </si>
  <si>
    <t>RNE_EC_010.pdf</t>
  </si>
  <si>
    <t>Redes de distribución de energía eléctrica</t>
  </si>
  <si>
    <t>EC.010-Redes de distribución de energía eléctrica</t>
  </si>
  <si>
    <t>EC.010 Redes de distribución de energía eléctrica</t>
  </si>
  <si>
    <t>Vivienda, Habitabilidad, Multifamiliar</t>
  </si>
  <si>
    <t>RNE - 2006_EC_020</t>
  </si>
  <si>
    <t>RNE_EC_020_2006_ED_2006</t>
  </si>
  <si>
    <t>RNE_EC_020.pdf</t>
  </si>
  <si>
    <t>Redes de Alumbrado público</t>
  </si>
  <si>
    <t>EC.020-Redes de Alumbrado público</t>
  </si>
  <si>
    <t>EC.020 Redes de Alumbrado público</t>
  </si>
  <si>
    <t>Diseño, Condiciones, Arquitectura</t>
  </si>
  <si>
    <t>RNE - 2006_EC_030</t>
  </si>
  <si>
    <t>RNE_EC_030_2006_ED_2006</t>
  </si>
  <si>
    <t>RNE_EC_030.pdf</t>
  </si>
  <si>
    <t>Subestaciones eléctricas</t>
  </si>
  <si>
    <t>EC.030-Subestaciones eléctricas</t>
  </si>
  <si>
    <t>EC.030 Subestaciones eléctricas</t>
  </si>
  <si>
    <t>Industria, Almacenamiento, Taller</t>
  </si>
  <si>
    <t>RNE - 2011_EC_040</t>
  </si>
  <si>
    <t>RNE_EC_040_2011_ED_2011</t>
  </si>
  <si>
    <t>RNE_EC_040.pdf</t>
  </si>
  <si>
    <t>Redes e instalaciones de comunicaciones</t>
  </si>
  <si>
    <t>EC.040-Redes e instalaciones de comunicaciones</t>
  </si>
  <si>
    <t>EC.040 Redes e instalaciones de comunicaciones</t>
  </si>
  <si>
    <t>Oficinas, Administración, Trabajo</t>
  </si>
  <si>
    <t>2011-07-16</t>
  </si>
  <si>
    <t>2011-07-17</t>
  </si>
  <si>
    <t>RNE - 2006_TH_010</t>
  </si>
  <si>
    <t>RNE_TH_010_2006_ED_2006</t>
  </si>
  <si>
    <t>RNE_TH_010.pdf</t>
  </si>
  <si>
    <t>Habilitaciones residenciales</t>
  </si>
  <si>
    <t>TH.010-Habilitaciones residenciales</t>
  </si>
  <si>
    <t>TH.010 Habilitaciones residenciales</t>
  </si>
  <si>
    <t>Comunales, Vecinales, Servicios</t>
  </si>
  <si>
    <t>RNE - 2006_TH_030</t>
  </si>
  <si>
    <t>RNE_TH_030_2006_ED_2006</t>
  </si>
  <si>
    <t>RNE_TH_030.pdf</t>
  </si>
  <si>
    <t>Habilitaciones para uso industrial</t>
  </si>
  <si>
    <t>TH.030-Habilitaciones para uso industrial</t>
  </si>
  <si>
    <t>TH.030 Habilitaciones para uso industrial</t>
  </si>
  <si>
    <t>Recreación, Deportes, Espectáculos</t>
  </si>
  <si>
    <t>RNE - 2006_TH_040</t>
  </si>
  <si>
    <t>RNE_TH_040_2006_ED_2006</t>
  </si>
  <si>
    <t>RNE_TH_040.pdf</t>
  </si>
  <si>
    <t>Habilitaciones para usos especiales</t>
  </si>
  <si>
    <t>TH.040-Habilitaciones para usos especiales</t>
  </si>
  <si>
    <t>TH.040 Habilitaciones para usos especiales</t>
  </si>
  <si>
    <t>Transporte, Terminales, Comunicaciones</t>
  </si>
  <si>
    <t>RNE - 2006_TH_050</t>
  </si>
  <si>
    <t>RNE_TH_050_2006_ED_2006</t>
  </si>
  <si>
    <t>RNE_TH_050.pdf</t>
  </si>
  <si>
    <t>Habilitaciones en riberas y laderas</t>
  </si>
  <si>
    <t>TH.050-Habilitaciones en riberas y laderas</t>
  </si>
  <si>
    <t>TH.050 Habilitaciones en riberas y laderas</t>
  </si>
  <si>
    <t>Seguridad, Siniestros, Evacuación</t>
  </si>
  <si>
    <t>RNE - 2006_TH_060</t>
  </si>
  <si>
    <t>RNE_TH_060_2006_ED_2006</t>
  </si>
  <si>
    <t>RNE_TH_060.pdf</t>
  </si>
  <si>
    <t>Reurbanización</t>
  </si>
  <si>
    <t>TH.060-Reurbanización</t>
  </si>
  <si>
    <t>TH.060 Reurbanización</t>
  </si>
  <si>
    <t>Bienes Culturales, Inmuebles, Preservación</t>
  </si>
  <si>
    <t>RNE - 2011_TH_020</t>
  </si>
  <si>
    <t>RNE_TH_020_2011_ED_2011</t>
  </si>
  <si>
    <t>RNE_TH_020.pdf</t>
  </si>
  <si>
    <t>Habilitaciones comerciales</t>
  </si>
  <si>
    <t>TH.020-Habilitaciones comerciales</t>
  </si>
  <si>
    <t>TH.020 Habilitaciones comerciales</t>
  </si>
  <si>
    <t>Salud, Hospitales, Centros Médicos</t>
  </si>
  <si>
    <t>RNE - 017-2012-A130</t>
  </si>
  <si>
    <t>RNE_A_130_2012_ED_2012</t>
  </si>
  <si>
    <t>RNE_A_130.pdf</t>
  </si>
  <si>
    <t>Requisitos de Seguridad</t>
  </si>
  <si>
    <t>Norma Técnica A.130-Requisitos de Seguridad</t>
  </si>
  <si>
    <t>Norma Técnica A.130 Requisitos de Seguridad</t>
  </si>
  <si>
    <t>Seguridad, Edificaciones, Evacuación</t>
  </si>
  <si>
    <t>2012-11-22</t>
  </si>
  <si>
    <t>2012-11-23</t>
  </si>
  <si>
    <t>RNE - 2019_A030_RM-005-2019-VIVIENDA</t>
  </si>
  <si>
    <t>RNE_A_030_2019_ED_2019</t>
  </si>
  <si>
    <t>RNE_A_030.pdf</t>
  </si>
  <si>
    <t>Hospedaje</t>
  </si>
  <si>
    <t>A.030-Hospedaje</t>
  </si>
  <si>
    <t>A.030 Hospedaje</t>
  </si>
  <si>
    <t>Sismorresistente, Modificación, Diseño</t>
  </si>
  <si>
    <t>2019-01-22</t>
  </si>
  <si>
    <t>2019-01-23</t>
  </si>
  <si>
    <t>RNE - 2020_A40_RM-068-2020-VIVIENDA</t>
  </si>
  <si>
    <t>RNE_A_040_2020_ED_2020</t>
  </si>
  <si>
    <t>RNE_A_040.pdf</t>
  </si>
  <si>
    <t>Educación</t>
  </si>
  <si>
    <t>A.040-Educación</t>
  </si>
  <si>
    <t>A.040 Educación</t>
  </si>
  <si>
    <t>Suelos, Cimentaciones, Exploración</t>
  </si>
  <si>
    <t>RNE - DS_010-2021-Vivienda</t>
  </si>
  <si>
    <t>RNE_DS_010_2021_ED_2021</t>
  </si>
  <si>
    <t>RNE_DS_010.pdf</t>
  </si>
  <si>
    <t xml:space="preserve"> Bienes Culturales inmuebles y zonas Monumentales en el indice del rne</t>
  </si>
  <si>
    <t>A.140- Bienes Culturales inmuebles y zonas Monumentales en el indice del rne</t>
  </si>
  <si>
    <t>A.140  Bienes Culturales inmuebles y zonas Monumentales en el indice del rne</t>
  </si>
  <si>
    <t>Sismorresistente, Estructuras, Diseño</t>
  </si>
  <si>
    <t>RNE - DS_017-2020-VIVIENDA</t>
  </si>
  <si>
    <t>RNE_DS_017_2020_ED_2020</t>
  </si>
  <si>
    <t>RNE_DS_017.pdf</t>
  </si>
  <si>
    <t>Criterios y condiciones para la evaluciación del impacto vial en edificaciones del RNE</t>
  </si>
  <si>
    <t>A.011-Criterios y condiciones para la evaluciación del impacto vial en edificaciones del RNE</t>
  </si>
  <si>
    <t>A.011 Criterios y condiciones para la evaluciación del impacto vial en edificaciones del RNE</t>
  </si>
  <si>
    <t>Aislamiento Sísmico, Disipación, Vibraciones</t>
  </si>
  <si>
    <t>2020-10-01</t>
  </si>
  <si>
    <t>2020-10-02</t>
  </si>
  <si>
    <t>RNE - DS006-2014_A.100</t>
  </si>
  <si>
    <t>RNE_A_100_2014_ED_2014</t>
  </si>
  <si>
    <t>RNE_A_100.pdf</t>
  </si>
  <si>
    <t>Recreación y Deportes</t>
  </si>
  <si>
    <t>Norma Técnica A.100-Recreación y Deportes</t>
  </si>
  <si>
    <t>Norma Técnica A.100 Recreación y Deportes</t>
  </si>
  <si>
    <t>Madera, Diseño, Construcción</t>
  </si>
  <si>
    <t>2014-05-13</t>
  </si>
  <si>
    <t>2014-05-14</t>
  </si>
  <si>
    <t>RNE - RM_061-2021-Vivienda</t>
  </si>
  <si>
    <t>RNE_RM_061_2021_ED_2021</t>
  </si>
  <si>
    <t>RNE_RM_061.pdf</t>
  </si>
  <si>
    <t>"Comercio" del RNE</t>
  </si>
  <si>
    <t>Modificación de la norma técnica A.070-"Comercio" del RNE</t>
  </si>
  <si>
    <t>Modificación de la norma técnica A.070 "Comercio" del RNE</t>
  </si>
  <si>
    <t>Tierra Reforzada, Estabilización, Construcción</t>
  </si>
  <si>
    <t>2021-02-11</t>
  </si>
  <si>
    <t>2021-02-12</t>
  </si>
  <si>
    <t>RNE - RM_061-2021-Vivienda_D</t>
  </si>
  <si>
    <t>RNE_RM_061_D_2021_ED_2021</t>
  </si>
  <si>
    <t>RNE_RM_061_D.pdf</t>
  </si>
  <si>
    <t>Tierra Reforzada, Anexos, Estructuras</t>
  </si>
  <si>
    <t>RNE - RM_075-2023-VIVIENDA</t>
  </si>
  <si>
    <t>RNE_RM_075_2023_ED_2023</t>
  </si>
  <si>
    <t>RNE_RM_075.pdf</t>
  </si>
  <si>
    <t xml:space="preserve"> Accesibilidad universal en edificación del RNE</t>
  </si>
  <si>
    <t>Modificación de la norma técnica A.120- Accesibilidad universal en edificación del RNE</t>
  </si>
  <si>
    <t>Modificación de la norma técnica A.120  Accesibilidad universal en edificación del RNE</t>
  </si>
  <si>
    <t>Vidrio, Modificación, Cerramientos</t>
  </si>
  <si>
    <t>RNE - RM_188-2021-VIVIENDA</t>
  </si>
  <si>
    <t>RNE_RM_188_2021_ED_2021</t>
  </si>
  <si>
    <t>RNE_RM_188.pdf</t>
  </si>
  <si>
    <t>vivienda del RNE</t>
  </si>
  <si>
    <t>Norma técnica A.020-vivienda del RNE</t>
  </si>
  <si>
    <t>Norma técnica A.020 vivienda del RNE</t>
  </si>
  <si>
    <t>Madera, Estructuras, Materiales</t>
  </si>
  <si>
    <t>2021-07-07</t>
  </si>
  <si>
    <t>2021-07-08</t>
  </si>
  <si>
    <t>RNE - RM_191-2021-VIVIENDA</t>
  </si>
  <si>
    <t>RNE_RM_191_2021_ED_2021</t>
  </si>
  <si>
    <t>RNE_RM_191.pdf</t>
  </si>
  <si>
    <t>Norma Técnica A.010-Condiciones generales de diseño del RNE</t>
  </si>
  <si>
    <t>Norma Técnica A.010 Condiciones generales de diseño del RNE</t>
  </si>
  <si>
    <t>Cargas, Vivas, Muertas</t>
  </si>
  <si>
    <t>2021-07-09</t>
  </si>
  <si>
    <t>RNE - 2006_A_060</t>
  </si>
  <si>
    <t>RNE_A_060_2006_ED_2006</t>
  </si>
  <si>
    <t>RNE_A_060.pdf</t>
  </si>
  <si>
    <t xml:space="preserve">Industria </t>
  </si>
  <si>
    <t xml:space="preserve">A.060-Industria </t>
  </si>
  <si>
    <t xml:space="preserve">A.060 Industria </t>
  </si>
  <si>
    <t>Albañilería, Muros, Ladrillos</t>
  </si>
  <si>
    <t>2006-06-10</t>
  </si>
  <si>
    <t>RNE - 2006_A_080</t>
  </si>
  <si>
    <t>RNE_A_080_2006_ED_2006</t>
  </si>
  <si>
    <t>RNE_A_080.pdf</t>
  </si>
  <si>
    <t>Oficinas</t>
  </si>
  <si>
    <t>A.080-Oficinas</t>
  </si>
  <si>
    <t>A.080 Oficinas</t>
  </si>
  <si>
    <t>Adobe, Construcción, Sismorresistente</t>
  </si>
  <si>
    <t>RNE - 2006_A_090</t>
  </si>
  <si>
    <t>RNE_A_090_2006_ED_2006</t>
  </si>
  <si>
    <t>RNE_A_090.pdf</t>
  </si>
  <si>
    <t>Servicios Comunales</t>
  </si>
  <si>
    <t>A.090-Servicios Comunales</t>
  </si>
  <si>
    <t>A.090 Servicios Comunales</t>
  </si>
  <si>
    <t>Estructura Metálica, Acero, Diseño</t>
  </si>
  <si>
    <t>RNE - 2006_A_100</t>
  </si>
  <si>
    <t>RNE_A_100_V2_2006_ED_2006</t>
  </si>
  <si>
    <t>RNE_A_100_V2.pdf</t>
  </si>
  <si>
    <t>A.100-Recreación y Deportes</t>
  </si>
  <si>
    <t>A.100 Recreación y Deportes</t>
  </si>
  <si>
    <t>Concreto Armado, Diseño, Estructuras</t>
  </si>
  <si>
    <t>RNE - 2006_A_110</t>
  </si>
  <si>
    <t>RNE_A_110_2006_ED_2006</t>
  </si>
  <si>
    <t>RNE_A_110.pdf</t>
  </si>
  <si>
    <t>Transporte y Comunicaciones</t>
  </si>
  <si>
    <t>A.110-Transporte y Comunicaciones</t>
  </si>
  <si>
    <t>A.110 Transporte y Comunicaciones</t>
  </si>
  <si>
    <t>Bambú, Construcción, Materiales</t>
  </si>
  <si>
    <t>RNE - 2006_A_130</t>
  </si>
  <si>
    <t>RNE_A_130_V3_2006_ED_2006</t>
  </si>
  <si>
    <t>RNE_A_130_V3.pdf</t>
  </si>
  <si>
    <t>A.130-Requisitos de Seguridad</t>
  </si>
  <si>
    <t>A.130 Requisitos de Seguridad</t>
  </si>
  <si>
    <t>Suelos, Taludes, Estabilización</t>
  </si>
  <si>
    <t>RNE - 2006_A_140</t>
  </si>
  <si>
    <t>RNE_A_140_2006_ED_2006</t>
  </si>
  <si>
    <t>RNE_A_140.pdf</t>
  </si>
  <si>
    <t xml:space="preserve"> Bienes Culturales inmuebles</t>
  </si>
  <si>
    <t>A.140- Bienes Culturales inmuebles</t>
  </si>
  <si>
    <t>A.140  Bienes Culturales inmuebles</t>
  </si>
  <si>
    <t>Obras Complementarias, Especiales, Tanques</t>
  </si>
  <si>
    <t>RNE - 2012_A_050</t>
  </si>
  <si>
    <t>RNE_A_050_2012_ED_2012</t>
  </si>
  <si>
    <t>RNE_A_050.pdf</t>
  </si>
  <si>
    <t>A.050-Salud</t>
  </si>
  <si>
    <t>A.050 Salud</t>
  </si>
  <si>
    <t>Pavimentos, Urbanos, Vías</t>
  </si>
  <si>
    <t>2012-03-04</t>
  </si>
  <si>
    <t>2012-03-05</t>
  </si>
  <si>
    <t>RNE - 2006_GE_010</t>
  </si>
  <si>
    <t>RNE_GE_010_2006_ED_2006</t>
  </si>
  <si>
    <t>RNE_GE_010.pdf</t>
  </si>
  <si>
    <t xml:space="preserve">Alcances y contenido </t>
  </si>
  <si>
    <t xml:space="preserve">GE.010-Alcances y contenido </t>
  </si>
  <si>
    <t xml:space="preserve">GE.010 Alcances y contenido </t>
  </si>
  <si>
    <t>Drenaje Pluvial, Urbano, Aguas Lluvia</t>
  </si>
  <si>
    <t>RNE - 2006_GE_020</t>
  </si>
  <si>
    <t>RNE_GE_020_2006_ED_2006</t>
  </si>
  <si>
    <t>RNE_GE_020.pdf</t>
  </si>
  <si>
    <t>Componentes y caracteristicas de los proyectos</t>
  </si>
  <si>
    <t>GE.020-Componentes y caracteristicas de los proyectos</t>
  </si>
  <si>
    <t>GE.020 Componentes y caracteristicas de los proyectos</t>
  </si>
  <si>
    <t>Drenaje Pluvial, Aguas Lluvia, Diseño</t>
  </si>
  <si>
    <t>RNE - 2006_GE_030</t>
  </si>
  <si>
    <t>RNE_GE_030_2006_ED_2006</t>
  </si>
  <si>
    <t>RNE_GE_030.pdf</t>
  </si>
  <si>
    <t xml:space="preserve">Calidad de la construcción </t>
  </si>
  <si>
    <t xml:space="preserve">GE.030-Calidad de la construcción </t>
  </si>
  <si>
    <t xml:space="preserve">GE.030 Calidad de la construcción </t>
  </si>
  <si>
    <t>Alcance, Contenido, Habilitación</t>
  </si>
  <si>
    <t>RNE - 2006_GE_040</t>
  </si>
  <si>
    <t>RNE_GE_040_2006_ED_2006</t>
  </si>
  <si>
    <t>RNE_GE_040.pdf</t>
  </si>
  <si>
    <t>Uso y mantenimiento</t>
  </si>
  <si>
    <t>GE.040-Uso y mantenimiento</t>
  </si>
  <si>
    <t>GE.040 Uso y mantenimiento</t>
  </si>
  <si>
    <t>Diseño Urbano, Componentes, Equipamiento</t>
  </si>
  <si>
    <t>RNE - 2018_E030_RM-355-2018-VIVIENDA_Peruano</t>
  </si>
  <si>
    <t>RNE_E_030_2018_ED_2018</t>
  </si>
  <si>
    <t>RNE_E_030.pdf</t>
  </si>
  <si>
    <t>Diseño sismorresistente del RNE</t>
  </si>
  <si>
    <t>Modifican la norma técnica E.030-Diseño sismorresistente del RNE</t>
  </si>
  <si>
    <t>Modifican la norma técnica E.030 Diseño sismorresistente del RNE</t>
  </si>
  <si>
    <t>PTAR, Aguas Residuales, Modificación</t>
  </si>
  <si>
    <t>2018-10-23</t>
  </si>
  <si>
    <t>2018-10-24</t>
  </si>
  <si>
    <t>RNE - 2018_E050_RM-406-2018-VIVIENDA</t>
  </si>
  <si>
    <t>RNE_E_050_2018_ED_2018</t>
  </si>
  <si>
    <t>RNE_E_050.pdf</t>
  </si>
  <si>
    <t>Suelos y cimentaciones</t>
  </si>
  <si>
    <t>Norma técnica E.050-Suelos y cimentaciones</t>
  </si>
  <si>
    <t>Norma técnica E.050 Suelos y cimentaciones</t>
  </si>
  <si>
    <t>PTAP, Agua Potable, Modificación</t>
  </si>
  <si>
    <t>2018-12-03</t>
  </si>
  <si>
    <t>2018-12-04</t>
  </si>
  <si>
    <t>RNE - 2019_E030_RM-043-2019-VIVIENDA</t>
  </si>
  <si>
    <t>RNE_E_030_V2_2019_ED_2019</t>
  </si>
  <si>
    <t>RNE_E_030_V2.pdf</t>
  </si>
  <si>
    <t>Captación, Conducción, Agua Potable</t>
  </si>
  <si>
    <t>2019-02-12</t>
  </si>
  <si>
    <t>2019-02-13</t>
  </si>
  <si>
    <t>RNE - 2019_E031_DS-030-2019-VIVIENDA</t>
  </si>
  <si>
    <t>RNE_E_031_2019_ED_2019</t>
  </si>
  <si>
    <t>RNE_E_031.pdf</t>
  </si>
  <si>
    <t>Aislamiento sísmico del RNE</t>
  </si>
  <si>
    <t>Norma técnica E.031-Aislamiento sísmico del RNE</t>
  </si>
  <si>
    <t>Norma técnica E.031 Aislamiento sísmico del RNE</t>
  </si>
  <si>
    <t>PTAP, Tratamiento, Agua Potable</t>
  </si>
  <si>
    <t>2019-11-06</t>
  </si>
  <si>
    <t>2019-11-07</t>
  </si>
  <si>
    <t>RNE - DS005-2014_E_010</t>
  </si>
  <si>
    <t>RNE_E_010_2014_ED_2014</t>
  </si>
  <si>
    <t>RNE_E_010.pdf</t>
  </si>
  <si>
    <t xml:space="preserve">Madera </t>
  </si>
  <si>
    <t xml:space="preserve">Norma técnica E.010-Madera </t>
  </si>
  <si>
    <t xml:space="preserve">Norma técnica E.010 Madera </t>
  </si>
  <si>
    <t>Almacenamiento, Reservorios, Agua Potable</t>
  </si>
  <si>
    <t>RNE - E_080</t>
  </si>
  <si>
    <t>RNE_E_080_2017_ED_2017</t>
  </si>
  <si>
    <t>RNE_E_080.pdf</t>
  </si>
  <si>
    <t>Diseño y construcción con tierra reforzada</t>
  </si>
  <si>
    <t>Norma E.080-Diseño y construcción con tierra reforzada</t>
  </si>
  <si>
    <t>Norma E.080 Diseño y construcción con tierra reforzada</t>
  </si>
  <si>
    <t>Bombeo, Agua Potable, Estaciones</t>
  </si>
  <si>
    <t>2017-04-05</t>
  </si>
  <si>
    <t>2017-04-06</t>
  </si>
  <si>
    <t>RNE - FeErratas_E_080</t>
  </si>
  <si>
    <t>RNE_E_080_FE_2017_ED_2017</t>
  </si>
  <si>
    <t>RNE_E_080_FE.pdf</t>
  </si>
  <si>
    <t xml:space="preserve">Diseño y construcción con tierra reforzada y anexos </t>
  </si>
  <si>
    <t xml:space="preserve">E.080-Diseño y construcción con tierra reforzada y anexos </t>
  </si>
  <si>
    <t xml:space="preserve">E.080 Diseño y construcción con tierra reforzada y anexos </t>
  </si>
  <si>
    <t>Bombeo, Aguas Residuales, EBAR</t>
  </si>
  <si>
    <t>2017-04-20</t>
  </si>
  <si>
    <t>RNE - RM_139-2025-VIVIENDA</t>
  </si>
  <si>
    <t>RNE_RM_139_2025_ED_2025</t>
  </si>
  <si>
    <t>RNE_RM_139.pdf</t>
  </si>
  <si>
    <t>vidrio del RNE</t>
  </si>
  <si>
    <t>Modificación de la norma técnica E.040-vidrio del RNE</t>
  </si>
  <si>
    <t>Modificación de la norma técnica E.040 vidrio del RNE</t>
  </si>
  <si>
    <t>PTAR, Tratamiento, Aguas Residuales</t>
  </si>
  <si>
    <t>2025-05-24</t>
  </si>
  <si>
    <t>2025-05-25</t>
  </si>
  <si>
    <t>RNE - 2006_E_010</t>
  </si>
  <si>
    <t>RNE_E_010_V2_2006_ED_2006</t>
  </si>
  <si>
    <t>RNE_E_010_V2.pdf</t>
  </si>
  <si>
    <t>Madera</t>
  </si>
  <si>
    <t>E.010-Madera</t>
  </si>
  <si>
    <t>E.010 Madera</t>
  </si>
  <si>
    <t>Diseño Sanitario, Infraestructura, Redes</t>
  </si>
  <si>
    <t>RNE - 2006_E_020</t>
  </si>
  <si>
    <t>RNE_E_020_2006_ED_2006</t>
  </si>
  <si>
    <t>RNE_E_020.pdf</t>
  </si>
  <si>
    <t>Cargas</t>
  </si>
  <si>
    <t>E.020-Cargas</t>
  </si>
  <si>
    <t>E.020 Cargas</t>
  </si>
  <si>
    <t>Distribución, Redes, Agua Potable</t>
  </si>
  <si>
    <t>RNE - 2006_E_070</t>
  </si>
  <si>
    <t>RNE_E_070_2006_ED_2006</t>
  </si>
  <si>
    <t>RNE_E_070.pdf</t>
  </si>
  <si>
    <t>Albañileria</t>
  </si>
  <si>
    <t>E.070-Albañileria</t>
  </si>
  <si>
    <t>E.070 Albañileria</t>
  </si>
  <si>
    <t>Redes, Aguas Residuales, Alcantarillado</t>
  </si>
  <si>
    <t>2006-06-11</t>
  </si>
  <si>
    <t>RNE - 2006_E_080</t>
  </si>
  <si>
    <t>RNE_E_080_V2_2006_ED_2006</t>
  </si>
  <si>
    <t>RNE_E_080_V2.pdf</t>
  </si>
  <si>
    <t>Adobe</t>
  </si>
  <si>
    <t>E.080-Adobe</t>
  </si>
  <si>
    <t>E.080 Adobe</t>
  </si>
  <si>
    <t>Instalaciones, Sanitarias, Edificaciones</t>
  </si>
  <si>
    <t>RNE - 2006_E_090</t>
  </si>
  <si>
    <t>RNE_E_090_2006_ED_2006</t>
  </si>
  <si>
    <t>RNE_E_090.pdf</t>
  </si>
  <si>
    <t>Estructura Metálica</t>
  </si>
  <si>
    <t>E.090-Estructura Metálica</t>
  </si>
  <si>
    <t>E.090 Estructura Metálica</t>
  </si>
  <si>
    <t>Fe de Erratas, Correcciones, Decreto</t>
  </si>
  <si>
    <t>RNE - 2009_E_060</t>
  </si>
  <si>
    <t>RNE_E_060_2009_ED_2009</t>
  </si>
  <si>
    <t>RNE_E_060.pdf</t>
  </si>
  <si>
    <t>Concreto Armado</t>
  </si>
  <si>
    <t>E.060-Concreto Armado</t>
  </si>
  <si>
    <t>E.060 Concreto Armado</t>
  </si>
  <si>
    <t>Instalaciones, Sanitarias, Modificación</t>
  </si>
  <si>
    <t>RNE - 2012_E_100</t>
  </si>
  <si>
    <t>RNE_E_100_2012_ED_2012</t>
  </si>
  <si>
    <t>RNE_E_100.pdf</t>
  </si>
  <si>
    <t>Bambú</t>
  </si>
  <si>
    <t>E.100-Bambú</t>
  </si>
  <si>
    <t>E.100 Bambú</t>
  </si>
  <si>
    <t>Instalaciones, Sanitarias, Diseño</t>
  </si>
  <si>
    <t>RNE - 017-2012-EM-090</t>
  </si>
  <si>
    <t>RNE_EM_090_2012_ED_2012</t>
  </si>
  <si>
    <t>RNE_EM_090.pdf</t>
  </si>
  <si>
    <t>Instalaciones con energía eólica</t>
  </si>
  <si>
    <t>Norma técnica EM.090-Instalaciones con energía eólica</t>
  </si>
  <si>
    <t>Norma técnica EM.090 Instalaciones con energía eólica</t>
  </si>
  <si>
    <t>Tanques Sépticos, Tratamiento, Desagüe</t>
  </si>
  <si>
    <t>RNE - 2018_EM020_RM-400-2018-VIVIENDA</t>
  </si>
  <si>
    <t>RNE_EM_020_2018_ED_2018</t>
  </si>
  <si>
    <t>RNE_EM_020.pdf</t>
  </si>
  <si>
    <t>Instalaciones de telecomunicaciones</t>
  </si>
  <si>
    <t>EM.020-Instalaciones de telecomunicaciones</t>
  </si>
  <si>
    <t>EM.020 Instalaciones de telecomunicaciones</t>
  </si>
  <si>
    <t>Redes Eléctricas, Distribución, Energía</t>
  </si>
  <si>
    <t>RNE - 2018_EM040_RM-341-2018-VIVIENDA</t>
  </si>
  <si>
    <t>RNE_EM_040_2018_ED_2018</t>
  </si>
  <si>
    <t>RNE_EM_040.pdf</t>
  </si>
  <si>
    <t>Instalaciones de gas</t>
  </si>
  <si>
    <t>EM.040-Instalaciones de gas</t>
  </si>
  <si>
    <t>EM.040 Instalaciones de gas</t>
  </si>
  <si>
    <t>Alumbrado Público, Redes, Iluminación</t>
  </si>
  <si>
    <t>2018-11-10</t>
  </si>
  <si>
    <t>2018-11-11</t>
  </si>
  <si>
    <t>RNE - 2019_EM010_RM-083-2019-VIVIENDA</t>
  </si>
  <si>
    <t>RNE_EM_010_2019_ED_2019</t>
  </si>
  <si>
    <t>RNE_EM_010.pdf</t>
  </si>
  <si>
    <t>Instalaciones eléctricas interiores del RNE</t>
  </si>
  <si>
    <t>Norma técnica EM.010-Instalaciones eléctricas interiores del RNE</t>
  </si>
  <si>
    <t>Norma técnica EM.010 Instalaciones eléctricas interiores del RNE</t>
  </si>
  <si>
    <t>Subestaciones, Eléctricas, Transformación</t>
  </si>
  <si>
    <t>2019-03-12</t>
  </si>
  <si>
    <t>2019-03-13</t>
  </si>
  <si>
    <t>RNE - 2019_EM070_FE-084-2019-VIVIENDA</t>
  </si>
  <si>
    <t>RNE_EM_070_FE_2019_ED_2019</t>
  </si>
  <si>
    <t>RNE_EM_070_FE.pdf</t>
  </si>
  <si>
    <t>Fe de errratas</t>
  </si>
  <si>
    <t>EM.070-Fe de errratas</t>
  </si>
  <si>
    <t>EM.070 Fe de errratas</t>
  </si>
  <si>
    <t>Redes, Comunicaciones, Cableado</t>
  </si>
  <si>
    <t>RNE - 2019_EM070_RM-084-2019-VIVIENDA</t>
  </si>
  <si>
    <t>RNE_EM_070_2019_ED_2019</t>
  </si>
  <si>
    <t>RNE_EM_070.pdf</t>
  </si>
  <si>
    <t xml:space="preserve"> Transporte mecánico del RNE</t>
  </si>
  <si>
    <t>Norma Técnica EM.070- Transporte mecánico del RNE</t>
  </si>
  <si>
    <t>Norma Técnica EM.070  Transporte mecánico del RNE</t>
  </si>
  <si>
    <t>Eólica, Energía, Instalaciones</t>
  </si>
  <si>
    <t>RNE - DS_001-2022-VIVIENDA</t>
  </si>
  <si>
    <t>RNE_DS_001_2022_ED_2022</t>
  </si>
  <si>
    <t>RNE_DS_001.pdf</t>
  </si>
  <si>
    <t>Confort técnico y lumínico con eficiencia energética, y la incorpora en el indice delRNE</t>
  </si>
  <si>
    <t>Modifica Norma Técnica EM.110-Confort técnico y lumínico con eficiencia energética, y la incorpora en el indice delRNE</t>
  </si>
  <si>
    <t>Modifica Norma Técnica EM.110 Confort técnico y lumínico con eficiencia energética, y la incorpora en el indice delRNE</t>
  </si>
  <si>
    <t>Telecomunicaciones, Instalaciones, Cableado</t>
  </si>
  <si>
    <t>2022-03-11</t>
  </si>
  <si>
    <t>2022-03-12</t>
  </si>
  <si>
    <t>RNE - DS006-2014_EM.110</t>
  </si>
  <si>
    <t>RNE_EM_110_2014_ED_2014</t>
  </si>
  <si>
    <t>RNE_EM_110.pdf</t>
  </si>
  <si>
    <t>Confort térmico y lumpinico con eficiencia energética</t>
  </si>
  <si>
    <t>EM.110-Confort térmico y lumpinico con eficiencia energética</t>
  </si>
  <si>
    <t>EM.110 Confort térmico y lumpinico con eficiencia energética</t>
  </si>
  <si>
    <t>Gas, Instalaciones, Seguridad</t>
  </si>
  <si>
    <t>RNE - RM_232-2020-VIVIENDA</t>
  </si>
  <si>
    <t>RNE_RM_232_2020_ED_2020</t>
  </si>
  <si>
    <t>RNE_RM_232.pdf</t>
  </si>
  <si>
    <t>Instalaciones de ventilación del RNE</t>
  </si>
  <si>
    <t>Modifican la norma técnica EM.030-Instalaciones de ventilación del RNE</t>
  </si>
  <si>
    <t>Modifican la norma técnica EM.030 Instalaciones de ventilación del RNE</t>
  </si>
  <si>
    <t>Eléctricas Interiores, Instalaciones, Baja Tensión</t>
  </si>
  <si>
    <t>2020-09-23</t>
  </si>
  <si>
    <t>2020-09-24</t>
  </si>
  <si>
    <t>RNE - 2006_EM_030</t>
  </si>
  <si>
    <t>RNE_EM_030_2006_ED_2006</t>
  </si>
  <si>
    <t>RNE_EM_030.pdf</t>
  </si>
  <si>
    <t>Instalaciones de ventilación</t>
  </si>
  <si>
    <t>EM.030-Instalaciones de ventilación</t>
  </si>
  <si>
    <t>EM.030 Instalaciones de ventilación</t>
  </si>
  <si>
    <t>Fe de Erratas, Correcciones, Mecánicas</t>
  </si>
  <si>
    <t>2006-05-08</t>
  </si>
  <si>
    <t>2006-05-09</t>
  </si>
  <si>
    <t>RNE - 2006_EM_050</t>
  </si>
  <si>
    <t>RNE_EM_050_2006_ED_2006</t>
  </si>
  <si>
    <t>RNE_EM_050.pdf</t>
  </si>
  <si>
    <t xml:space="preserve">Instalaciones de Climatización </t>
  </si>
  <si>
    <t xml:space="preserve">EM.050-Instalaciones de Climatización </t>
  </si>
  <si>
    <t xml:space="preserve">EM.050 Instalaciones de Climatización </t>
  </si>
  <si>
    <t>Transporte Mecánico, Ascensores, Montacargas</t>
  </si>
  <si>
    <t>RNE - 2006_EM_060</t>
  </si>
  <si>
    <t>RNE_EM_060_2006_ED_2006</t>
  </si>
  <si>
    <t>RNE_EM_060.pdf</t>
  </si>
  <si>
    <t>Chimeneas  y hogares</t>
  </si>
  <si>
    <t>EM.060-Chimeneas  y hogares</t>
  </si>
  <si>
    <t>EM.060 Chimeneas  y hogares</t>
  </si>
  <si>
    <t>Confort, Térmico, Eficiencia Energética</t>
  </si>
  <si>
    <t>RNE - 2006_EM_100</t>
  </si>
  <si>
    <t>RNE_EM_100_2006_ED_2006</t>
  </si>
  <si>
    <t>RNE_EM_100.pdf</t>
  </si>
  <si>
    <t>Instalaciones de alto riesgo</t>
  </si>
  <si>
    <t>EM.100-Instalaciones de alto riesgo</t>
  </si>
  <si>
    <t>EM.100 Instalaciones de alto riesgo</t>
  </si>
  <si>
    <t>Confort, Lumínico, Eficiencia Energética</t>
  </si>
  <si>
    <t>RNE - 2009_EM_080</t>
  </si>
  <si>
    <t>RNE_EM_080_2009_ED_2009</t>
  </si>
  <si>
    <t>RNE_EM_080.pdf</t>
  </si>
  <si>
    <t>Instalaciones con energía solar</t>
  </si>
  <si>
    <t>EM.080-Instalaciones con energía solar</t>
  </si>
  <si>
    <t>EM.080 Instalaciones con energía solar</t>
  </si>
  <si>
    <t>RNE - 017-2012_IS010</t>
  </si>
  <si>
    <t>RNE_IS_010_2012_ED_2012</t>
  </si>
  <si>
    <t>RNE_IS_010.pdf</t>
  </si>
  <si>
    <t xml:space="preserve">Norma técnica IS.010-Instalaciones sanitarias para edificaciones </t>
  </si>
  <si>
    <t xml:space="preserve">Norma técnica IS.010 Instalaciones sanitarias para edificaciones </t>
  </si>
  <si>
    <t>Ventilación, Mecánica, Ductos</t>
  </si>
  <si>
    <t>RNE - FeErratas_DS017-2012</t>
  </si>
  <si>
    <t>RNE_DS017_FE_2012_ED_2012</t>
  </si>
  <si>
    <t>RNE_DS017_FE.pdf</t>
  </si>
  <si>
    <t>Fe de erratas</t>
  </si>
  <si>
    <t>DS.017-Fe de erratas</t>
  </si>
  <si>
    <t>DS.017 Fe de erratas</t>
  </si>
  <si>
    <t>Climatización, Aire Acondicionado, HVAC</t>
  </si>
  <si>
    <t>2012-11-21</t>
  </si>
  <si>
    <t>RNE - RM_0107-2025-VIVIENDA</t>
  </si>
  <si>
    <t>RNE_RM_0107_2025_ED_2025</t>
  </si>
  <si>
    <t>RNE_RM_0107.pdf</t>
  </si>
  <si>
    <t>Instalaciones sanitarias para edificaciones del RNE</t>
  </si>
  <si>
    <t>Modifican la norma técnica IS.010-Instalaciones sanitarias para edificaciones del RNE</t>
  </si>
  <si>
    <t>Modifican la norma técnica IS.010 Instalaciones sanitarias para edificaciones del RNE</t>
  </si>
  <si>
    <t>Chimeneas, Hogares, Extracción</t>
  </si>
  <si>
    <t>2025-04-12</t>
  </si>
  <si>
    <t>2025-04-13</t>
  </si>
  <si>
    <t>RNE - 2006_IS_010</t>
  </si>
  <si>
    <t>RNE_IS_010_V2_2006_ED_2006</t>
  </si>
  <si>
    <t>RNE_IS_010_V2.pdf</t>
  </si>
  <si>
    <t>Instalaciones sanitarias para edificaciones</t>
  </si>
  <si>
    <t>IS.010-Instalaciones sanitarias para edificaciones</t>
  </si>
  <si>
    <t>IS.010 Instalaciones sanitarias para edificaciones</t>
  </si>
  <si>
    <t>Alto Riesgo, Seguridad, Prevención</t>
  </si>
  <si>
    <t>RNE - 2006_IS_020</t>
  </si>
  <si>
    <t>RNE_IS_020_2006_ED_2006</t>
  </si>
  <si>
    <t>RNE_IS_020.pdf</t>
  </si>
  <si>
    <t>Tanques sépticos</t>
  </si>
  <si>
    <t>ISO.020-Tanques sépticos</t>
  </si>
  <si>
    <t>ISO.020 Tanques sépticos</t>
  </si>
  <si>
    <t>Energía Solar, Fotovoltaica, Instalaciones</t>
  </si>
  <si>
    <t>Ley NRO 31025.pdf</t>
  </si>
  <si>
    <t>LEY</t>
  </si>
  <si>
    <t>LEY_31025_2020_ED_2020</t>
  </si>
  <si>
    <t>LEY QUE INCORPORA A LA ENFERMEDAD 
CAUSADA POR EL COVID-19 DENTRO DEL 
LISTADO DE ENFERMEDADES PROFESIONALES 
DE LOS SERVIDORES DE LA SALUD</t>
  </si>
  <si>
    <t>LEY N° 31025</t>
  </si>
  <si>
    <t>Congreso de la República</t>
  </si>
  <si>
    <t>Congreso de la República del Perú</t>
  </si>
  <si>
    <t>nacional</t>
  </si>
  <si>
    <t>ley_ordinaria</t>
  </si>
  <si>
    <t>ley_sectorial</t>
  </si>
  <si>
    <t>Seguridad_Industrial</t>
  </si>
  <si>
    <t>equipos_proteccion_personal</t>
  </si>
  <si>
    <t>COVID-19, Enfermedad Profesional, Servidores de la Salud, Listado</t>
  </si>
  <si>
    <t>2020-06-18</t>
  </si>
  <si>
    <t>2020-06-19</t>
  </si>
  <si>
    <t>DS NRO 011-2019-TR.pdf</t>
  </si>
  <si>
    <t>DS</t>
  </si>
  <si>
    <t>DS_011_TR_2019_ED_2019</t>
  </si>
  <si>
    <t>Decreto Supremo que aprueba el 
Reglamento de Seguridad y Salud en el 
Trabajo para el Sector Construcción</t>
  </si>
  <si>
    <t>DS N° 011-2019-TR</t>
  </si>
  <si>
    <t>Poder Ejecutivo / Ministerio de Trabajo</t>
  </si>
  <si>
    <t>decreto_supremo</t>
  </si>
  <si>
    <t>reglamento</t>
  </si>
  <si>
    <t>Construccion</t>
  </si>
  <si>
    <t xml:space="preserve">minería,reglamento, higiene minera, seguridad ocupacional </t>
  </si>
  <si>
    <t>2019-07-11</t>
  </si>
  <si>
    <t>2019-07-12</t>
  </si>
  <si>
    <t>DS NRO 024-2016-EM.pdf</t>
  </si>
  <si>
    <t>DS_024_EM_2016_ED_2016</t>
  </si>
  <si>
    <t>Reglamento de Seguridad y Salud Ocupacional en Minería</t>
  </si>
  <si>
    <t>DS N° 024-2016-EM</t>
  </si>
  <si>
    <t>Poder Ejecutivo / Ministerio de Energía y Mina</t>
  </si>
  <si>
    <t>Poder Ejecutivo del Perú, a través del Ministerio de Energía y Minas (MINEM)</t>
  </si>
  <si>
    <t>Mineria</t>
  </si>
  <si>
    <t>seguridad_minera, medio_ambiente_minero, operaciones_mineras, exploracion</t>
  </si>
  <si>
    <t>SST, Minería, Ocupacional, Reglamento</t>
  </si>
  <si>
    <t>2016-07-28</t>
  </si>
  <si>
    <t>2016-07-29</t>
  </si>
  <si>
    <t>RM 061-2024-TR.PDF</t>
  </si>
  <si>
    <t>RM</t>
  </si>
  <si>
    <t>RM_061_TR_2024_ED_2024</t>
  </si>
  <si>
    <t>Aprueban actualización de los Anexos 1 y 2 
del D.S. N° 002-2023-TR, Reglamento de la 
Ley del Teletrabajo</t>
  </si>
  <si>
    <t>RM N° 061-2024-TR</t>
  </si>
  <si>
    <t>Ministerio de Trabajo</t>
  </si>
  <si>
    <t>Ministerio de Trabajo y Promoción del Empleo (MTPE) del Perú</t>
  </si>
  <si>
    <t>modificacion</t>
  </si>
  <si>
    <t>Teletrabajo, Anexos, Actualización, Reglamento</t>
  </si>
  <si>
    <t>2024-04-17</t>
  </si>
  <si>
    <t>2024-04-18</t>
  </si>
  <si>
    <t>DS NRO 002-2023-TR.pdf</t>
  </si>
  <si>
    <t>DS_002_TR_2023_ED_2023</t>
  </si>
  <si>
    <t>REGLAMENTO DE LA 
LEY N° 31572
LEY DEL TELETRABAJO</t>
  </si>
  <si>
    <t>DS N° 002-2023-TR</t>
  </si>
  <si>
    <t>Poder Ejecutivo del Perú, a través del Ministerio de Trabajo y Promoción del Empleo (MTPE)</t>
  </si>
  <si>
    <t>Teletrabajo, Reglamento, Ley N° 31572, Aplicación</t>
  </si>
  <si>
    <t>2023-02-25</t>
  </si>
  <si>
    <t>2023-02-26</t>
  </si>
  <si>
    <t>DS NRO 002-2020-TR.pdf</t>
  </si>
  <si>
    <t>DS_002_TR_2020_ED_2020</t>
  </si>
  <si>
    <t>Aprueban medidas para la promoción de 
la formalización laboral y la protección de 
los derechos fundamentales laborales en el 
sector agrario</t>
  </si>
  <si>
    <t>DS N° 002-2020-TR</t>
  </si>
  <si>
    <t>oder Ejecutivo del Perú, a través del Ministerio de Trabajo y Promoción del Empleo (MTPE)</t>
  </si>
  <si>
    <t>gestion_sst</t>
  </si>
  <si>
    <t>auditorias_inspecciones</t>
  </si>
  <si>
    <t>Formalización Laboral, Sector Agrario, Derechos Fundamentales, Promoción</t>
  </si>
  <si>
    <t>2020-01-08</t>
  </si>
  <si>
    <t>2020-01-09</t>
  </si>
  <si>
    <t>RCD OSINERGMIN NRO 122-2024-OS_CD.pdf</t>
  </si>
  <si>
    <t>RCD</t>
  </si>
  <si>
    <t>RCD_122_OSINER_2024_ED_2024</t>
  </si>
  <si>
    <t>Resolución de Consejo Directivo que aprueba el “Procedimiento sobre reportes periódicos 
de las condiciones de los depósitos de relaves y su monitoreo geotécnico”</t>
  </si>
  <si>
    <t>RCD N° 122-2024-OS/CD</t>
  </si>
  <si>
    <t>OSINERGMIN</t>
  </si>
  <si>
    <t>Organismo Supervisor de la Inversión en Energía y Minería</t>
  </si>
  <si>
    <t>resolucion_directoral</t>
  </si>
  <si>
    <t>disposicion_complementaria</t>
  </si>
  <si>
    <t>Depósitos de Relaves, Monitoreo Geotécnico, Reportes Periódicos, Procedimiento</t>
  </si>
  <si>
    <t>2024-06-27</t>
  </si>
  <si>
    <t>2024-06-28</t>
  </si>
  <si>
    <t>DU NRO 044-2019-TR.pdf</t>
  </si>
  <si>
    <t>DU</t>
  </si>
  <si>
    <t>DU_044_TR_2019_ED_2019</t>
  </si>
  <si>
    <t>DECRETO DE URGENCIA QUE ESTABLECE 
MEDIDAS PARA FORTALECER LA PROTECCIÓN DE 
SALUD Y VIDA DE LOS TRABAJADORES</t>
  </si>
  <si>
    <t>DU N° 044-2019-TR</t>
  </si>
  <si>
    <t>ley_marco</t>
  </si>
  <si>
    <t>Protección, Salud y Vida, Trabajadores, Decreto de Urgencia</t>
  </si>
  <si>
    <t>2019-12-30</t>
  </si>
  <si>
    <t>2019-12-31</t>
  </si>
  <si>
    <t>LEY 32102.PDF</t>
  </si>
  <si>
    <t>LEY_32102_2024_ED_2024</t>
  </si>
  <si>
    <t>LEY QUE CREA LA UNIVERSIDAD NACIONAL
DE SECHURA EN EL DISTRITO DE SECHURA
DE LA PROVINCIA DE SECHURA DEL 
DEPARTAMENTO DE PIURA</t>
  </si>
  <si>
    <t>LEY N° 32102</t>
  </si>
  <si>
    <t>capacitacion_sst</t>
  </si>
  <si>
    <t>Universidad Nacional, Creación, Sechura, Piura</t>
  </si>
  <si>
    <t>2024-07-22</t>
  </si>
  <si>
    <t>2024-07-23</t>
  </si>
  <si>
    <t>DS NRO 023-2017-EM.pdf</t>
  </si>
  <si>
    <t>DS_023_EM_2017_ED_2017</t>
  </si>
  <si>
    <t>Modifican diversos artículos y anexos 
del Reglamento de Seguridad y Salud 
Ocupacional en Minería, aprobado por 
Decreto Supremo Nº 024-2016-EM</t>
  </si>
  <si>
    <t>DS N° 023-2017-EM</t>
  </si>
  <si>
    <t>Poder Ejecutivo / Ministerio de Energía y Minas</t>
  </si>
  <si>
    <t>Poder Ejecutivo del Perú, a través del Ministerio de Energía y Minas</t>
  </si>
  <si>
    <t>Minería, Modificación, Seguridad Ocupacional, Reglamento</t>
  </si>
  <si>
    <t>2017-08-18</t>
  </si>
  <si>
    <t>2017-08-19</t>
  </si>
  <si>
    <t>Ley NRO 30947.pdf</t>
  </si>
  <si>
    <t>LEY_30947_2019_ED_2019</t>
  </si>
  <si>
    <t>LEY DE SALUD MENTAL</t>
  </si>
  <si>
    <t>LEY N° 30947</t>
  </si>
  <si>
    <t>Salud Mental, Ley, Promoción, Prevención</t>
  </si>
  <si>
    <t>2019-05-22</t>
  </si>
  <si>
    <t>2019-05-23</t>
  </si>
  <si>
    <t>NTP 350.037-2007.pdf</t>
  </si>
  <si>
    <t>NTP</t>
  </si>
  <si>
    <t>NTP_350_037_2007_ED_2007</t>
  </si>
  <si>
    <t>EXTINTORES PORTÁTILES SOBRE RUEDAS DE
POLVO QUÍMICO SECO. Requisitos</t>
  </si>
  <si>
    <t>NTP 350.037:2007</t>
  </si>
  <si>
    <t>INACAL / CND</t>
  </si>
  <si>
    <t>Instituto Nacional de Calidad (INACAL), a través de la Comisión de Normalización y de Fiscalización de Barreras Comerciales No Arancelarias (anteriormente INDECOPI)</t>
  </si>
  <si>
    <t>norma_producto</t>
  </si>
  <si>
    <t>extintores_portatiles</t>
  </si>
  <si>
    <t>Extintores, Polvo Químico Seco, Requisitos, NTP</t>
  </si>
  <si>
    <t>2007-02-07</t>
  </si>
  <si>
    <t>2007-02-08</t>
  </si>
  <si>
    <t>DS NRO 007-2020-SA.pdf</t>
  </si>
  <si>
    <t>DS_007_SA_2020_ED_2020</t>
  </si>
  <si>
    <t>Decreto Supremo que aprueba el 
Reglamento de la Ley N° 30947, Ley de 
Salud Mental</t>
  </si>
  <si>
    <t>DS N° 007-2020-SA</t>
  </si>
  <si>
    <t>Poder Ejecutivo / Ministerio de Salud</t>
  </si>
  <si>
    <t>Poder Ejecutivo del Perú, a través del Ministerio de Salud (MINSA</t>
  </si>
  <si>
    <t>Salud Mental, Reglamento, Ley N° 30947, Aplicación</t>
  </si>
  <si>
    <t>2020-04-24</t>
  </si>
  <si>
    <t>2020-04-25</t>
  </si>
  <si>
    <t>Ley NRO 26790.pdf</t>
  </si>
  <si>
    <t>LEY_26790_1997_ED_1997</t>
  </si>
  <si>
    <t xml:space="preserve">Ley de modernización de la seguridad social en salid </t>
  </si>
  <si>
    <t>LEY N° 26790</t>
  </si>
  <si>
    <t>Ley de modernización de la seguridad social en salud</t>
  </si>
  <si>
    <t>Seguridad Social, Modernización, Salud, Ley</t>
  </si>
  <si>
    <t>1997-05-17</t>
  </si>
  <si>
    <t>1997-05-18</t>
  </si>
  <si>
    <t>Ley NRO 31572.pdf</t>
  </si>
  <si>
    <t>LEY_31572_2022_ED_2022</t>
  </si>
  <si>
    <t>ley Del TeleTRABAJO</t>
  </si>
  <si>
    <t>LEY N° 31572</t>
  </si>
  <si>
    <t>Teletrabajo, Ley, Regulación, Modalidad Laboral</t>
  </si>
  <si>
    <t>2022-09-11</t>
  </si>
  <si>
    <t>2022-09-12</t>
  </si>
  <si>
    <t>Ley 29981.pdf</t>
  </si>
  <si>
    <t>LEY_29981_2013_ED_2013</t>
  </si>
  <si>
    <t>Ley que crea la Superintendencia Nacional de Fiscalización Laboral (SUNAFIL), modifica la Ley 
28806, Ley General de Inspección del Trabajo, y la Ley 27867, Ley Orgánica de Gobiernos 
Regionales</t>
  </si>
  <si>
    <t>LEY N° 29981</t>
  </si>
  <si>
    <t>ley_organica_trabajo</t>
  </si>
  <si>
    <t>SUNAFIL, Fiscalización, Inspección del Trabajo, Ley</t>
  </si>
  <si>
    <t>2013-01-15</t>
  </si>
  <si>
    <t>2013-01-16</t>
  </si>
  <si>
    <t>DS NRO 034-2023-EM.pdf</t>
  </si>
  <si>
    <t>DS_034_EM_2023_ED_2023</t>
  </si>
  <si>
    <t>Decreto Supremo que modifica diversos 
artículos e incorpora un capítulo, artículos 
y anexos al Reglamento de Seguridad y 
Salud Ocupacional en Minería, aprobado 
por Decreto Supremo N° 024-2016-EM</t>
  </si>
  <si>
    <t>DS N° 034-2023-EM</t>
  </si>
  <si>
    <t>Minería, Modificación, Seguridad Ocupacional, Decreto Supremo</t>
  </si>
  <si>
    <t>2023-12-30</t>
  </si>
  <si>
    <t>2023-12-31</t>
  </si>
  <si>
    <t>Anexos - RM N° 050-2013-TR.pdf</t>
  </si>
  <si>
    <t>RM_050_TR_ANEX_2013_ED_2013</t>
  </si>
  <si>
    <t xml:space="preserve">Formatos referenciales con la información mínima que deben contener los registros obligatorios del sistema de gestión de seguridad y salud en el trabajo </t>
  </si>
  <si>
    <t>RM N° 050-2013-TR</t>
  </si>
  <si>
    <t>resolucion_ministerial</t>
  </si>
  <si>
    <t>guia_tecnica</t>
  </si>
  <si>
    <t>Registros Obligatorios, Formatos Referenciales, SG-SST, Documentación</t>
  </si>
  <si>
    <t>2013-03-30</t>
  </si>
  <si>
    <t>2013-03-31</t>
  </si>
  <si>
    <t>DS NRO 022-2022-VIVIENDA.pdf</t>
  </si>
  <si>
    <t>DS_022_VIV_2022_ED_2022</t>
  </si>
  <si>
    <t>Decreto Supremo que aprueba el 
Reglamento de Gestión y Manejo de 
Residuos Sólidos de la Construcción y 
Demolición</t>
  </si>
  <si>
    <t>DS N° 022-2022-VIVIENDA</t>
  </si>
  <si>
    <t>Poder Ejecutivo / Ministerio de Vivienda</t>
  </si>
  <si>
    <t>Poder Ejecutivo del Perú, a través del Ministerio de Vivienda, Construcción y Saneamiento (MVCS)</t>
  </si>
  <si>
    <t>Medio_Ambiente</t>
  </si>
  <si>
    <t>Residuos Sólidos, Construcción, Demolición, Reglamento</t>
  </si>
  <si>
    <t>2022-04-06</t>
  </si>
  <si>
    <t>2022-04-07</t>
  </si>
  <si>
    <t>DS NRO 014-2013-TR.pdf</t>
  </si>
  <si>
    <t>DS_014_TR_2013_ED_2013</t>
  </si>
  <si>
    <t>Aprueban Reglamento del Registro 
de Auditores autorizados para la 
evaluación periódica del Sistema de 
Gestión de la Seguridad y Salud en el 
Trabajo</t>
  </si>
  <si>
    <t>DS N° 014-2013-TR</t>
  </si>
  <si>
    <t>Auditores, Registro, Evaluación Periódica, SG-SST</t>
  </si>
  <si>
    <t>2013-12-29</t>
  </si>
  <si>
    <t>2013-12-30</t>
  </si>
  <si>
    <t>RM 249-2017-TR.PDF</t>
  </si>
  <si>
    <r>
      <rPr>
        <rFont val="Arial"/>
        <color theme="1"/>
      </rPr>
      <t>RM_249_TR_2013_</t>
    </r>
    <r>
      <rPr>
        <rFont val="Arial"/>
        <color rgb="FFFF0000"/>
      </rPr>
      <t>ED_2013</t>
    </r>
  </si>
  <si>
    <r>
      <rPr>
        <rFont val="Calibri"/>
        <color theme="1"/>
        <sz val="11.0"/>
      </rPr>
      <t>RM 249-</t>
    </r>
    <r>
      <rPr>
        <rFont val="Calibri"/>
        <color rgb="FFFF0000"/>
        <sz val="11.0"/>
      </rPr>
      <t>2017</t>
    </r>
    <r>
      <rPr>
        <rFont val="Calibri"/>
        <color theme="1"/>
        <sz val="11.0"/>
      </rPr>
      <t>-TR.PDF</t>
    </r>
  </si>
  <si>
    <t>Establecen disposiciones técnicas y 
medidas complementarias al Reglamento 
de Seguridad y Salud en el Trabajo de los 
Obreros Municipales del Perú, aprobado 
por D.S. Nº 017-2017-TR</t>
  </si>
  <si>
    <t>RM N° 249-2017-TR</t>
  </si>
  <si>
    <t>Obreros Municipales, Reglamento SST, Disposiciones, Sector Público</t>
  </si>
  <si>
    <t>2017-10-18</t>
  </si>
  <si>
    <t>2017-10-19</t>
  </si>
  <si>
    <t>NTP 350.026-2007.pdf</t>
  </si>
  <si>
    <t>NTP_350_026_2007_ED_2007</t>
  </si>
  <si>
    <t>EXTINTORES PORTÁTILES MANUALES DE POLVO 
QUÍMICO SECO. Requisitos</t>
  </si>
  <si>
    <t>NTP 350.026:2007</t>
  </si>
  <si>
    <t>INACAL</t>
  </si>
  <si>
    <t>Instituto Nacional de Calidad (INACAL) del Perú, a través de su Dirección de Normalización</t>
  </si>
  <si>
    <t>Extintores, Polvo Químico Seco, Manuales, Requisitos</t>
  </si>
  <si>
    <t>DS NRO 012-2014-TR.pdf</t>
  </si>
  <si>
    <t>DS_012_TR_2014_ED_2014</t>
  </si>
  <si>
    <t>Decreto Supremo que aprueba el Registro 
Único de Información sobre accidentes 
de trabajo, incidentes peligrosos y 
enfermedades ocupacionales y modifica 
el artículo 110 del Reglamento de la Ley 
de Seguridad y Salud en el Trabajo</t>
  </si>
  <si>
    <t>DS N° 012-2014-TR</t>
  </si>
  <si>
    <t>Registro Único, Accidentes de Trabajo, Enfermedades Ocupacionales, Incidentes Peligrosos</t>
  </si>
  <si>
    <t>2014-08-28</t>
  </si>
  <si>
    <t>2014-08-29</t>
  </si>
  <si>
    <t>Ley 28806.pdf</t>
  </si>
  <si>
    <t>LEY_28806_2006_ED_2006</t>
  </si>
  <si>
    <t>LEY GENERAL DE INSPECCIÓN 
DEL TRABAJO</t>
  </si>
  <si>
    <t>LEY N° 28806</t>
  </si>
  <si>
    <t>Inspección, Fiscalización, Ley General, Cumplimiento Laboral</t>
  </si>
  <si>
    <t>2006-07-22</t>
  </si>
  <si>
    <t>2006-07-23</t>
  </si>
  <si>
    <t>Ley 29783 y reglamento.pdf</t>
  </si>
  <si>
    <t>LEY_29783_REGLA_2011_ED_2011</t>
  </si>
  <si>
    <t>LEY DE SEGURIDAD Y 
SALUD EN EL TRABAJO</t>
  </si>
  <si>
    <t>LEY N° 29783</t>
  </si>
  <si>
    <t>Ley N° 29783, SST, Marco Legal, Prevención</t>
  </si>
  <si>
    <t>2011-08-20</t>
  </si>
  <si>
    <t>2011-08-21</t>
  </si>
  <si>
    <t>Norma ISO 9001 - 2015</t>
  </si>
  <si>
    <t>ISO 9001-2015</t>
  </si>
  <si>
    <t>ISO</t>
  </si>
  <si>
    <t>ISO_9001_2015_ED_2015</t>
  </si>
  <si>
    <t>Norma ISO 9001 - 2015.pdf</t>
  </si>
  <si>
    <t>Norma Internacional ISO 9001</t>
  </si>
  <si>
    <t>International Organization for Standardization</t>
  </si>
  <si>
    <t>ch</t>
  </si>
  <si>
    <t>gestion_calidad</t>
  </si>
  <si>
    <t>estandar_gestion_calidad</t>
  </si>
  <si>
    <t>calidad</t>
  </si>
  <si>
    <t>calidad_procesos_estandarización_recursos</t>
  </si>
  <si>
    <t>Calidad, Satisfacción del Cliente, Proceso, Mejora Continua</t>
  </si>
  <si>
    <t>2015-09-15</t>
  </si>
  <si>
    <t>Norma ISO 14001 - 2015</t>
  </si>
  <si>
    <t>ISO 14001-2015</t>
  </si>
  <si>
    <t>ISO_14001_2015_ED_2015</t>
  </si>
  <si>
    <t>Norma ISO 14001 - 2015.pdf</t>
  </si>
  <si>
    <t>Norma Internacional ISO 14001</t>
  </si>
  <si>
    <t>estandar_medio_ambiente</t>
  </si>
  <si>
    <t>gestión_residuos</t>
  </si>
  <si>
    <t>Sostenibilidad, Medio Ambiente, Cumplimiento, Gestión de Residuos</t>
  </si>
  <si>
    <t>Norma ISO 45001 - 2018</t>
  </si>
  <si>
    <t>ISO 45001-2018</t>
  </si>
  <si>
    <t>ISO_45001_2018_ED_2018</t>
  </si>
  <si>
    <t>Norma ISO 45001 - 2018.pdf</t>
  </si>
  <si>
    <t>Norma Internacional ISO 45001</t>
  </si>
  <si>
    <t>estandar_seguridad_ocupacional</t>
  </si>
  <si>
    <t>Seguridad, Salud Ocupacional, Riesgos, Prevención</t>
  </si>
  <si>
    <t>2018-03-12</t>
  </si>
  <si>
    <t>Anexo_RM_087-2020_Protocolo_Sanitario_Sectorial.pdf</t>
  </si>
  <si>
    <t>RM 087</t>
  </si>
  <si>
    <t>RM_087_2020_ED_2020</t>
  </si>
  <si>
    <t>PROTOCOLO SANITARIO DEL SECTOR VIVIENDA, CONSTRUCCIÓN Y 
SANEAMIENTO PARA EL INICIO GRADUAL E INCREMENTAL DE LAS 
ACTIVIDADES EN LA REANUDACIÓN DE ACTIVIDADES</t>
  </si>
  <si>
    <t>Anexo_RM_087-2020_Protocolo_Sanitario_Sectorial</t>
  </si>
  <si>
    <t>MINSA</t>
  </si>
  <si>
    <t>Ministerio de Salud</t>
  </si>
  <si>
    <t xml:space="preserve">nacional </t>
  </si>
  <si>
    <t>implementación_normativa</t>
  </si>
  <si>
    <t>Protocolo Sanitario, Sectorial, COVID-19, MINSA</t>
  </si>
  <si>
    <t>2020-05-13</t>
  </si>
  <si>
    <t>2020-05-14</t>
  </si>
  <si>
    <t>COMUNICADO_04-2023-DIGESA-MINSA-01.pdf</t>
  </si>
  <si>
    <t>Comunicado 004</t>
  </si>
  <si>
    <t>Comunicado</t>
  </si>
  <si>
    <t>Comunicado_004_2023_ED_2023</t>
  </si>
  <si>
    <t>DIGESA publica versión digitalizada (formato) de Informe 
Técnico de Vigilancia de Salud de los Trabajadores</t>
  </si>
  <si>
    <t>COMUNICADO_04-2023-DIGESA-MINSA-01</t>
  </si>
  <si>
    <t>MIN/ DIGESA</t>
  </si>
  <si>
    <t>Ministerio de Salud / Dirección General de Salud Ambiental</t>
  </si>
  <si>
    <t xml:space="preserve">Comunicado </t>
  </si>
  <si>
    <t>Convenio</t>
  </si>
  <si>
    <t>vigilacia_salud</t>
  </si>
  <si>
    <t>Comunicado, DIGESA, MINSA, Alerta Sanitaria</t>
  </si>
  <si>
    <t>2023-04-03</t>
  </si>
  <si>
    <t>2023-04-04</t>
  </si>
  <si>
    <t>Constituci¢n Pol¡tica del Per£.pdf</t>
  </si>
  <si>
    <t xml:space="preserve">Constitución Politica </t>
  </si>
  <si>
    <t xml:space="preserve">Constitución_Politica </t>
  </si>
  <si>
    <t>Constitución_Politica_1993_ED_1993</t>
  </si>
  <si>
    <t>Constituci¢n Pol¡tica del Perú.pdf</t>
  </si>
  <si>
    <t xml:space="preserve">CONSTITUCIÓN POLÍTICA DEL PERÚ </t>
  </si>
  <si>
    <t>Constituci¢n Pol¡tica del Perú</t>
  </si>
  <si>
    <t>CONGRESO</t>
  </si>
  <si>
    <t>Congreso de la República (Constituyente)</t>
  </si>
  <si>
    <t>Constitución</t>
  </si>
  <si>
    <t>gestión_sst</t>
  </si>
  <si>
    <t>Constitución, Perú, Ley Fundamental, Derechos</t>
  </si>
  <si>
    <t>1993-12-29</t>
  </si>
  <si>
    <t>1993-12-30</t>
  </si>
  <si>
    <t>Convenio OIT 190.pdf</t>
  </si>
  <si>
    <t>Convenio  190</t>
  </si>
  <si>
    <t xml:space="preserve">Convenio </t>
  </si>
  <si>
    <t>Convenio_190_2022_ED_2022</t>
  </si>
  <si>
    <t>CONVENIO SOBRE LA ELIMINACIÓN DE LA VIOLENCIA
Y EL ACOSO EN EL MUNDO DEL TRABAJO</t>
  </si>
  <si>
    <t>Convenio OIT 190</t>
  </si>
  <si>
    <t>OIT</t>
  </si>
  <si>
    <t>Organización Internacional del Trabajo</t>
  </si>
  <si>
    <t>OIT, Convenio 190, Violencia, Acoso, Trabajo</t>
  </si>
  <si>
    <t>2019-06-25</t>
  </si>
  <si>
    <t>2023-06-08</t>
  </si>
  <si>
    <t>D.S. 011-2017-PRODUCE.pdf</t>
  </si>
  <si>
    <t>DS 011</t>
  </si>
  <si>
    <t>DS_011_PRODUCE_2017_ED_2017</t>
  </si>
  <si>
    <t>Decreto supremo que aprueba los lineamientos para determinar los giros afines o complementarios entre si para el otorgamiento de licencias de funcionamiento y listado de actividades simultáneas y adicionales que pueden desarrollarse con la presentación de una declaración jurada ante las munipalidades</t>
  </si>
  <si>
    <t>D.S. 011-2017-PRODUCE</t>
  </si>
  <si>
    <t>PRODUCE</t>
  </si>
  <si>
    <t>Ministerio de la Producción</t>
  </si>
  <si>
    <t xml:space="preserve">Decreto_Supremo </t>
  </si>
  <si>
    <t>Decreto Supremo, PRODUCE, Pesca, Sectorial, Regulación</t>
  </si>
  <si>
    <t>2017-10-06</t>
  </si>
  <si>
    <t>2017-10-07</t>
  </si>
  <si>
    <t>D.S. 039-93-PCM Reglamento de prevenci¢n y control del c ncer profesional.pdf</t>
  </si>
  <si>
    <t>DS 039</t>
  </si>
  <si>
    <t>DS_039_1993_ED_1993</t>
  </si>
  <si>
    <t>Reglamento de Prevención y Control del Cáncer Profesional</t>
  </si>
  <si>
    <t>D.S. 039-93-PCM Reglamento de prevenci¢n y control del c ncer profesional</t>
  </si>
  <si>
    <t>PCM</t>
  </si>
  <si>
    <t>Presidencia del Consejo de Ministros</t>
  </si>
  <si>
    <t>enfermedades_ocupacionales</t>
  </si>
  <si>
    <t>Cáncer Profesional, Prevención, Reglamento, PCM</t>
  </si>
  <si>
    <t>1993-09-24</t>
  </si>
  <si>
    <t>1993-09-25</t>
  </si>
  <si>
    <t>D.S. que aprueba reglamento de la Ley de Teletrabajo.pdf</t>
  </si>
  <si>
    <t>DS 002</t>
  </si>
  <si>
    <t>RL</t>
  </si>
  <si>
    <t>RL_002_2022_ED_2022</t>
  </si>
  <si>
    <t>Reglamento Legislativo. 002-2023 que aprueba reglamento de la Ley de Teletrabajo.pdf</t>
  </si>
  <si>
    <t>REGLAMENTO DE LA LEY N° 31572 LEY DEL TELETRABAJO</t>
  </si>
  <si>
    <t>D.S. 002-2023 que aprueba reglamento de la Ley de Teletrabajo</t>
  </si>
  <si>
    <t>MTPE</t>
  </si>
  <si>
    <t>Ministerio de Trabajo y Promoción del Empleo</t>
  </si>
  <si>
    <t>Decreto_legislativo</t>
  </si>
  <si>
    <t>Teletrabajo, Reglamento, Ley 31572, Trabajo Remoto</t>
  </si>
  <si>
    <t>2023-03-03</t>
  </si>
  <si>
    <t>2023-03-04</t>
  </si>
  <si>
    <t>DECRETO DE URGENCIA 127-2020.pdf</t>
  </si>
  <si>
    <t>DU 127</t>
  </si>
  <si>
    <t>DU_127_2020_ED_2020</t>
  </si>
  <si>
    <t>DECRETO DE URGENCIA QUE ESTABLECE 
EL OTORGAMIENTO DE SUBSIDIOS PARA LA 
RECUPERACIÓN DEL EMPLEO FORMAL EN EL SECTOR PRIVADO Y ESTABLECE OTRAS  DISPOSICIONES</t>
  </si>
  <si>
    <t>DECRETO DE URGENCIA 127-2020</t>
  </si>
  <si>
    <t>Decreto_Universal</t>
  </si>
  <si>
    <t>Decreto de Urgencia, DU, Medidas Económicas, COVID-19</t>
  </si>
  <si>
    <t>2020-10-31</t>
  </si>
  <si>
    <t>2020-11-01</t>
  </si>
  <si>
    <t>Decreto de Urgencia No. 044-2019 Modificaci¢n del art¡culo 168-A.pdf</t>
  </si>
  <si>
    <t>DU 044</t>
  </si>
  <si>
    <t>DU_044_2019_ED_2019</t>
  </si>
  <si>
    <t xml:space="preserve">DECRETO DE URGENCIA QUE ESTABLECE  MEDIDAS PARA FORTALECER LA PROTECCIÓN DE  SALUD Y VIDA DE LOS TRABAJADORES </t>
  </si>
  <si>
    <t>Decreto de Urgencia No. 044-2019 Modificaci¢n del art¡culo 168-A</t>
  </si>
  <si>
    <t>Decreto de Urgencia, Modificación, Código Penal</t>
  </si>
  <si>
    <t>Decreto Legislativo 1410.pdf</t>
  </si>
  <si>
    <t>DL 1410</t>
  </si>
  <si>
    <t>DL</t>
  </si>
  <si>
    <t>DL_1410_2018_ED_2018</t>
  </si>
  <si>
    <t>Decreto Legislativo que incorpora el delito de acoso, acoso sexual, chantaje sexual y difusión de
imágenes, materiales audiovisuales o audios con contenido sexual al Código Penal, y modifica el
procedimiento de sanción del hostigamiento sexual</t>
  </si>
  <si>
    <t>Decreto Legislativo 1410</t>
  </si>
  <si>
    <t>Decreto Legislativo, DL 1410, Financiamiento, Economía</t>
  </si>
  <si>
    <t>2018-09-12</t>
  </si>
  <si>
    <t>2018-09-13</t>
  </si>
  <si>
    <t>Decreto Legislativo Nø 1499.pdf</t>
  </si>
  <si>
    <t>DL 1499</t>
  </si>
  <si>
    <t>DL_1499_2020_ED_2020</t>
  </si>
  <si>
    <t>Decreto legislativo n° 1499</t>
  </si>
  <si>
    <t>Decreto Legislativo Nø 1499</t>
  </si>
  <si>
    <t>Decreto Legislativo, DL 1499, Medidas Extraordinarias, TR</t>
  </si>
  <si>
    <t>2020-05-10</t>
  </si>
  <si>
    <t>2020-05-11</t>
  </si>
  <si>
    <t>Decreto Supremo 003-98-SA.pdf</t>
  </si>
  <si>
    <t>DS  003</t>
  </si>
  <si>
    <t>DS_003_1998_ED_1998</t>
  </si>
  <si>
    <t>Decreto Supremo n° 003-98-sa</t>
  </si>
  <si>
    <t>Decreto Supremo 003-98-SA</t>
  </si>
  <si>
    <t>Sector Salud (Ministerio de Salud)</t>
  </si>
  <si>
    <t>seguros_SCTR</t>
  </si>
  <si>
    <t>Decreto Supremo, SCTR, Salud, Seguridad Social</t>
  </si>
  <si>
    <t>1998-04-14</t>
  </si>
  <si>
    <t>1998-04-15</t>
  </si>
  <si>
    <t>Decreto Supremo 009-97-SA.pdf</t>
  </si>
  <si>
    <t>DS  009</t>
  </si>
  <si>
    <t>DS_009_1997_ED_1997</t>
  </si>
  <si>
    <t>"SALUD Reglamento de la Ley de Modernización de la Seguridad Social en Salud
DECRETO SUPREMO Nº 009-97-SA</t>
  </si>
  <si>
    <t>Decreto Supremo 009-97-SA</t>
  </si>
  <si>
    <t>Decreto Supremo, MINSA, Salud Pública, Regulación</t>
  </si>
  <si>
    <t>1997-09-09</t>
  </si>
  <si>
    <t>1997-09-10</t>
  </si>
  <si>
    <t>Decreto Supremo 043-2016-SA.pdf</t>
  </si>
  <si>
    <t>DS  043</t>
  </si>
  <si>
    <t>DS_043_2016_ED_2016</t>
  </si>
  <si>
    <t>Actualización del Anexo 5 del Reglamento 
de la Ley N° 26790, Ley de Modernización 
de la Seguridad Social en Salud, aprobado 
por Decreto Supremo N° 009-97-SA</t>
  </si>
  <si>
    <t>Decreto Supremo 043-2016-SA</t>
  </si>
  <si>
    <t>Gestión_salud_ocupacional</t>
  </si>
  <si>
    <t>2016-12-31</t>
  </si>
  <si>
    <t>2017-01-01</t>
  </si>
  <si>
    <t>Decreto Supremo Nø 008-2021-PCM.pdf</t>
  </si>
  <si>
    <t>DS 008</t>
  </si>
  <si>
    <t>DS_008_2021_ED_2021</t>
  </si>
  <si>
    <t>Decreto Supremo que prorroga el Estado 
de Emergencia Nacional por las graves 
circunstancias que afectan la vida de la 
Nación a consecuencia de la COVID-19 y 
modifica el Decreto Supremo N° 184-2020-
PCM, el Decreto Supremo N° 201-2020-
PCM, el Decreto Supremo N° 002-2021-PCM 
y el Decreto Supremo N° 004-2021-PCM</t>
  </si>
  <si>
    <t>Decreto Supremo Nø 008-2021-PCM</t>
  </si>
  <si>
    <t>Decreto Supremo, PCM, Estado de Emergencia, COVID-19</t>
  </si>
  <si>
    <t>2021-01-27</t>
  </si>
  <si>
    <t>2021-01-28</t>
  </si>
  <si>
    <t>Decreto Supremo Nø 008-2022-SA.pdf</t>
  </si>
  <si>
    <t>DS_008_2022_ED_2022</t>
  </si>
  <si>
    <t>Decreto Supremo Nø 008-2022-SA</t>
  </si>
  <si>
    <t>protocolos_sanitarios</t>
  </si>
  <si>
    <t>Decreto Supremo, MINSA, Alerta Sanitaria, COVID-19</t>
  </si>
  <si>
    <t>2022-07-29</t>
  </si>
  <si>
    <t>2022-07-30</t>
  </si>
  <si>
    <t>Decreto Supremo Nø 009-2022-MIMP.pdf</t>
  </si>
  <si>
    <t>DS 009</t>
  </si>
  <si>
    <t>DS_009_2022_ED_2022</t>
  </si>
  <si>
    <t>Decreto Supremo que aprueba la relación 
de trabajos y actividades peligrosas o 
nocivas para la salud física o moral de las/
los adolescentes</t>
  </si>
  <si>
    <t>Decreto Supremo Nø 009-2022-MIMP</t>
  </si>
  <si>
    <t>MIMP</t>
  </si>
  <si>
    <t>Ministerio de la Mujer y Poblaciones Vulnerables</t>
  </si>
  <si>
    <t>Decreto Supremo, MIMP, Igualdad, Mujer, Género</t>
  </si>
  <si>
    <t>2022-04-28</t>
  </si>
  <si>
    <t>2022-04-29</t>
  </si>
  <si>
    <t>Decreto Supremo Nø 022-2023-SA.pdf</t>
  </si>
  <si>
    <t>DS 022</t>
  </si>
  <si>
    <t>DS_022_2023_ED_2023</t>
  </si>
  <si>
    <t>Decreto supremo que modifica las normas técnicas del seguro complementario de trabajo de riesgo, aprobadas por decreto supremo n°003-98-sa</t>
  </si>
  <si>
    <t>Decreto Supremo Nø 022-2023-SA</t>
  </si>
  <si>
    <t>Decreto Supremo, MINSA, Vigilancia Epidemiológica</t>
  </si>
  <si>
    <t>2023-09-02</t>
  </si>
  <si>
    <t>2023-09-03</t>
  </si>
  <si>
    <t>Decreto Supremo Nø 184-2020-PCM.pdf.pdf.pdf</t>
  </si>
  <si>
    <t>DS 184</t>
  </si>
  <si>
    <t>DS_184_2020_ED_2020</t>
  </si>
  <si>
    <t>Decreto Supremo que declara Estado 
de Emergencia Nacional por las graves 
circunstancias que afectan la vida de las 
personas a consecuencia de la COVID-19 y 
establece las medidas que debe seguir la 
ciudadanía en la nueva convivencia social</t>
  </si>
  <si>
    <t>Decreto Supremo Nø 184-2020-PCM</t>
  </si>
  <si>
    <t>2020-12-10</t>
  </si>
  <si>
    <t>2020-12-11</t>
  </si>
  <si>
    <t>Decreto Supremo Nø014-2022-SA.pdf</t>
  </si>
  <si>
    <t>DS 014</t>
  </si>
  <si>
    <t>DS_014_2022_ED_2022</t>
  </si>
  <si>
    <t>Decreto Supremo Nø 014-2022-SA.pdf</t>
  </si>
  <si>
    <t>Decreto supremo que aprueba el reglamento que regula las autorizaciones de importación o adquisición de vacunas y medicamentos contra el coronavirus sars-cov-2 en el marco de lo dispuesto por la ley n°31225</t>
  </si>
  <si>
    <t>Decreto Supremo Nø 014-2022-SA</t>
  </si>
  <si>
    <t>Decreto Supremo, MINSA, Salud, Regulación</t>
  </si>
  <si>
    <t>2022-09-10</t>
  </si>
  <si>
    <t>Decreto Supremo Nø015-2022-PCM.pdf</t>
  </si>
  <si>
    <t>DS 015</t>
  </si>
  <si>
    <t>DS_015_PCM_2022_ED_2022</t>
  </si>
  <si>
    <t>Decreto Supremo Nø 015-2022-PCM.pdf</t>
  </si>
  <si>
    <t>Decreto Supremo que modifica el Decreto Supremo N° 184-2020-PCM, Decreto Supremo que declara Estado de Emergencia Nacional por las graves circunstancias que afectan la vida de las personas a consecuencia de la COVID-19 y establece las medidas que debe seguir la ciudadanía en la nueva convivencia social</t>
  </si>
  <si>
    <t>Decreto Supremo Nø 015-2022-PCM</t>
  </si>
  <si>
    <t>Decreto Supremo, PCM, Estado de Emergencia</t>
  </si>
  <si>
    <t>2022-02-27</t>
  </si>
  <si>
    <t>2022-02-28</t>
  </si>
  <si>
    <t>DECRETO SUPREMO Nø015-2022-SA.pdf</t>
  </si>
  <si>
    <t>DS_015_SA_2022_ED_2022</t>
  </si>
  <si>
    <t>DECRETO SUPREMO Nø 015-2022-SA.pdf</t>
  </si>
  <si>
    <t>Decreto supremo que prorroga la emergencia sanitaria declarada por decreto supremo n°020-2020-sa, n°031-2020-sa, n°009-2021-sa, n°025-2021-sa y n°003-2022-sa</t>
  </si>
  <si>
    <t>DECRETO SUPREMO Nø 015-2022-SA</t>
  </si>
  <si>
    <t>Decreto Supremo, MINSA, Salud Pública, COVID-19</t>
  </si>
  <si>
    <t>2022-09-28</t>
  </si>
  <si>
    <t>2022-09-29</t>
  </si>
  <si>
    <t>DECRETO SUPREMO N§ 016-2009-MTC.pdf</t>
  </si>
  <si>
    <t>DS 016</t>
  </si>
  <si>
    <t>DS_016_2009_ED_2009</t>
  </si>
  <si>
    <t>DECRETO SUPREMO Nº 016-2009-MTC</t>
  </si>
  <si>
    <t>DECRETO SUPREMO N§ 016-2009-MTC</t>
  </si>
  <si>
    <t>MTC</t>
  </si>
  <si>
    <t>Ministerio de Transportes y Comunicaciones</t>
  </si>
  <si>
    <t>Decreto Supremo, MTC, Transporte, Tránsito</t>
  </si>
  <si>
    <t>2009-05-12</t>
  </si>
  <si>
    <t>2009-05-13</t>
  </si>
  <si>
    <t>Decreto Supremo N§ 016-2022-RE.pdf</t>
  </si>
  <si>
    <t>DS_016_2022_ED_2022</t>
  </si>
  <si>
    <t>Decreto Supremo que ratifica el Convenio 
sobre la Eliminación de la Violencia y el 
Acoso en el Mundo del Trabajo</t>
  </si>
  <si>
    <t>Decreto Supremo N§ 016-2022-RE</t>
  </si>
  <si>
    <t>RE</t>
  </si>
  <si>
    <t>Ministerio de Relaciones Exteriores</t>
  </si>
  <si>
    <t>Decreto Supremo, RE, Relaciones Exteriores</t>
  </si>
  <si>
    <t>2022-06-03</t>
  </si>
  <si>
    <t>2022-06-04</t>
  </si>
  <si>
    <t>DECRETO SUPREMO N§ 017-2009-MTC.pdf</t>
  </si>
  <si>
    <t>DS 017</t>
  </si>
  <si>
    <t>DS_017_2009_ED_2009</t>
  </si>
  <si>
    <t>DECRETO SUPREMO Nº 017-2009-MTC</t>
  </si>
  <si>
    <t>DECRETO SUPREMO N§ 017-2009-MTC</t>
  </si>
  <si>
    <t>Decreto-supre-decreto-supremo-n-006-2022-TR.pdf</t>
  </si>
  <si>
    <t>DS 006</t>
  </si>
  <si>
    <t>DS_006_2022_ED_2022</t>
  </si>
  <si>
    <t>Decreto Supremo que modifica el artículo 
1 del Decreto Supremo N° 012-2014-TR y 
el artículo 112 del Reglamento de la Ley 
N° 29783, Ley de Seguridad y Salud en el 
Trabajo, aprobado por Decreto Supremo N° 
005-2012-TR</t>
  </si>
  <si>
    <t>Decreto-supre-decreto-supremo-n-006-2022-TR</t>
  </si>
  <si>
    <t>Decreto Supremo, TR, Laboral, Regulación</t>
  </si>
  <si>
    <t>Decreto-supremo-n-001-2021-TR.pdf</t>
  </si>
  <si>
    <t>DS 001</t>
  </si>
  <si>
    <t>DS_001_2021_ED_2021</t>
  </si>
  <si>
    <t>Decreto Supremo que modifica diversos 
artículos del Reglamento de la Ley N° 29783, 
Ley de Seguridad y Salud en el Trabajo, 
aprobado por Decreto Supremo N° 005-
2012-TR y sus modificatorias</t>
  </si>
  <si>
    <t>Decreto-supremo-n-001-2021-TR</t>
  </si>
  <si>
    <t>Decreto Supremo, TR, Laboral, Trabajo Remoto</t>
  </si>
  <si>
    <t>2021-01-07</t>
  </si>
  <si>
    <t>2021-01-08</t>
  </si>
  <si>
    <t>Decreto-supremo-n-004-2022-TR.pdf</t>
  </si>
  <si>
    <t>DS 004</t>
  </si>
  <si>
    <t>DS_004_2022_ED_2022</t>
  </si>
  <si>
    <t>Decreto Supremo que modifica el 
Reglamento de la Ley General de Inspección 
del Trabajo, aprobado por Decreto Supremo 
N° 019-2006-TR</t>
  </si>
  <si>
    <t>Decreto-supremo-n-004-2022-TR</t>
  </si>
  <si>
    <t>2022-03-08</t>
  </si>
  <si>
    <t>2022-03-09</t>
  </si>
  <si>
    <t>Directiva 001-2016-SUNAFIL.pdf</t>
  </si>
  <si>
    <t>Directiva 001</t>
  </si>
  <si>
    <t>Directiva</t>
  </si>
  <si>
    <t>Directiva_001_2016_ED_2016</t>
  </si>
  <si>
    <t>Reglas generales para el ejercicio de la función inspectiva</t>
  </si>
  <si>
    <t>Directiva 001-2016-SUNAFIL</t>
  </si>
  <si>
    <t>SUNAFIL</t>
  </si>
  <si>
    <t>Superintendencia Nacional de Fiscalización Laboral</t>
  </si>
  <si>
    <t>Directiva, SUNAFIL, Inspección, Fiscalización Laboral</t>
  </si>
  <si>
    <t>2016-01-26</t>
  </si>
  <si>
    <t>2016-01-27</t>
  </si>
  <si>
    <t>Directrices basicas para la gestion de los riesgos psicosociales 2022.pdf</t>
  </si>
  <si>
    <t>Directrices 2022</t>
  </si>
  <si>
    <t>Directrices</t>
  </si>
  <si>
    <t>Directrices_2022_ED_2022</t>
  </si>
  <si>
    <t>DIRECTRICES BÁSICAS PARA LA GESTIÓN DE LOS RIESGOS PSICOSOCIALES</t>
  </si>
  <si>
    <t>Directrices basicas para la gestion de los riesgos psicosociales 2022</t>
  </si>
  <si>
    <t xml:space="preserve">Directrices </t>
  </si>
  <si>
    <t>riesgos_psicosociales</t>
  </si>
  <si>
    <t>Riesgos Psicosociales, Gestión, Directrices, SST</t>
  </si>
  <si>
    <t>2022-01-05</t>
  </si>
  <si>
    <t>2022-01-06</t>
  </si>
  <si>
    <t>DL 295 C¢digo Civil.pdf</t>
  </si>
  <si>
    <t>DL  295</t>
  </si>
  <si>
    <t>DL_295_1984_ED_1984</t>
  </si>
  <si>
    <t>CODIGO CIVIL DECRETO LEGISLATIVO Nº 295</t>
  </si>
  <si>
    <t>DL 295 C¢digo Civil</t>
  </si>
  <si>
    <t>Congreso de la República (Poder Legislativo)</t>
  </si>
  <si>
    <t>Código Civil, DL 295, Derecho Privado</t>
  </si>
  <si>
    <t>1984-07-24</t>
  </si>
  <si>
    <t>1984-07-25</t>
  </si>
  <si>
    <t>DL 635 C¢digo Penal.pdf</t>
  </si>
  <si>
    <t>DL  635</t>
  </si>
  <si>
    <t>DL_635_1991_ED_1991</t>
  </si>
  <si>
    <t xml:space="preserve">Decreto Legislativo n° 635 Código penal </t>
  </si>
  <si>
    <t>DL 635 C¢digo Penal</t>
  </si>
  <si>
    <t>Código Penal, DL 635, Derecho Penal</t>
  </si>
  <si>
    <t>1991-04-08</t>
  </si>
  <si>
    <t>1991-04-09</t>
  </si>
  <si>
    <t>DL1497.pdf</t>
  </si>
  <si>
    <t>DL 1497</t>
  </si>
  <si>
    <t>DL_1497_2020_ED_2020</t>
  </si>
  <si>
    <t>decreto legislativo
nº 1497</t>
  </si>
  <si>
    <t>DL1497</t>
  </si>
  <si>
    <t>Decreto Legislativo, DL 1497, Medidas Extraordinarias</t>
  </si>
  <si>
    <t>DS 001-2016-MIMP.pdf</t>
  </si>
  <si>
    <t>DS  001</t>
  </si>
  <si>
    <t>DS_001_2016_ED_2016</t>
  </si>
  <si>
    <t>Decreto Supremo que desarrolla la Ley Nº 29896 - Ley que establece la implementación de lactarios
en las instituciones del sector público y del sector privado promoviendo la lactancia materna</t>
  </si>
  <si>
    <t>DS 001-2016-MIMP</t>
  </si>
  <si>
    <t>Decreto Supremo, MIMP, Igualdad, Género</t>
  </si>
  <si>
    <t>2016-01-08</t>
  </si>
  <si>
    <t>2016-01-09</t>
  </si>
  <si>
    <t>DS 002-2022-VIVIENDA (04 ABR).pdf.pdf.pdf</t>
  </si>
  <si>
    <t>DS  002</t>
  </si>
  <si>
    <t>DS_002_2022_ED_2022</t>
  </si>
  <si>
    <t>Decreto supremo que apruena el reglamento de gestión y manejo de residuos sólidos de la construcción y demolición</t>
  </si>
  <si>
    <t>DS 002-2022-VIVIENDA (04 ABR)</t>
  </si>
  <si>
    <t>VIVIENDA</t>
  </si>
  <si>
    <t>Ministerio de Vivienda, Construcción y Saneamiento</t>
  </si>
  <si>
    <t>Decreto Supremo, VIVIENDA, Construcción, Regulación</t>
  </si>
  <si>
    <t>2022-04-05</t>
  </si>
  <si>
    <t>DS 003-98-SA Aprueban Normas TÉcnicas del Seguro Complementario de Trabajo de Riesgo.pdf</t>
  </si>
  <si>
    <t>DS  003_TR</t>
  </si>
  <si>
    <t>DS_003_TR_1998_ED_1998</t>
  </si>
  <si>
    <t>Aprueban Normas Técnicas del Seguro Complementario de Trabajo de Riesgo</t>
  </si>
  <si>
    <t>DS 003-98-SA Aprueban Normas T‚cnicas del Seguro Complementario de Trabajo de Riesgo</t>
  </si>
  <si>
    <t>SCTR, Normas Técnicas, Alto Riesgo, Seguridad Social</t>
  </si>
  <si>
    <t>DS 005-2012-TR Reglamento de la LSST.pdf</t>
  </si>
  <si>
    <t>DS  005</t>
  </si>
  <si>
    <t>DS_005_2012_ED_2012</t>
  </si>
  <si>
    <t>Reglamento de la Ley Nº 29783, Ley de Seguridad y Salud en el Trabajo</t>
  </si>
  <si>
    <t>DS 005-2012-TR Reglamento de la LSST</t>
  </si>
  <si>
    <t>Reglamento, LSST (Ley 29783), SST, TR</t>
  </si>
  <si>
    <t>2012-04-28</t>
  </si>
  <si>
    <t>2012-04-29</t>
  </si>
  <si>
    <t>DS 006-2014-TR Modifican el RLSS.pdf</t>
  </si>
  <si>
    <t>DS  006</t>
  </si>
  <si>
    <t>DS_006_2014_ED_2014</t>
  </si>
  <si>
    <t xml:space="preserve">Modifican el Reglamento de la Ley 
N° 29783, Ley de Seguridad y Salud 
en el Trabajo, aprobado por Decreto 
Supremo N° 005-2012-TR </t>
  </si>
  <si>
    <t>DS 006-2014-TR Modifican el RLSS</t>
  </si>
  <si>
    <t>Modificación, Reglamento LSST, DS 005-2012-TR, SST</t>
  </si>
  <si>
    <t>2014-08-01</t>
  </si>
  <si>
    <t>2014-08-02</t>
  </si>
  <si>
    <t>DS 007-2002-TR.pdf</t>
  </si>
  <si>
    <t>DS  007</t>
  </si>
  <si>
    <t>DS_007_2002_ED_2002</t>
  </si>
  <si>
    <t>Aprueban Texto Único Ordenado de la Ley de Jornada de Trabajo, Horario y Trabajo en 
Sobretiempo</t>
  </si>
  <si>
    <t>DS 007-2002-TR</t>
  </si>
  <si>
    <t>2002-07-04</t>
  </si>
  <si>
    <t>2002-07-05</t>
  </si>
  <si>
    <t>DS 008-2020-TR.pdf</t>
  </si>
  <si>
    <t>DS  008</t>
  </si>
  <si>
    <t>DS_008_2020_ED_2020</t>
  </si>
  <si>
    <t>Decreto supremo que modifica el reglamento de la ley general de inspección del trabajo, aprobado por derecho supremo n°019-2006-tr</t>
  </si>
  <si>
    <t>DS 008-2020-TR</t>
  </si>
  <si>
    <t>Decreto Supremo, TR, Suspensión Perfecta, Laboral</t>
  </si>
  <si>
    <t>2020-03-16</t>
  </si>
  <si>
    <t>2020-03-17</t>
  </si>
  <si>
    <t>DS 009-007-SA Reglamento de la Ley de Modernizaci¢n de la Seguridad Social en Salud.pdf</t>
  </si>
  <si>
    <t>DS_009_2007_ED_2007</t>
  </si>
  <si>
    <t>DS 009-007-SA Reglamento de la Ley de Modernizaci¢n de la Seguridad Social en Salud</t>
  </si>
  <si>
    <t>Seguridad Social, ESSALUD, Modernización, Reglamento</t>
  </si>
  <si>
    <t>DS 009-2004-TR RGLTO LEY 28048, Ley de protecci¢n mujer gestante.pdf</t>
  </si>
  <si>
    <t>DS_009_2004_ED_2004</t>
  </si>
  <si>
    <t>Dictan normas reglamentarias de la Ley N° 28048, Ley de Protección a favor de la Mujer 
Gestante que realiza labores que pongan en riesgo su salud y/o el desarrollo normal 
del embrión y el feto</t>
  </si>
  <si>
    <t>DS 009-2004-TR RGLTO LEY 28048, Ley de protecci¢n mujer gestante</t>
  </si>
  <si>
    <t>Protección Gestante, Ley 28048, TR, Maternidad</t>
  </si>
  <si>
    <t>2004-08-01</t>
  </si>
  <si>
    <t>2004-08-02</t>
  </si>
  <si>
    <t>DS 009-2020-TR.pdf</t>
  </si>
  <si>
    <t>DS_009_2020_ED_2020</t>
  </si>
  <si>
    <t>Decreto supremo que aprueba las normas reglamentarias del decreto de urgencia n°044-2019 relativas al seguro de vida</t>
  </si>
  <si>
    <t>DS 009-2020-TR</t>
  </si>
  <si>
    <t>Decreto Supremo, TR, Laboral, COVID-19</t>
  </si>
  <si>
    <t>2020-05-09</t>
  </si>
  <si>
    <t>DS 011-2006-VIVIENDA.pdf</t>
  </si>
  <si>
    <t>DS  011</t>
  </si>
  <si>
    <t>DS_011_2006_ED_2006</t>
  </si>
  <si>
    <t>Aprueban 66 Normas Técnicas del Reglamento Nacional de Edificaciones - RNE</t>
  </si>
  <si>
    <t>DS 011-2006-VIVIENDA</t>
  </si>
  <si>
    <t>Decreto Supremo, VIVIENDA, Regulación</t>
  </si>
  <si>
    <t>2006-07-06</t>
  </si>
  <si>
    <t>2006-07-07</t>
  </si>
  <si>
    <t>DS 012-2014-TR.pdf</t>
  </si>
  <si>
    <t>DS  012</t>
  </si>
  <si>
    <t>DS_012_2014_ED_2014</t>
  </si>
  <si>
    <t>Decreto Supremo que aprueba el Registro Único de Información sobre accidentes de trabajo,
incidentes peligrosos y enfermedades ocupacionales y modifica el artículo 110 del Reglamento de la Ley de Seguridad y Salud en el Trabajo</t>
  </si>
  <si>
    <t>DS 012-2014-TR</t>
  </si>
  <si>
    <t>2014-12-10</t>
  </si>
  <si>
    <t>2014-12-11</t>
  </si>
  <si>
    <t>DS 014-2013-TR Reglamento del registro de auditores autorizados para la evaluaci¢n peri¢dica del SGSST.pdf</t>
  </si>
  <si>
    <t>DS  014</t>
  </si>
  <si>
    <t>DS_014_2013_ED_2013</t>
  </si>
  <si>
    <t>Aprueban Reglamento del Registro de Auditores autorizados para la evaluación periódica del Sistema de Gestión de la Seguridad y Salud en el Trabajo</t>
  </si>
  <si>
    <t>DS 014-2013-TR Reglamento del registro de auditores autorizados para la evaluaci¢n peri¢dica del SGSST</t>
  </si>
  <si>
    <t>Auditores SST, Registro, SGSST, Reglamento</t>
  </si>
  <si>
    <t>2013-12-24</t>
  </si>
  <si>
    <t>2013-12-25</t>
  </si>
  <si>
    <t>DS 015-2005-SA Reglamento de Valores L¡mites Permisibles para Agentes Qu¡micos en el Ambiente de Trabajo.pdf</t>
  </si>
  <si>
    <t>DS  015</t>
  </si>
  <si>
    <t>DS_015_2005_ED_2005</t>
  </si>
  <si>
    <t>Aprueban Reglamento sobre Valores Límite Permisibles para Agentes Químicos en el Ambiente de Trabajo</t>
  </si>
  <si>
    <t>DS 015-2005-SA Reglamento de Valores L¡mites Permisibles para Agentes Qu¡micos en el Ambiente de Trabajo</t>
  </si>
  <si>
    <t>higiene_ocupacional</t>
  </si>
  <si>
    <t>VLP (Valores Límite Permisibles), Agentes Químicos, Higiene Ocupacional</t>
  </si>
  <si>
    <t>2005-07-21</t>
  </si>
  <si>
    <t>2005-07-22</t>
  </si>
  <si>
    <t>DS 015-2008-SA Reglamento de la Ley 28075 Ley General para la Prevenci¢n y Control de los Riesgos del Consumo del Tabaco.pdf</t>
  </si>
  <si>
    <t>DS_015_2008_ED_2008</t>
  </si>
  <si>
    <t>Aprueban Reglamento de la Ley Nº 28705, Ley General para la Prevención y Control de los Riesgos del Consumo del Tabaco</t>
  </si>
  <si>
    <t>DS 015-2008-SA Reglamento de la Ley 28075 Ley General para la Prevenci¢n y Control de los Riesgos del Consumo del Tabaco</t>
  </si>
  <si>
    <t>Consumo de Tabaco, Ley 28075, Prevención, Reglamento</t>
  </si>
  <si>
    <t>2008-09-25</t>
  </si>
  <si>
    <t>2008-09-26</t>
  </si>
  <si>
    <t>DS 016-2016-TR.pdf</t>
  </si>
  <si>
    <t>DS  016</t>
  </si>
  <si>
    <t>DS_016_2016_ED_2016</t>
  </si>
  <si>
    <t>Modifican el Reglamento de la Ley Nº 29783, Ley de Seguridad y Salud en el Trabajo, aprobado por Decreto Supremo Nº 005-2012-TR</t>
  </si>
  <si>
    <t>DS 016-2016-TR</t>
  </si>
  <si>
    <t>2016-12-24</t>
  </si>
  <si>
    <t>2016-12-25</t>
  </si>
  <si>
    <t>DS 019-2006-TR.pdf</t>
  </si>
  <si>
    <t>DS  019</t>
  </si>
  <si>
    <t>DS_019_2006_ED_2006</t>
  </si>
  <si>
    <t>Aprueban Reglamento de la Ley General de Inspección del Trabajo</t>
  </si>
  <si>
    <t>DS 019-2006-TR</t>
  </si>
  <si>
    <t>2006-12-08</t>
  </si>
  <si>
    <t>2006-12-09</t>
  </si>
  <si>
    <t>DS 020-2019-TR.pdf</t>
  </si>
  <si>
    <t>DS  020</t>
  </si>
  <si>
    <t>DS_020_2019_ED_2019</t>
  </si>
  <si>
    <t>Decreto supremo que modifica el relgamento de la ley n°29783, ley de seguridad y salud en el trabajo, el reglamento de la Ley n°28806, ley general de inspección del trabajo, el decreto supremo n°017-2017-tr y el decreto supremo n°007-2017-tr</t>
  </si>
  <si>
    <t>DS 020-2019-TR</t>
  </si>
  <si>
    <t>2019-12-23</t>
  </si>
  <si>
    <t>2019-12-24</t>
  </si>
  <si>
    <t>DS 024-2002-MTC.pdf</t>
  </si>
  <si>
    <t>DS  024</t>
  </si>
  <si>
    <t>DS_024_2002_ED_2002</t>
  </si>
  <si>
    <t>DECRETO SUPREMO Nº 024-2002-MTC</t>
  </si>
  <si>
    <t>DS 024-2002-MTC</t>
  </si>
  <si>
    <t>2002-07-28</t>
  </si>
  <si>
    <t>2002-07-29</t>
  </si>
  <si>
    <t>DS 024-2017-MINSA.pdf</t>
  </si>
  <si>
    <t>DS_024_2017_ED_2017</t>
  </si>
  <si>
    <t>Resoluciónn ministerial 024-2017</t>
  </si>
  <si>
    <t>DS 024-2017-MINSA</t>
  </si>
  <si>
    <t>Decreto Supremo, MINSA, Salud Pública</t>
  </si>
  <si>
    <t>2017-09-10</t>
  </si>
  <si>
    <t>2017-09-11</t>
  </si>
  <si>
    <t>DS 032-2004-EM Reglamento de las actividades de exploraci¢n y explotaci¢n de hidrocarburos.pdf</t>
  </si>
  <si>
    <t>DS  032</t>
  </si>
  <si>
    <t>DS_032_2004_ED_2004</t>
  </si>
  <si>
    <t>Aprueban Reglamento de las Actividades de Exploración y Explotación de Hidrocarburos</t>
  </si>
  <si>
    <t>DS 032-2004-EM Reglamento de las actividades de exploraci¢n y explotaci¢n de hidrocarburos</t>
  </si>
  <si>
    <t>EM</t>
  </si>
  <si>
    <t>Ministerio de Energía y Minas</t>
  </si>
  <si>
    <t>Hidrocarburos, Exploración, Explotación, Reglamento EM</t>
  </si>
  <si>
    <t>2004-09-14</t>
  </si>
  <si>
    <t>2004-09-15</t>
  </si>
  <si>
    <t>DS 039-91-TR.pdf</t>
  </si>
  <si>
    <t>DS  039</t>
  </si>
  <si>
    <t>DS_039_1991_ED_1991</t>
  </si>
  <si>
    <t>Establecen el Reglamento Interno de Trabajo, que determine las condiciones que deben sujetarse los empleadores y trabajadores en el cumplimiento de sus prestaciones</t>
  </si>
  <si>
    <t>DS 039-91-TR</t>
  </si>
  <si>
    <t>1991-11-21</t>
  </si>
  <si>
    <t>1991-11-22</t>
  </si>
  <si>
    <t>DS 043-2007-EM Reglamento de Seguridad para las Actividades de Hidrocarburos y modificaci¢n de diversas disposiciones.pdf</t>
  </si>
  <si>
    <t>DS_043_2007_ED_2007</t>
  </si>
  <si>
    <t>DS 043-2007-EM Reglamento de Seguridad para las Actividades de Hidrocarburos y modificaci¢n de diversas disposiciones</t>
  </si>
  <si>
    <t>Hidrocarburos, Seguridad, Reglamento, EM</t>
  </si>
  <si>
    <t>2007-07-24</t>
  </si>
  <si>
    <t>2007-07-25</t>
  </si>
  <si>
    <t>DS 046-2017-PCM.pdf</t>
  </si>
  <si>
    <t>DS  046</t>
  </si>
  <si>
    <t>DS_046_2017_ED_2017</t>
  </si>
  <si>
    <t>Aprueban el Reglamento de Seguridad para las Actividades de Hidrocarburos y modifican diversas disposiciones</t>
  </si>
  <si>
    <t>DS 046-2017-PCM</t>
  </si>
  <si>
    <t>Decreto Supremo, PCM, Gobierno, Regulación</t>
  </si>
  <si>
    <t>2017-04-10</t>
  </si>
  <si>
    <t>2017-04-11</t>
  </si>
  <si>
    <t>DS 058-2003-MTC Reglamento de veh¡culos.pdf</t>
  </si>
  <si>
    <t>DS  058</t>
  </si>
  <si>
    <t>DS_058_2003_ED_2003</t>
  </si>
  <si>
    <t>DECRETO SUPREMO Nº 058-2003-MTC</t>
  </si>
  <si>
    <t>DS 058-2003-MTC Reglamento de veh¡culos</t>
  </si>
  <si>
    <t>Vehículos, Reglamento, MTC, Tránsito</t>
  </si>
  <si>
    <t>2003-10-10</t>
  </si>
  <si>
    <t>2003-10-11</t>
  </si>
  <si>
    <t>DS Nø 030-2022-PCM.pdf.pdf.pdf</t>
  </si>
  <si>
    <t>DS  030</t>
  </si>
  <si>
    <t>DS_030_2022_ED_2022</t>
  </si>
  <si>
    <t>DS 030-2022-PCM.pdf.pdf.pdf</t>
  </si>
  <si>
    <t>Decreto supremo n° 030-2022*pcm</t>
  </si>
  <si>
    <t>DS 030-2022-PCM</t>
  </si>
  <si>
    <t>Decreto Supremo, PCM, Regulación</t>
  </si>
  <si>
    <t>2022-03-24</t>
  </si>
  <si>
    <t>2022-03-25</t>
  </si>
  <si>
    <t>DS N§ 052-93-EM Reglamento de Seguridad para el Almacenamiento de Hidrocarburos.pdf</t>
  </si>
  <si>
    <t>DS  052</t>
  </si>
  <si>
    <t>DS_052_1993_ED_1993</t>
  </si>
  <si>
    <t>DS 052-93-EM Reglamento de Seguridad para el Almacenamiento de Hidrocarburos.pdf</t>
  </si>
  <si>
    <t>Aprueban el Reglamento de Seguridad para el Almacenamiento de Hidrocarburos</t>
  </si>
  <si>
    <t>DS 052-93-EM Reglamento de Seguridad para el Almacenamiento de Hidrocarburos</t>
  </si>
  <si>
    <t>Almacenamiento, Hidrocarburos, Seguridad, Reglamento EM</t>
  </si>
  <si>
    <t>1993-11-25</t>
  </si>
  <si>
    <t>1993-11-26</t>
  </si>
  <si>
    <t>DS-001-2011-SA.pdf</t>
  </si>
  <si>
    <t>DS_001_2011_ED_2011</t>
  </si>
  <si>
    <t>DS 001-2011-SA.pdf</t>
  </si>
  <si>
    <t>DS 001-2011-SA</t>
  </si>
  <si>
    <t>Decreto Supremo, Salud, Regulación</t>
  </si>
  <si>
    <t>2011-01-29</t>
  </si>
  <si>
    <t>2011-01-30</t>
  </si>
  <si>
    <t>DS. 029-2021-MINAM.pdf.pdf.pdf</t>
  </si>
  <si>
    <t>DS  029</t>
  </si>
  <si>
    <t>DS_029_2021_ED_2021</t>
  </si>
  <si>
    <t>DS 029-2021-MINAM.pdf.pdf.pdf</t>
  </si>
  <si>
    <t>Decreto Supremo que modifica el Decreto 
Supremo N° 010-2017-MINAM, que 
establece Límites Máximos Permisibles 
de emisiones atmosféricas para vehículos 
automotores</t>
  </si>
  <si>
    <t>DS 029-2021-MINAM</t>
  </si>
  <si>
    <t>MINAM</t>
  </si>
  <si>
    <t>Ministerio del Ambiente</t>
  </si>
  <si>
    <t>Decreto Supremo, MINAM, Medio Ambiente</t>
  </si>
  <si>
    <t>2021-12-31</t>
  </si>
  <si>
    <t>2022-01-01</t>
  </si>
  <si>
    <t>DS. 035-2021-MINAM.pdf.pdf.pdf</t>
  </si>
  <si>
    <t>DS  035</t>
  </si>
  <si>
    <t>DS_035_2021_ED_2021</t>
  </si>
  <si>
    <t>DS 035-2021-MINAM.pdf.pdf.pdf</t>
  </si>
  <si>
    <t>Decreto Supremo que aprueba 
Disposiciones Complementarias al Decreto 
Supremo N° 009-2019-MINAM, que 
aprueba el Régimen Especial de Gestión y 
Manejo de Residuos de Aparatos Eléctricos 
y Electrónicos</t>
  </si>
  <si>
    <t>DS 035-2021-MINAM</t>
  </si>
  <si>
    <t>DS14-2019-MIMP.pdf</t>
  </si>
  <si>
    <t>DS_014_2019_ED_2019</t>
  </si>
  <si>
    <t>DS 014-2019-MIMP.pdf</t>
  </si>
  <si>
    <t>Decreto Supremo que aprueba el Reglamento de la Ley Nº 27942, Ley de Prevención y Sanción del
Hostigamiento Sexual</t>
  </si>
  <si>
    <t>DS 014-2019-MIMP</t>
  </si>
  <si>
    <t>Decreto Supremo, MIMP, Violencia, Género</t>
  </si>
  <si>
    <t>2019-12-17</t>
  </si>
  <si>
    <t>2019-12-18</t>
  </si>
  <si>
    <t>DS_011-2014-TR.pdf</t>
  </si>
  <si>
    <t>DS_011_2014_ED_2014</t>
  </si>
  <si>
    <t>DS 011-2014-TR.pdf</t>
  </si>
  <si>
    <t>Decreto Supremo que aprueba el 
“Protocolo Intersectorial contra el 
Trabajo Forzoso”</t>
  </si>
  <si>
    <t>DS 011-2014-TR</t>
  </si>
  <si>
    <t>2014-09-11</t>
  </si>
  <si>
    <t>2014-09-12</t>
  </si>
  <si>
    <t>DS_42_F Reglamento de Seguridad Industrial.pdf</t>
  </si>
  <si>
    <t>DS 042</t>
  </si>
  <si>
    <t>DS_042_1964_ED_1964</t>
  </si>
  <si>
    <t>DECRETO SUPREMO Nº 42-F</t>
  </si>
  <si>
    <t>DS_42_F Reglamento de Seguridad Industrial</t>
  </si>
  <si>
    <t>FOMENTO</t>
  </si>
  <si>
    <t>Ministerio de Fomento y Obras Públicas (Histórico)</t>
  </si>
  <si>
    <t>Reglamento, Seguridad Industrial, DS 42-F</t>
  </si>
  <si>
    <t>1964-05-22</t>
  </si>
  <si>
    <t>1964-05-23</t>
  </si>
  <si>
    <t>FE_DE_ERRATAS_RM_447-2020-MINSA.pdf</t>
  </si>
  <si>
    <t>RM FDR 447</t>
  </si>
  <si>
    <t>RM_447_FDR_2020_ED_2020</t>
  </si>
  <si>
    <t>Recomendaciones sobre el uso de escudos faciales (caretas) en los establecimientos de salud y en la comunidad en el contexto de la pandemia de covid-19</t>
  </si>
  <si>
    <t>FE_DE_ERRATAS_RM_447-2020-MINSA</t>
  </si>
  <si>
    <t>Fe de Erratas, RM 447-2020, MINSA</t>
  </si>
  <si>
    <t>2020-07-16</t>
  </si>
  <si>
    <t>2020-07-17</t>
  </si>
  <si>
    <t>GUIA_PARA_LA_APLICACION_DEL_TRABAJO_REMOTO.pdf</t>
  </si>
  <si>
    <t xml:space="preserve">GuiaTR </t>
  </si>
  <si>
    <t>Guia</t>
  </si>
  <si>
    <t>GuiaTR__2020_ED_2020</t>
  </si>
  <si>
    <t xml:space="preserve">Guia para la aplicación del trabajo remoto </t>
  </si>
  <si>
    <t>GUIA_PARA_LA_APLICACION_DEL_TRABAJO_REMOTO</t>
  </si>
  <si>
    <t>Guia_trabajo_remoto</t>
  </si>
  <si>
    <t>Guía, Trabajo Remoto, Aplicación</t>
  </si>
  <si>
    <t>2020-03-26</t>
  </si>
  <si>
    <t>2020-03-27</t>
  </si>
  <si>
    <t>ISO-45005.pdf</t>
  </si>
  <si>
    <t>ISO 45005</t>
  </si>
  <si>
    <t>ISO_45005_2022_ED_2022</t>
  </si>
  <si>
    <t>Gestión de la seguridad y salud en el trabajo 
– Directrices generales para el trabajo 
seguro durante la pandemia de COVID-19</t>
  </si>
  <si>
    <t>ISO-45005</t>
  </si>
  <si>
    <t>estandar_gestión_riesgos_derivados_covid_19</t>
  </si>
  <si>
    <t>ISO 45005, Gestión SST, Trabajo Seguro, COVID-19</t>
  </si>
  <si>
    <t>2020-12-21</t>
  </si>
  <si>
    <t>LEY 28839.pdf</t>
  </si>
  <si>
    <t>Ley  28839</t>
  </si>
  <si>
    <t>Ley</t>
  </si>
  <si>
    <t>Ley_28839_2006_ED_2006</t>
  </si>
  <si>
    <t>Ley que modifica los Artículos 30 y 31 de la Ley Nº 27181, Ley General de Transporte y Tránsito
Terrestre, referido al Seguro Obligatorio de Accidentes de Tránsito (SOAT) e incorpora el Artículo 431- A al Código Penal</t>
  </si>
  <si>
    <t>LEY 28839</t>
  </si>
  <si>
    <t>Ley 28839, Energía, Regulación</t>
  </si>
  <si>
    <t>2006-07-27</t>
  </si>
  <si>
    <t>2006-07-28</t>
  </si>
  <si>
    <t>Ley 26790 mdf.pdf</t>
  </si>
  <si>
    <t>Ley  26790</t>
  </si>
  <si>
    <t>Ley_26790_mdf_1997_ED_1997</t>
  </si>
  <si>
    <t>Ley de Modernización de la Seguridad Social en Salud</t>
  </si>
  <si>
    <t>Ley 26790</t>
  </si>
  <si>
    <t>Ley 26790, Seguridad Social, SCTR</t>
  </si>
  <si>
    <t>Ley 26842 Ley General de Salud.pdf</t>
  </si>
  <si>
    <t>Ley  26842</t>
  </si>
  <si>
    <t>Ley_26842_1997_ED_1997</t>
  </si>
  <si>
    <t>Ley General de Salud</t>
  </si>
  <si>
    <t>Ley 26842 Ley General de Salud</t>
  </si>
  <si>
    <t>comites_sst</t>
  </si>
  <si>
    <t>Ley General de Salud, LGS, Salud Pública</t>
  </si>
  <si>
    <t>1997-07-20</t>
  </si>
  <si>
    <t>1997-07-21</t>
  </si>
  <si>
    <t>Ley 27181 Ley general de transporte y tr nsito terrestre.pdf</t>
  </si>
  <si>
    <t>Ley  27181</t>
  </si>
  <si>
    <t>Ley_27181_1999_ED_1999</t>
  </si>
  <si>
    <t>LEY Nº 27181</t>
  </si>
  <si>
    <t>Ley 27181 Ley general de transporte y tr nsito terrestre</t>
  </si>
  <si>
    <t>Transporte, Tránsito Terrestre, Ley General</t>
  </si>
  <si>
    <t>1999-10-20</t>
  </si>
  <si>
    <t>1999-10-21</t>
  </si>
  <si>
    <t>Ley 27942 Ley de Prevenci¢n y Sanci¢n del Hostigamiento Sexual.pdf</t>
  </si>
  <si>
    <t>Ley  27942</t>
  </si>
  <si>
    <t>Ley_27942_2003_ED_2003</t>
  </si>
  <si>
    <t>Ley de Prevención y Sanción del Hostigamiento Sexual</t>
  </si>
  <si>
    <t>Ley 27942 Ley de Prevenci¢n y Sanci¢n del Hostigamiento Sexual</t>
  </si>
  <si>
    <t>Hostigamiento Sexual, Prevención, Sanción, Ley</t>
  </si>
  <si>
    <t>2003-05-27</t>
  </si>
  <si>
    <t>2003-05-28</t>
  </si>
  <si>
    <t>Ley 28551 Ley que establece la obligaci¢n de elaborar y presentar planes de contingencia.pdf</t>
  </si>
  <si>
    <t>Ley  28551</t>
  </si>
  <si>
    <t>Ley_28551_2005_ED_2005</t>
  </si>
  <si>
    <t>Ley que establece la obligación de elaborar y presentar planes de contingencia</t>
  </si>
  <si>
    <t>Ley 28551 Ley que establece la obligaci¢n de elaborar y presentar planes de contingencia</t>
  </si>
  <si>
    <t>Planes de Contingencia, Obligación, Ley</t>
  </si>
  <si>
    <t>2005-06-16</t>
  </si>
  <si>
    <t>2005-06-17</t>
  </si>
  <si>
    <t>Ley 28705 Ley general para la prevenci¢n y control de los riesgos del consumo del tabaco.pdf</t>
  </si>
  <si>
    <t>Ley  28705</t>
  </si>
  <si>
    <t>Ley_28705_2017_ED_2017</t>
  </si>
  <si>
    <t>LEY GENERAL PARA LA PREVENCIÓN
Y CONTROL DE LOS RIESGOS DEL
CONSUMO DEL TABACO</t>
  </si>
  <si>
    <t>Ley 28705 Ley general para la prevenci¢n y control de los riesgos del consumo del tabaco</t>
  </si>
  <si>
    <t>Consumo de Tabaco, Prevención, Control, Ley</t>
  </si>
  <si>
    <t>2006-04-06</t>
  </si>
  <si>
    <t>Ley 29517 Ley que modifica la Ley 28705.pdf</t>
  </si>
  <si>
    <t>Ley  29517</t>
  </si>
  <si>
    <t>Ley_29517_2017_ED_2017</t>
  </si>
  <si>
    <t>LEY QUE MODIFICA LA LEY NÚM. 28705, LEY 
GENERAL PARA LA PREVENCIÓN Y CONTROL 
DE LOS RIESGOS DEL CONSUMO DEL TABACO, 
PARA ADECUARSE AL CONVENIO MARCO DE LA 
ORGANIZACIÓN MUNDIAL DE LA SALUD (OMS) 
PARA EL CONTROL DEL TABACO</t>
  </si>
  <si>
    <t>Ley 29517 Ley que modifica la Ley 28705</t>
  </si>
  <si>
    <t>Modificación Ley 28705, Tabaco, Ley</t>
  </si>
  <si>
    <t>2010-04-02</t>
  </si>
  <si>
    <t>2010-04-03</t>
  </si>
  <si>
    <t>Ley 29783 Ley de Seguridad y Salud en el Trabajo.pdf</t>
  </si>
  <si>
    <t>Ley  29783</t>
  </si>
  <si>
    <t>Ley_29783_2011_ED_2011</t>
  </si>
  <si>
    <t>Ley de Seguridad y Salud en el Trabajo</t>
  </si>
  <si>
    <t>Ley 29783 Ley de Seguridad y Salud en el Trabajo</t>
  </si>
  <si>
    <t>LSST, Ley 29783, SST</t>
  </si>
  <si>
    <t>Ley 30222 Ley que modifica a la Ley 29783.pdf</t>
  </si>
  <si>
    <t>Ley  30222</t>
  </si>
  <si>
    <t>Ley_30222_2014_ED_2014</t>
  </si>
  <si>
    <t>Ley que modifica la ley 29783, ley de seguridad y salud en el trabajo</t>
  </si>
  <si>
    <t>Ley 30222 Ley que modifica a la Ley 29783</t>
  </si>
  <si>
    <t>Modificación LSST, Ley 30222, SST</t>
  </si>
  <si>
    <t>2014-07-11</t>
  </si>
  <si>
    <t>2014-07-12</t>
  </si>
  <si>
    <t>Ley 30287 Ley de prevenci¢n y control de la tuberculosis en el Per£.pdf</t>
  </si>
  <si>
    <t>Ley  30287</t>
  </si>
  <si>
    <t>Ley_30287_2014_ED_2014</t>
  </si>
  <si>
    <t>Ley de prevención y control de la tuberculosis en el Perú</t>
  </si>
  <si>
    <t>Ley 30287 Ley de prevenci¢n y control de la tuberculosis en el Per£</t>
  </si>
  <si>
    <t>Tuberculosis, Prevención, Control, Ley</t>
  </si>
  <si>
    <t>2014-12-22</t>
  </si>
  <si>
    <t>2014-12-23</t>
  </si>
  <si>
    <t>Ley 30619.pdf</t>
  </si>
  <si>
    <t>Ley  30619</t>
  </si>
  <si>
    <t>Ley_30619_2017_ED_2017</t>
  </si>
  <si>
    <t>LEY QUE MODIFICA LA LEY 28976, LEY MARCO 
DE LICENCIA DE FUNCIONAMIENTO, ACERCA DE 
LA VIGENCIA DEL CERTIFICADO DE INSPECCIÓN 
TÉCNICA DE SEGURIDAD EN EDIFICACIONES</t>
  </si>
  <si>
    <t>Ley 30619</t>
  </si>
  <si>
    <t>Ley 30619, Regulación</t>
  </si>
  <si>
    <t>2017-06-21</t>
  </si>
  <si>
    <t>2017-06-22</t>
  </si>
  <si>
    <t>Ley 30646.pdf</t>
  </si>
  <si>
    <t>Ley  30646</t>
  </si>
  <si>
    <t>Ley_30646_2017_ED_2017</t>
  </si>
  <si>
    <t>LEY QUE REGULA EL DESCANSO FÍSICO 
ADICIONAL DEL PERSONAL DE LA SALUD POR 
EXPOSICIÓN A RADIACIONES IONIZANTES O 
SUSTANCIAS RADIACTIVAS</t>
  </si>
  <si>
    <t>Ley 30646</t>
  </si>
  <si>
    <t>Ley 30646, Regulación</t>
  </si>
  <si>
    <t>2017-08-27</t>
  </si>
  <si>
    <t>2017-08-28</t>
  </si>
  <si>
    <t>Ley 30867 Ley que incorpora el Cap¡tulo V a la Ley 28553, Ley General de Protecci¢n a las Personas con Diabetes.pdf</t>
  </si>
  <si>
    <t>Ley  30867</t>
  </si>
  <si>
    <t>Ley_30867_2018_ED_2018</t>
  </si>
  <si>
    <t>Ley que incorpora el Capítulo V a la Ley 28553, Ley General de Protección a las Personas con
Diabetes</t>
  </si>
  <si>
    <t>Ley 30867 Ley que incorpora el Cap¡tulo V a la Ley 28553, Ley General de Protecci¢n a las Personas con Diabetes</t>
  </si>
  <si>
    <t>Diabetes, Ley 30867, Protección, Salud</t>
  </si>
  <si>
    <t>2018-10-15</t>
  </si>
  <si>
    <t>2018-10-16</t>
  </si>
  <si>
    <t>LEY Nø 31051.pdf</t>
  </si>
  <si>
    <t>Ley  31051</t>
  </si>
  <si>
    <t>Ley_31051_2020_ED_2020</t>
  </si>
  <si>
    <t>ley QUe AMPlÍA lAS MeDIDAS De PROTeCCIÓn lABORAl PARA MUJeReS GeSTAnTeS y MADReS lACTAnTeS en CASOS De eMeRGenCIA nACIOnAl SAnITARIA</t>
  </si>
  <si>
    <t>LEY Nø 31051</t>
  </si>
  <si>
    <t>Ley 31051, Regulación</t>
  </si>
  <si>
    <t>2020-08-28</t>
  </si>
  <si>
    <t>2020-08-29</t>
  </si>
  <si>
    <t>LEY Nø 31091.pdf</t>
  </si>
  <si>
    <t>Ley  31091</t>
  </si>
  <si>
    <t>Ley_31091_2020_ED_2020</t>
  </si>
  <si>
    <t>ley QUe GARAnTIZA el ACCeSO Al 
TRATAMIenTO PReVenTIVO y CURATIVO De lA 
enFeRMeDAD POR COROnAVIRUS SARS-COV-2 
y De OTRAS enFeRMeDADeS QUe DAn ORIGen 
A eMeRGenCIAS SAnITARIAS nACIOnAleS 
y OTRAS PAnDeMIAS DeClARADAS POR lA 
ORGAnIZACIÓn MUnDIAl De lA SAlUD</t>
  </si>
  <si>
    <t>LEY Nø 31091</t>
  </si>
  <si>
    <t>Ley 31091, Regulación</t>
  </si>
  <si>
    <t>2020-12-19</t>
  </si>
  <si>
    <t>2020-12-20</t>
  </si>
  <si>
    <t>Ley Nø 31246.pdf</t>
  </si>
  <si>
    <t>Ley  31246</t>
  </si>
  <si>
    <t>Ley_31246_2021_ED_2021</t>
  </si>
  <si>
    <t>LEY QUE MODIFICA LA LEY 29783,
LEY DE SEGURIDAD Y SALUD EN EL TRABAJO, 
PARA GARANTIZAR EL DERECHO DE LOS 
TRABAJADORES A LA SEGURIDAD Y LA SALUD 
EN EL TRABAJO ANTE RIESGO
EPIDEMIOLÓGICO Y SANITARIO</t>
  </si>
  <si>
    <t>Ley Nø 31246</t>
  </si>
  <si>
    <t>Ley 31246, SST, COVID-19, Seguro Vida</t>
  </si>
  <si>
    <t>2021-07-06</t>
  </si>
  <si>
    <t>LEY N§ 31334.pdf</t>
  </si>
  <si>
    <t>Ley  31334</t>
  </si>
  <si>
    <t>Ley_31334_2021_ED_2021</t>
  </si>
  <si>
    <t>LEY QUE CONCEDE EL DERECHO A LICENCIA A 
TRABAJADORES EN EL DÍA PROGRAMADO PARA 
SU VACUNACIÓN CONTRA EL COVID-19</t>
  </si>
  <si>
    <t>LEY N§ 31334</t>
  </si>
  <si>
    <t>Ley 31334, Regulación</t>
  </si>
  <si>
    <t>2021-08-20</t>
  </si>
  <si>
    <t>2021-08-21</t>
  </si>
  <si>
    <t>R 60-2014-CNB-INDECOPI Aprueban Normas T‚cnicas Peruanas sobre esp rrago, palta y otros.pdf</t>
  </si>
  <si>
    <t>R 060</t>
  </si>
  <si>
    <t>R</t>
  </si>
  <si>
    <t>R_060_2014_ED_2014</t>
  </si>
  <si>
    <t>Aprueban Normas T‚cnicas Peruanas sobre esp rrago, palta y otros</t>
  </si>
  <si>
    <t>R 60-2014-CNB-INDECOPI Aprueban Normas T‚cnicas Peruanas sobre esp rrago, palta y otros</t>
  </si>
  <si>
    <t>INDECOPI</t>
  </si>
  <si>
    <t>Instituto Nacional de Defensa de la Competencia y de la Propiedad Intelectual</t>
  </si>
  <si>
    <t>Resolución</t>
  </si>
  <si>
    <t>Normas Técnicas Peruanas, N.T.P., INDECOPI, Alimentos</t>
  </si>
  <si>
    <t>2014-07-19</t>
  </si>
  <si>
    <t>RAD 011-2006-APN-DIR.pdf</t>
  </si>
  <si>
    <t>RAD 011</t>
  </si>
  <si>
    <t>RAD_011_2006_ED_2006</t>
  </si>
  <si>
    <t>Resolución de acuerdo de directorio n°011-2006-apn/dir</t>
  </si>
  <si>
    <t>RAD 011-2006-APN-DIR</t>
  </si>
  <si>
    <t>APN</t>
  </si>
  <si>
    <t>Autoridad Portuaria Nacional</t>
  </si>
  <si>
    <t>RAD, APN, Navegación, Puerto</t>
  </si>
  <si>
    <t>2006-06-29</t>
  </si>
  <si>
    <t>2006-06-30</t>
  </si>
  <si>
    <t>RD 0562-2003-DCG C¢digo de seguridad de equipo para naves y artefactos navales mar¡timos, fluviales y lacustres.pdf</t>
  </si>
  <si>
    <t>RD 0562</t>
  </si>
  <si>
    <t>RD</t>
  </si>
  <si>
    <t>RD_0562_2003_ED_2003</t>
  </si>
  <si>
    <t>Resolución directoral 0562-2003/DCG</t>
  </si>
  <si>
    <t>RD 0562-2003-DCG C¢digo de seguridad de equipo para naves y artefactos navales mar¡timos, fluviales y lacustres</t>
  </si>
  <si>
    <t>DCG</t>
  </si>
  <si>
    <t>Dirección General de Capitanías y Guardacostas (DICAPI)</t>
  </si>
  <si>
    <t>Resolución_directorial</t>
  </si>
  <si>
    <t>Código de Seguridad, Naves, Marítimo, Fluvial</t>
  </si>
  <si>
    <t>2003-09-05</t>
  </si>
  <si>
    <t>2003-09-06</t>
  </si>
  <si>
    <t>RD367-~1.PDF</t>
  </si>
  <si>
    <t>RD 0367</t>
  </si>
  <si>
    <t>RD_0367_2010_ED_2010</t>
  </si>
  <si>
    <t>Aprueban requisitos mínimos de botiquín que deberán portar los vehículos destinados a los servicios
de transporte terrestre de personas y mixto de ámbito nacional, regional y provincial, así como de
mercancías</t>
  </si>
  <si>
    <t>RD367-~1</t>
  </si>
  <si>
    <t>DICAPI</t>
  </si>
  <si>
    <t>Dirección General de Capitanías y Guardacostas</t>
  </si>
  <si>
    <t>Resolución Directoral, Regulación</t>
  </si>
  <si>
    <t>2010-04-07</t>
  </si>
  <si>
    <t>2010-04-08</t>
  </si>
  <si>
    <t>Resolucion Directoral No. 073-2022-MINEM-DGH.pdf.pdf.pdf</t>
  </si>
  <si>
    <t>RD 073</t>
  </si>
  <si>
    <t>RD_073_2022_ED_2022</t>
  </si>
  <si>
    <t>Resolucion Directoral No. 073-2022-MINEM-DGH.pdf</t>
  </si>
  <si>
    <t>MODIFICAN LINEAMIENTOS Y DISPOSICIONES TÉCNICAS NECESARIAS PARA 
LA ELABORACIÓN DE LOS ESTUDIOS DE RIESGOS DE SEGURIDAD Y PLANES 
DE RESPUESTAS DE EMERGENCIA</t>
  </si>
  <si>
    <t>Resolucion Directoral No. 073-2022-MINEM-DGH</t>
  </si>
  <si>
    <t>MINEM / DGH</t>
  </si>
  <si>
    <t>Ministerio de Energía y Minas / Dirección General de Hidrocarburos</t>
  </si>
  <si>
    <t>Resolución Directoral, MINEM, Hidrocarburos, DGH</t>
  </si>
  <si>
    <t>2022-03-22</t>
  </si>
  <si>
    <t>2022-03-23</t>
  </si>
  <si>
    <t>RESOLUCION MINISTERIAL 055-2020 TR.pdf</t>
  </si>
  <si>
    <t>RM 055</t>
  </si>
  <si>
    <t>RM_055_2020_ED_2020</t>
  </si>
  <si>
    <t>Resolución ministerial n°055-2020-tr</t>
  </si>
  <si>
    <t>RESOLUCION MINISTERIAL 055-2020 TR</t>
  </si>
  <si>
    <t>Resolución Ministerial, TR, Laboral, COVID-19</t>
  </si>
  <si>
    <t>Resolucion-485-GG-Essalud-LPDerecho.pdf</t>
  </si>
  <si>
    <t>RL 485</t>
  </si>
  <si>
    <t>RL_485_2022_ED_2022</t>
  </si>
  <si>
    <t>Dejan sin efecto numeral 1 de la Res. N° 
1063-GG-ESSALUD-2020 que autorizó de 
manera excepcional, la presentación de 
certificados médicos particulares emitidos 
fuera del plazo de 30 días, mientras dure la 
emergencia sanitaria a causa del COVID-19</t>
  </si>
  <si>
    <t>Resolucion-485-GG-Essalud-LPDerecho</t>
  </si>
  <si>
    <t>ESSALUD</t>
  </si>
  <si>
    <t>Seguro Social de Salud</t>
  </si>
  <si>
    <t>Resolución_Legislativa</t>
  </si>
  <si>
    <t>Resolución, Essalud, Gerencia General, Seguridad Social</t>
  </si>
  <si>
    <t>Resolucion-ministerial-n-072-2020-tr-1865153-1.pdf</t>
  </si>
  <si>
    <t>RM 072</t>
  </si>
  <si>
    <t>RM_072_2020_ED_2020</t>
  </si>
  <si>
    <t>Aprueban documento denominado “Guía 
para la aplicación del trabajo remoto”</t>
  </si>
  <si>
    <t>Resolucion-ministerial-n-072-2020-tr-1865153-1</t>
  </si>
  <si>
    <t>Resolución Ministerial, TR, Trabajo Remoto, COVID-19</t>
  </si>
  <si>
    <t>2020-03-25</t>
  </si>
  <si>
    <t>Resoluci¢n de Gerencia General N§ 57-2022-OS-GG.pdf</t>
  </si>
  <si>
    <t>RGG 057</t>
  </si>
  <si>
    <t>RGG</t>
  </si>
  <si>
    <t>RGG_057_2022_ED_2022</t>
  </si>
  <si>
    <t>Aprueban Formato para la Presentación de 
la Declaración Jurada de Cumplimiento de 
Obligaciones Relativas a las Condiciones 
Técnicas y de Seguridad para Plantas 
Envasadoras de GLP</t>
  </si>
  <si>
    <t>Resoluci¢n de Gerencia General N§ 57-2022-OS-GG</t>
  </si>
  <si>
    <t>Organismo Supervisor de la Inversión en Energía y Minas</t>
  </si>
  <si>
    <t>Resolución_Gerencia_General</t>
  </si>
  <si>
    <t>Resolución Gerencia General, Organismo Supervisor (OS)</t>
  </si>
  <si>
    <t>2022-03-29</t>
  </si>
  <si>
    <t>2022-03-30</t>
  </si>
  <si>
    <t>Resoluci¢n Directoral N§ 003-2022-INACALDN.pdf</t>
  </si>
  <si>
    <t>RD 003</t>
  </si>
  <si>
    <t>RD_003_2022_ED_2022</t>
  </si>
  <si>
    <t>Aprueban Normas Técnicas Peruanas 
referentes a la industria de la pintura y el 
color, envase metálico, salud y seguridad 
ocupacional, cilindros para gas, lubricantes 
y otros</t>
  </si>
  <si>
    <t>Resoluci¢n Directoral N§ 003-2022-INACALDN</t>
  </si>
  <si>
    <t>Instituto Nacional de Calidad</t>
  </si>
  <si>
    <t>Resolución Directoral, INACAL, Normalización, Calidad</t>
  </si>
  <si>
    <t>2022-02-17</t>
  </si>
  <si>
    <t>2022-02-18</t>
  </si>
  <si>
    <t>Resoluci¢n Directoral N§ 004-2022-INACAL.pdf</t>
  </si>
  <si>
    <t>RD 004</t>
  </si>
  <si>
    <t>RD_004_2022_ED_2022</t>
  </si>
  <si>
    <t>Aprueban Normas Técnicas Peruanas y 
textos afines, sobre gestión de la seguridad 
y salud en el trabajo y otros</t>
  </si>
  <si>
    <t>Resoluci¢n Directoral N§ 004-2022-INACAL</t>
  </si>
  <si>
    <t>2022-02-23</t>
  </si>
  <si>
    <t>2022-02-24</t>
  </si>
  <si>
    <t>RESOLUCIàN DIRECTORAL N§ 009-2023-INACAL DN.pdf</t>
  </si>
  <si>
    <t>RM 009</t>
  </si>
  <si>
    <t>RM_009_2023_ED_2023</t>
  </si>
  <si>
    <t>Aprueban Normas Técnicas Peruanas sobre 
frutas amazónicas, fertilizantes y otros</t>
  </si>
  <si>
    <t>RESOLUCIàN DIRECTORAL N§ 009-2023-INACAL DN</t>
  </si>
  <si>
    <t>2023-08-16</t>
  </si>
  <si>
    <t>2023-08-17</t>
  </si>
  <si>
    <t>Resoluci¢n Legislativa N§ 31415.pdf</t>
  </si>
  <si>
    <t>RL 31415</t>
  </si>
  <si>
    <t>RL_31415_2022_ED_2022</t>
  </si>
  <si>
    <t>RESOLUCIÓN LEGISLATIVA QUE
APRUEBA EL CONVENIO SOBRE LA
ELIMINACIÓN DE LA VIOLENCIA Y EL ACOSO
EN EL MUNDO DEL TRABAJO</t>
  </si>
  <si>
    <t>Resoluci¢n Legislativa N§ 31415</t>
  </si>
  <si>
    <t>Resolución Legislativa, Regulación</t>
  </si>
  <si>
    <t>2022-02-09</t>
  </si>
  <si>
    <t>2022-02-10</t>
  </si>
  <si>
    <t>Resoluci¢n Ministerial  Nø400-2022-MINSA.pdf</t>
  </si>
  <si>
    <t>RM 400</t>
  </si>
  <si>
    <t>RM_400_2022_ED_2022</t>
  </si>
  <si>
    <t>Resoluci¢n Ministerial No 400-2022-MINSA.pdf</t>
  </si>
  <si>
    <t>Resolución ministerial n°400-2022/minsa</t>
  </si>
  <si>
    <t>Resoluci¢n Ministerial No 400-2022-MINSA</t>
  </si>
  <si>
    <t>Resolución Ministerial, MINSA, Salud Pública</t>
  </si>
  <si>
    <t>2022-06-08</t>
  </si>
  <si>
    <t>2022-06-09</t>
  </si>
  <si>
    <t>Resoluci¢n Ministerial No. 193-2020-MINSA.pdf</t>
  </si>
  <si>
    <t>RM 193</t>
  </si>
  <si>
    <t>RM_193_2020_ED_2020</t>
  </si>
  <si>
    <t>Resoluci¢n Ministerial No 193-2020-MINSA.pdf</t>
  </si>
  <si>
    <t>Aprueban el documento técnico: prevención, diagnóstico y tratamiento de personas afectadas por COVID-19 en el Perú</t>
  </si>
  <si>
    <t>Resoluci¢n Ministerial No 193-2020-MINSA</t>
  </si>
  <si>
    <t>Resolución Ministerial, MINSA, Salud, COVID-19</t>
  </si>
  <si>
    <t>2020-04-12</t>
  </si>
  <si>
    <t>2020-04-13</t>
  </si>
  <si>
    <t>Resoluci¢n Ministerial No. 377-2020-MINSA.pdf</t>
  </si>
  <si>
    <t>RM 377</t>
  </si>
  <si>
    <t>RM_377_2020_ED_2020</t>
  </si>
  <si>
    <t>Resoluci¢n Ministerial No 377-2020-MINSA.pdf</t>
  </si>
  <si>
    <t>Delegan en el instituto nacional de salud, a través del centro nacional de salud ocupacional y protección del ambiente para la salud (CENSOPAS), la administración del registro del "Plan para la vigilacia, prevención y control de COVID-19 en el trabajo" en el sistema integrado para COVID-19 (SISCOVID-19) del ministerio de Salud; así como su fisclización posterior</t>
  </si>
  <si>
    <t>Resoluci¢n Ministerial No 377-2020-MINSA</t>
  </si>
  <si>
    <t>2020-06-15</t>
  </si>
  <si>
    <t>2020-06-16</t>
  </si>
  <si>
    <t>Resoluci¢n Ministerial Nø 031-2023-MINSA.pdf</t>
  </si>
  <si>
    <t>RM 031</t>
  </si>
  <si>
    <t>RM_031_2023_ED_2023</t>
  </si>
  <si>
    <t>Resoluci¢n Ministerial No 031-2023-MINSA.pdf</t>
  </si>
  <si>
    <t>Resolución Ministerial 031-2023/Minsa</t>
  </si>
  <si>
    <t>Resoluci¢n Ministerial No 031-2023-MINSA</t>
  </si>
  <si>
    <t>2023-01-13</t>
  </si>
  <si>
    <t>2023-01-14</t>
  </si>
  <si>
    <t>RESOLUCIàN MINISTERIAL N§ 0152-2020-MINAGRI.pdf</t>
  </si>
  <si>
    <t>RM 0152</t>
  </si>
  <si>
    <t>RM_0152_2020_ED_2020</t>
  </si>
  <si>
    <t>Resoluci¢n Ministerial No 0152-2020-MINAGRI.pdf</t>
  </si>
  <si>
    <t>Aprueban protocolos sanitarios ante el covid-19, para las actividades del sector agricultura y riego</t>
  </si>
  <si>
    <t>Resoluci¢n Ministerial No 0152-2020-MINAGRI</t>
  </si>
  <si>
    <t>MINAGRI</t>
  </si>
  <si>
    <t>Ministerio de Agricultura y Riego</t>
  </si>
  <si>
    <t>Resolución Ministerial, MINAGRI, Agricultura</t>
  </si>
  <si>
    <t>2020-05-23</t>
  </si>
  <si>
    <t>2020-05-24</t>
  </si>
  <si>
    <t>Resoluci¢n Ministerial N§ 018-2022-MINSA.pdf</t>
  </si>
  <si>
    <t>RM 018</t>
  </si>
  <si>
    <t>RM_018_2022_ED_2022</t>
  </si>
  <si>
    <t>Resoluci¢n Ministerial No 018-2022-MINSA.pdf</t>
  </si>
  <si>
    <t>Resolución Ministerial 018-2022/minsa</t>
  </si>
  <si>
    <t>Resoluci¢n Ministerial No 018-2022-MINSA</t>
  </si>
  <si>
    <t>2022-01-19</t>
  </si>
  <si>
    <t>2022-01-20</t>
  </si>
  <si>
    <t>Resoluci¢n Ministerial N§ 096-2020-MINAM.pdf</t>
  </si>
  <si>
    <t>RM 096</t>
  </si>
  <si>
    <t>RM_096_2020_ED_2020</t>
  </si>
  <si>
    <t>Resoluci¢n Ministerial No 096-2020-MINAM.pdf</t>
  </si>
  <si>
    <t>Resolución Ministerial n°096-2020-minam</t>
  </si>
  <si>
    <t>Resoluci¢n Ministerial No 096-2020-MINAM</t>
  </si>
  <si>
    <t>Resolución Ministerial, MINAM, Gestión Ambiental</t>
  </si>
  <si>
    <t>2020-06-12</t>
  </si>
  <si>
    <t>2020-06-13</t>
  </si>
  <si>
    <t>Resoluci¢n Ministerial N§ 158-2022-MINSA.pdf</t>
  </si>
  <si>
    <t>RM 158</t>
  </si>
  <si>
    <t>RM_158_2022_ED_2022</t>
  </si>
  <si>
    <t>Resoluci¢n Ministerial No 158-2022-MINSA.pdf</t>
  </si>
  <si>
    <t>Resolución Ministerial 158-2022/minsa</t>
  </si>
  <si>
    <t>Resoluci¢n Ministerial No 158-2022-MINSA</t>
  </si>
  <si>
    <t>Resoluci¢n Ministerial N§ 249-2022-MTC.pdf</t>
  </si>
  <si>
    <t>RM 249</t>
  </si>
  <si>
    <t>RM_249_2022_ED_2022</t>
  </si>
  <si>
    <t>Resoluci¢n Ministerial No 249-2022-MTC.pdf</t>
  </si>
  <si>
    <t>Resolución Ministerial n°249-2022-mtc/01</t>
  </si>
  <si>
    <t>Resoluci¢n Ministerial No 249-2022-MTC</t>
  </si>
  <si>
    <t>Resolución Ministerial, MTC, Transporte</t>
  </si>
  <si>
    <t>RESOLUCIàN MINISTERIAL N§ 448-2020-MINSA.pdf</t>
  </si>
  <si>
    <t>RM 448</t>
  </si>
  <si>
    <t>RM_448_2020_ED_2020</t>
  </si>
  <si>
    <t>Resoluci¢n Ministerial No 448-2020-MINSA.pdf</t>
  </si>
  <si>
    <t>Aprueban decumento técnico: "Lineamientos para la vigilancia, prevención y control de la salud de los trabajadores con riesgos de exposición a covid-19" y modifican la R.M. n°377-2020/minsa</t>
  </si>
  <si>
    <t>Resoluci¢n Ministerial No 448-2020-MINSA</t>
  </si>
  <si>
    <t>Resolución Ministerial, MINSA, Protocolo Sanitario, COVID-19</t>
  </si>
  <si>
    <t>2020-07-08</t>
  </si>
  <si>
    <t>2020-07-09</t>
  </si>
  <si>
    <t>Resoluci¢n SGRD N§ 001-2025-PCM SGRD.PDF</t>
  </si>
  <si>
    <t>R 001</t>
  </si>
  <si>
    <t>R_001_2025_ED_2025</t>
  </si>
  <si>
    <t>Aprueban la ejecución de simulacros y 
simulaciones para los años 2025-2027</t>
  </si>
  <si>
    <t>Resoluci¢n SGRD N§ 001-2025-PCM SGRD</t>
  </si>
  <si>
    <t>PCM / SGRD</t>
  </si>
  <si>
    <t>Presidencia del Consejo de Ministros / Secretaría de Gestión del Riesgo de Desastres</t>
  </si>
  <si>
    <t>Resolución, SGRD, PCM, Gestión del Riesgo de Desastres</t>
  </si>
  <si>
    <t>2025-02-22</t>
  </si>
  <si>
    <t>2025-02-23</t>
  </si>
  <si>
    <t>RJ 000002-2022-JEF INDECI.pdf.pdf.pdf</t>
  </si>
  <si>
    <t>RJ 000002</t>
  </si>
  <si>
    <t>RJ</t>
  </si>
  <si>
    <t>RJ_000002_2022_ED_2022</t>
  </si>
  <si>
    <t>RESOLUCION JEFATURAL N° D000002-2022-INDECI-JEF INDECI</t>
  </si>
  <si>
    <t>RJ 000002-2022-JEF INDECI</t>
  </si>
  <si>
    <t>INDECI</t>
  </si>
  <si>
    <t>Instituto Nacional de Defensa Civil</t>
  </si>
  <si>
    <t>Resolución_Jefatural</t>
  </si>
  <si>
    <t>Resolución Jefatural, INDECI, Defensa Civil</t>
  </si>
  <si>
    <t>2022-01-04</t>
  </si>
  <si>
    <t>RJ Nø 000058-2022 Y LA DIRECTIVA Nø 0002.pdf.pdf.pdf</t>
  </si>
  <si>
    <t>RJ 000058</t>
  </si>
  <si>
    <t>RJ_000058_2022_ED_2022</t>
  </si>
  <si>
    <t>RJ-Nø 000058-2022 Y LA DIRECTIVA Nø 0002.pdf.pdf.pdf</t>
  </si>
  <si>
    <t>RESOLUCION JEFATURAL N° D000058-2022-INDECI-JEF INDECI</t>
  </si>
  <si>
    <t>RJ-Nø 000058-2022 Y LA DIRECTIVA Nø 0002</t>
  </si>
  <si>
    <t>Resolución Jefatural, Directiva, Regulación</t>
  </si>
  <si>
    <t>2022-05-09</t>
  </si>
  <si>
    <t>2022-05-10</t>
  </si>
  <si>
    <t>RM 023-2019-PCM.pdf</t>
  </si>
  <si>
    <t>RM 023</t>
  </si>
  <si>
    <t>RM_023_2019_ED_2019</t>
  </si>
  <si>
    <t>RM-023-2019-PCM.pdf</t>
  </si>
  <si>
    <t>Aprueban ejecución de simulacros y simulaciones a ser realizados durante los años 2019 al 2021; con la finalidad de afrontar desastres de gran magnitud, en salvaguarda de la vida y seguridad de la población y de su patrimonio</t>
  </si>
  <si>
    <t>RM-023-2019-PCM</t>
  </si>
  <si>
    <t>Resolución Ministerial, PCM, Regulación</t>
  </si>
  <si>
    <t>2019-01-29</t>
  </si>
  <si>
    <t>2019-01-30</t>
  </si>
  <si>
    <t>RM 029-2021-VIVIENDA.pdf.pdf.pdf</t>
  </si>
  <si>
    <t>RM 029</t>
  </si>
  <si>
    <t>RM_029_2021_ED_2021</t>
  </si>
  <si>
    <t>RM-029-2021-VIVIENDA.pdf.pdf.pdf</t>
  </si>
  <si>
    <t>Resolución ministerial n°029-2021-vivienda</t>
  </si>
  <si>
    <t>RM-029-2021-VIVIENDA</t>
  </si>
  <si>
    <t>Resolución Ministerial, VIVIENDA, Regulación</t>
  </si>
  <si>
    <t>2021-02-13</t>
  </si>
  <si>
    <t>RM 037-2006-MEM-DM C¢digo Nacional de Electricidad.pdf</t>
  </si>
  <si>
    <t>RM 037</t>
  </si>
  <si>
    <t>RM_037_2006_ED_2006</t>
  </si>
  <si>
    <t>RM-037-2006-MEM-DM C¢digo Nacional de Electricidad.pdf</t>
  </si>
  <si>
    <t>Código Nacional de Electricidad</t>
  </si>
  <si>
    <t>RM-037-2006-MEM-DM C¢digo Nacional de Electricidad</t>
  </si>
  <si>
    <t>MINEM</t>
  </si>
  <si>
    <t>Código Nacional de Electricidad, CNE, MEM, Seguridad Eléctrica</t>
  </si>
  <si>
    <t>2006-02-09</t>
  </si>
  <si>
    <t>2006-02-10</t>
  </si>
  <si>
    <t>RM 074-2008-TR  Simplifican procedimiento de inscripci¢n de entidades empleadoras que desarrollan actividades de alto riesgo.pdf</t>
  </si>
  <si>
    <t>RM 074</t>
  </si>
  <si>
    <t>RM_074_2008_ED_2008</t>
  </si>
  <si>
    <t>RM-074-2008-TR  Simplifican procedimiento de inscripci¢n de entidades empleadoras que desarrollan actividades de alto riesgo.pdf</t>
  </si>
  <si>
    <t>Simplifican Procedimiento de Inscripción de las Entidades Empleadoras que desarrollan  Actividades de Alto Riesgo ante la Autoridad Administrativa de Trabajo</t>
  </si>
  <si>
    <t>RM-074-2008-TR  Simplifican procedimiento de inscripci¢n de entidades empleadoras que desarrollan actividades de alto riesgo</t>
  </si>
  <si>
    <t>Alto Riesgo, Inscripción Empleadores, Simplificación, TR</t>
  </si>
  <si>
    <t>2008-03-18</t>
  </si>
  <si>
    <t>2008-03-19</t>
  </si>
  <si>
    <t>RM 090-97-TR-DM Crean registro de entidades empleadoras que desarrollan actividades de alto riesgo.pdf</t>
  </si>
  <si>
    <t>RM 090</t>
  </si>
  <si>
    <t>RM_090_1997_ED_1997</t>
  </si>
  <si>
    <t>RM-090-97-TR-DM Crean registro de entidades empleadoras que desarrollan actividades de alto riesgo.pdf</t>
  </si>
  <si>
    <t xml:space="preserve">Crean registro de entidades empleadoras que desarrollan actividades de alto riesgo </t>
  </si>
  <si>
    <t>RM-090-97-TR-DM Crean registro de entidades empleadoras que desarrollan actividades de alto riesgo</t>
  </si>
  <si>
    <t>Registro, Alto Riesgo, Entidades Empleadoras, TR</t>
  </si>
  <si>
    <t>1997-12-18</t>
  </si>
  <si>
    <t>1997-12-19</t>
  </si>
  <si>
    <t>RM 1033-2019-MINSA Norma T‚cnica de Salud para Inspecciones de Ambientes 100% Libres de Humo de Tabaco.pdf</t>
  </si>
  <si>
    <t>RM 1033</t>
  </si>
  <si>
    <t>RM_1033_2019_ED_2019</t>
  </si>
  <si>
    <t>RM-1033-2019-MINSA Norma T‚cnica de Salud para Inspecciones de Ambientes 100% Libres de Humo de Tabaco.pdf</t>
  </si>
  <si>
    <t>Resolución Ministerial n°1033-2019/minsa</t>
  </si>
  <si>
    <t>RM-1033-2019-MINSA Norma T‚cnica de Salud para Inspecciones de Ambientes 100% Libres de Humo de Tabaco</t>
  </si>
  <si>
    <t>Norma Técnica, Tabaco, Ambientes Libres de Humo, Inspección</t>
  </si>
  <si>
    <t>2019-11-22</t>
  </si>
  <si>
    <t>2019-11-23</t>
  </si>
  <si>
    <t>RM 111-2013-EM Reglamento de seguridad y salud en el trabajo con electricidad.pdf</t>
  </si>
  <si>
    <t>RM 111</t>
  </si>
  <si>
    <t>RM_111_2013_ED_2013</t>
  </si>
  <si>
    <t>RM-111-2013-EM Reglamento de seguridad y salud en el trabajo con electricidad.pdf</t>
  </si>
  <si>
    <t>Aprueban Reglamento de Seguridad y Salud en el Trabajo con Electricidad - 2013</t>
  </si>
  <si>
    <t>RM-111-2013-EM Reglamento de seguridad y salud en el trabajo con electricidad</t>
  </si>
  <si>
    <t>Seguridad Electricidad, Reglamento, EM, SST</t>
  </si>
  <si>
    <t>2013-03-28</t>
  </si>
  <si>
    <t>2013-03-29</t>
  </si>
  <si>
    <t>RM 118-2013-TR.pdf</t>
  </si>
  <si>
    <t>RM 118</t>
  </si>
  <si>
    <t>RM_118_2013_ED_2013</t>
  </si>
  <si>
    <t>RM-118-2013-TR.pdf</t>
  </si>
  <si>
    <t>Aprueban Directiva General sobre Infracción a la Labor Inspectiva en caso de Negativa Injustificada o
Impedimento de Ingreso al Centro de Trabajo</t>
  </si>
  <si>
    <t>RM-118-2013-TR</t>
  </si>
  <si>
    <t>Resolución Ministerial, TR, Laboral, Regulación</t>
  </si>
  <si>
    <t>2013-06-19</t>
  </si>
  <si>
    <t>2013-06-20</t>
  </si>
  <si>
    <t>RM 144-2022 -TR.pdf</t>
  </si>
  <si>
    <t>RM 144</t>
  </si>
  <si>
    <t>RM_144_2022_ED_2022</t>
  </si>
  <si>
    <t>RM-144-2022 -TR.pdf</t>
  </si>
  <si>
    <t>Resolución Ministerial n°144-2022-tr</t>
  </si>
  <si>
    <t>RM-144-2022 -TR</t>
  </si>
  <si>
    <t>2022-06-24</t>
  </si>
  <si>
    <t>2022-06-25</t>
  </si>
  <si>
    <t>RM 215-2004-MINSA Aprueban la Norma T‚cnica sobre Prevenci¢n y Tratamiento de Accidentes por Animales Ponzo¤osos.pdf</t>
  </si>
  <si>
    <t>RM 215</t>
  </si>
  <si>
    <t>RM_215_2004_ED_2004</t>
  </si>
  <si>
    <t>RM-215-2004-MINSA Aprueban la Norma T‚cnica sobre Prevenci¢n y Tratamiento de Accidentes por Animales Ponzo¤osos.pdf</t>
  </si>
  <si>
    <t>Aprueban la "Norma técnica sobre prevención y tratamiento de accidentes por animales ponzoñosos"</t>
  </si>
  <si>
    <t>RM-215-2004-MINSA Aprueban la Norma T‚cnica sobre Prevenci¢n y Tratamiento de Accidentes por Animales Ponzo¤osos</t>
  </si>
  <si>
    <t>Animales Ponzoñosos, Norma Técnica, Prevención, MINSA</t>
  </si>
  <si>
    <t>2004-03-24</t>
  </si>
  <si>
    <t>2004-03-25</t>
  </si>
  <si>
    <t>RM 245-2021-TR.pdf</t>
  </si>
  <si>
    <t>RM 245</t>
  </si>
  <si>
    <t>RM_245_2021_ED_2021</t>
  </si>
  <si>
    <t>RM-245-2021-TR.pdf</t>
  </si>
  <si>
    <t>Resolución Ministerial n°245-2021-tr</t>
  </si>
  <si>
    <t>RM-245-2021-TR</t>
  </si>
  <si>
    <t>2021-11-04</t>
  </si>
  <si>
    <t>2021-11-05</t>
  </si>
  <si>
    <t>RM 317-2018-TR Simplifican procedimientos administratuvos del MTPE.pdf</t>
  </si>
  <si>
    <t>RM 317</t>
  </si>
  <si>
    <t>RM_317_2018_ED_2018</t>
  </si>
  <si>
    <t>RM-317-2018-TR Simplifican procedimientos administratuvos del MTPE.pdf</t>
  </si>
  <si>
    <t>Resolución Ministerial n°317-2018-tr</t>
  </si>
  <si>
    <t>RM-317-2018-TR Simplifican procedimientos administratuvos del MTPE</t>
  </si>
  <si>
    <t>Simplificación, Procedimientos Administrativos, MTPE</t>
  </si>
  <si>
    <t>2018-12-28</t>
  </si>
  <si>
    <t>2018-12-29</t>
  </si>
  <si>
    <t>RM 375-2008.TR Norma b sica de ergonom¡a y de procedimiento de evaluaci¢n de riesgo disergon¢mico.pdf</t>
  </si>
  <si>
    <t>RM 375</t>
  </si>
  <si>
    <t>RM_375_2008_ED_2008</t>
  </si>
  <si>
    <t>RM-375-2008.TR Norma b sica de ergonom¡a y de procedimiento de evaluaci¢n de riesgo disergon¢mico.pdf</t>
  </si>
  <si>
    <t>Aprueban la Norma Básica de Ergonomía y de Procedimiento de Evaluación de Riesgo 
Disergonómico</t>
  </si>
  <si>
    <t>RM-375-2008.TR Norma b sica de ergonom¡a y de procedimiento de evaluaci¢n de riesgo disergon¢mico</t>
  </si>
  <si>
    <t>Norma Ergonomía, Riesgo Disergonómico, Evaluación, SST</t>
  </si>
  <si>
    <t>2008-11-25</t>
  </si>
  <si>
    <t>2008-11-26</t>
  </si>
  <si>
    <t>RM 675-2022-1-3.pdf.pdf.pdf</t>
  </si>
  <si>
    <t>RM 675</t>
  </si>
  <si>
    <t>RM_675_2022_ED_2022</t>
  </si>
  <si>
    <t>RM-675-2022-1-3.pdf.pdf.pdf</t>
  </si>
  <si>
    <t>Resolución Ministerial n°675-2022/minsa</t>
  </si>
  <si>
    <t>RM-675-2022-1-3</t>
  </si>
  <si>
    <t>Resolución Ministerial, Regulación</t>
  </si>
  <si>
    <t>2022-12-07</t>
  </si>
  <si>
    <t>2022-12-08</t>
  </si>
  <si>
    <t>RM Nø 013-2022-PCM.pdf.pdf.pdf</t>
  </si>
  <si>
    <t>RM 13</t>
  </si>
  <si>
    <t>RM_13_2022_ED_2022</t>
  </si>
  <si>
    <t>RM-Nø 013-2022-PCM.pdf.pdf.pdf</t>
  </si>
  <si>
    <t>Resolución Ministerial n°013-2022-pcm</t>
  </si>
  <si>
    <t>RM-Nø 013-2022-PCM</t>
  </si>
  <si>
    <t>2022-01-11</t>
  </si>
  <si>
    <t>2022-01-12</t>
  </si>
  <si>
    <t>RM N§ 191-2022-PRODUCE.pdf.pdf.pdf</t>
  </si>
  <si>
    <t>RM 191</t>
  </si>
  <si>
    <t>RM_191_2022_ED_2022</t>
  </si>
  <si>
    <t>RM-N§ 191-2022-PRODUCE.pdf.pdf.pdf</t>
  </si>
  <si>
    <t>RESOLUCIÓN MINISTERIAL 
Nº 00191-2022-PRODUCE</t>
  </si>
  <si>
    <t>RM-N§ 191-2022-PRODUCE</t>
  </si>
  <si>
    <t>Resolución Ministerial, PRODUCE, Sectorial</t>
  </si>
  <si>
    <t>2022-06-16</t>
  </si>
  <si>
    <t>2022-06-17</t>
  </si>
  <si>
    <t>RM-449-2001-SA-DM.pdf</t>
  </si>
  <si>
    <t>RM 449</t>
  </si>
  <si>
    <t>RM_449_2001_ED_2001</t>
  </si>
  <si>
    <t>Aprueban Norma Sanitaria para Trabajos de Desinsectación, Desratización, 
Desinfección, Limpieza y Desinfección de Reservorios de Agua, Limpieza de 
Ambientes y de Tanques Sépticos</t>
  </si>
  <si>
    <t>RM-449-2001-SA-DM</t>
  </si>
  <si>
    <t>Resolución Ministerial, Salud, Regulación</t>
  </si>
  <si>
    <t>2001-08-30</t>
  </si>
  <si>
    <t>2001-08-31</t>
  </si>
  <si>
    <t>RM. 374-2008-TR.pdf</t>
  </si>
  <si>
    <t>RM 374</t>
  </si>
  <si>
    <t>RM_374_2008_ED_2008</t>
  </si>
  <si>
    <t>RM-374-2008-TR.pdf</t>
  </si>
  <si>
    <t>Aprueban el listado de los agentes físicos, químicos, biológicos, ergonómicos y 
psicosociales que generan riesgos para la salud de la mujer gestante y/o el desarrollo 
normal del embrión y el feto, sus correspondientes intensidades, concentraciones o 
niveles de presencia y los períodos en los que afecta el embarazo; el listado de 
actividades, procesos, operaciones o labores, equipos o productos de alto riesgo; y, 
los lineamientos para que las empresas puedan realizar la evaluación de sus riesgos</t>
  </si>
  <si>
    <t>RM-374-2008-TR</t>
  </si>
  <si>
    <t>RM.312-2011-MINSA.pdf</t>
  </si>
  <si>
    <t>RM 312</t>
  </si>
  <si>
    <t>RM_312_2011_ED_2011</t>
  </si>
  <si>
    <t>RM-312-2011-MINSA.pdf</t>
  </si>
  <si>
    <t>Aprueban Documento Técnico “Procotolos de Exámenes Médico Ocupacionales y 
Guías de Diagnóstico de los Exámenes Médicos Obligatorios por Actividad”</t>
  </si>
  <si>
    <t>RM-312-2011-MINSA</t>
  </si>
  <si>
    <t>Resolución Ministerial, MINSA, Salud Ocupacional</t>
  </si>
  <si>
    <t>2011-04-25</t>
  </si>
  <si>
    <t>2011-04-26</t>
  </si>
  <si>
    <t>RM._099-2020-MINAM.pdf</t>
  </si>
  <si>
    <t>RM 099</t>
  </si>
  <si>
    <t>RM_099_MINAM_2020_ED_2020</t>
  </si>
  <si>
    <t>RM-099-2020-MINAM.pdf</t>
  </si>
  <si>
    <t>Resolución Ministerial n° 099-2020-tr</t>
  </si>
  <si>
    <t>RM-099-2020-MINAM</t>
  </si>
  <si>
    <t>2020-05-22</t>
  </si>
  <si>
    <t>RM_021-2016-MINSA.pdf</t>
  </si>
  <si>
    <t>RM 021</t>
  </si>
  <si>
    <t>RM_021_2016_ED_2016</t>
  </si>
  <si>
    <t>RM-021-2016-MINSA.pdf</t>
  </si>
  <si>
    <t>Resolución ministerial n° 021-2016/minsa</t>
  </si>
  <si>
    <t>RM-021-2016-MINSA</t>
  </si>
  <si>
    <t>Resolución Ministerial, MINSA, Salud</t>
  </si>
  <si>
    <t>2016-01-19</t>
  </si>
  <si>
    <t>2016-01-20</t>
  </si>
  <si>
    <t>RM_099-2020-MTPE.pdf</t>
  </si>
  <si>
    <t>RM_099_MTPE_2020_ED_2020</t>
  </si>
  <si>
    <t>RM-099-2020-MTPE.pdf</t>
  </si>
  <si>
    <t>Resolución ministerial n°099-2020-tr</t>
  </si>
  <si>
    <t>RM-099-2020-TR</t>
  </si>
  <si>
    <t>2020-05-20</t>
  </si>
  <si>
    <t>2020-05-21</t>
  </si>
  <si>
    <t>RM_239-2020-MINSA_Y_ANEXO.pdf</t>
  </si>
  <si>
    <t>RM 239</t>
  </si>
  <si>
    <t>RM_239_2020_ED_2020</t>
  </si>
  <si>
    <t>RM-239-2020-MINSA_Y_ANEXO.pdf</t>
  </si>
  <si>
    <t>Resolución ministerial n°239-2020-minsa</t>
  </si>
  <si>
    <t>RM-239-2020-MINSA_Y_ANEXO</t>
  </si>
  <si>
    <t>RM 239-2020, Protocolo COVID-19, MINSA, Anexo</t>
  </si>
  <si>
    <t>2020-05-28</t>
  </si>
  <si>
    <t>2020-05-29</t>
  </si>
  <si>
    <t>RM_376_2008 Medidas Nacionales frente al VIH y SIDA en el lugar de trabajo.pdf</t>
  </si>
  <si>
    <t>RM 376</t>
  </si>
  <si>
    <t>RM_376_2008_ED_2008</t>
  </si>
  <si>
    <t>RM-376_2008 Medidas Nacionales frente al VIH y SIDA en el lugar de trabajo.pdf</t>
  </si>
  <si>
    <t>MEDIDAS NACIONALES FRENTE AL VIH Y SIDA EN EL LUGAR DE TRABAJO</t>
  </si>
  <si>
    <t>RM-376_2008 Medidas Nacionales frente al VIH y SIDA en el lugar de trabajo</t>
  </si>
  <si>
    <t>VIH/SIDA, Medidas Nacionales, Trabajo, RM</t>
  </si>
  <si>
    <t>2008-05-29</t>
  </si>
  <si>
    <t>2008-05-30</t>
  </si>
  <si>
    <t>RM_447-2020-MINSA.pdf</t>
  </si>
  <si>
    <t>RM 447</t>
  </si>
  <si>
    <t>RM_447_2020_ED_2020</t>
  </si>
  <si>
    <t>RM-447-2020-MINSA.pdf</t>
  </si>
  <si>
    <t>Resolución Ministerial n°447-2020-minsa</t>
  </si>
  <si>
    <t>RM-447-2020-MINSA</t>
  </si>
  <si>
    <t>RM_822-2018-MINSA Norma Sanitaria para el Funcionamiento de Restaurantes y Servicios Afines, que deroga la R.M. 363-2005-MINSA.pdf</t>
  </si>
  <si>
    <t>RM 822</t>
  </si>
  <si>
    <t>RM_822_2018_ED_2018</t>
  </si>
  <si>
    <t>RM-822-2018-MINSA Norma Sanitaria para el Funcionamiento de Restaurantes y Servicios Afines, que deroga la R.M. 363-2005-MINSA.pdf</t>
  </si>
  <si>
    <t>Resolución Ministerial n°822-2018/minsa</t>
  </si>
  <si>
    <t>RM-822-2018-MINSA Norma Sanitaria para el Funcionamiento de Restaurantes y Servicios Afines, que deroga la R.M. 363-2005-MINSA</t>
  </si>
  <si>
    <t>Norma Sanitaria, Restaurantes, Servicios Afines, MINSA</t>
  </si>
  <si>
    <t>2018-08-27</t>
  </si>
  <si>
    <t>2018-08-28</t>
  </si>
  <si>
    <t>RS.017-2016.pdf</t>
  </si>
  <si>
    <t>RS 017</t>
  </si>
  <si>
    <t>RS</t>
  </si>
  <si>
    <t>RS_017_2016_ED_2016</t>
  </si>
  <si>
    <t>RS-017-2016.pdf</t>
  </si>
  <si>
    <t>Resolución de Superíntendencia n°017 -2016-SUBAFIL</t>
  </si>
  <si>
    <t>RS-017-2016</t>
  </si>
  <si>
    <t>Resolución_Suprema</t>
  </si>
  <si>
    <t>Resolución Suprema, Regulación</t>
  </si>
  <si>
    <t>2016-02-10</t>
  </si>
  <si>
    <t>2016-02-11</t>
  </si>
  <si>
    <t>RS.319-2019-SUNAFIL.pdf</t>
  </si>
  <si>
    <t>RS 319</t>
  </si>
  <si>
    <t>RS_319_2019_ED_2019</t>
  </si>
  <si>
    <t>RS-319-2019-SUNAFIL.pdf</t>
  </si>
  <si>
    <t>Resolución de superintendencia n°319-2019-SUNAFIL</t>
  </si>
  <si>
    <t>RS-319-2019-SUNAFIL</t>
  </si>
  <si>
    <t>Resolución_Superintendencia</t>
  </si>
  <si>
    <t>Resolución de Superintendencia, SUNAFIL, Fiscalización</t>
  </si>
  <si>
    <t>2019-12-13</t>
  </si>
  <si>
    <t>2019-12-14</t>
  </si>
  <si>
    <t>Decreto Legislativo n° 1185.pdf</t>
  </si>
  <si>
    <t>DL 1185</t>
  </si>
  <si>
    <t>DL_1185_2015_ED_2015</t>
  </si>
  <si>
    <t>DECRETO LEGISLATIVO QUE REGULA EL 
RÉGIMEN ESPECIAL DE MONITOREO Y GESTIÓN 
DE USO DE AGUAS SUBTERRÁNEAS A CARGO DE 
LAS ENTIDADES PRESTADORAS DE SERVICIOS 
DE SANEAMIENTO</t>
  </si>
  <si>
    <t>PE</t>
  </si>
  <si>
    <t>Poder Ejecutivo del Perú</t>
  </si>
  <si>
    <t>Decreto_Legislativo</t>
  </si>
  <si>
    <t>Regulación_Fiscalización Ambiental_Sectorial</t>
  </si>
  <si>
    <t>Recuperación Extrajudicial, Garantías, Bienes, Financiero</t>
  </si>
  <si>
    <t>Resolución Supremo n° 053-2007-EM.pdf</t>
  </si>
  <si>
    <t>DS 053</t>
  </si>
  <si>
    <t>DS_053_2007_ED_2007</t>
  </si>
  <si>
    <t>Aprueban Reglamento de la Ley de Promoción del Uso Eficiente de la Energía</t>
  </si>
  <si>
    <t>Modificación</t>
  </si>
  <si>
    <t>Hidrocarburos, Transporte por Ductos, Modificación, Seguridad Operacional</t>
  </si>
  <si>
    <t>Decreto Supremo n° 005-2016-MTC.pdf</t>
  </si>
  <si>
    <t>DS 005</t>
  </si>
  <si>
    <t>DS_005_2016_ED_2016</t>
  </si>
  <si>
    <t xml:space="preserve">APRUEBAN MODIFICACIONES AL REGLAMENTO NACIONAL DE 
ADMINISTRACIÓN DE TRANSPORTE </t>
  </si>
  <si>
    <t>Tránsito, Reglamento Nacional, Modificación, Vehículos</t>
  </si>
  <si>
    <t>Decreto Supremo n° 007-2015-MINAGRI.pdf</t>
  </si>
  <si>
    <t>DS 007</t>
  </si>
  <si>
    <t>DS_007_2015_ED_2015</t>
  </si>
  <si>
    <t>Decreto Supremo que regula los procedimientos de formalización o regularización de licencias de uso dee agua</t>
  </si>
  <si>
    <t>Recursos Hídricos, Agua, Modificación, Reglamento</t>
  </si>
  <si>
    <t>Decreto Supremo n° 008-2019-MTC.pdf</t>
  </si>
  <si>
    <t>DS_008_2019_ED_2019</t>
  </si>
  <si>
    <t>Decreto Supremo que modifica el reglamento de protección ambiental para el sector transportes, aprobado mediante D.S. N° 004-2017-MTC</t>
  </si>
  <si>
    <t>Licencias de Conducir, Tránsito, Modificación</t>
  </si>
  <si>
    <t>Decreto Supremo n° 009-2015-MINAM.pdf</t>
  </si>
  <si>
    <t>DS_009_2015_ED_2015</t>
  </si>
  <si>
    <t>Aprueban medidas destinadas a la mejora de la calidad ambiental del aire a nivel nacional</t>
  </si>
  <si>
    <t>Inversión Pública, Gestión de Inversiones, Reglamento</t>
  </si>
  <si>
    <t>Decreto Supremo n° 009-2019-MINAM.pdf</t>
  </si>
  <si>
    <t>DS_009_2019_ED_2019</t>
  </si>
  <si>
    <t>Aprueban el régimen especial de gestión y manejo de residuos de aparatos eléctricos y eletrónicos</t>
  </si>
  <si>
    <t>Residuos Sólidos, Gestión, Modificación, Ambiental</t>
  </si>
  <si>
    <t>Decreto Supremo n° 010-2016-ANA.pdf</t>
  </si>
  <si>
    <t>DS 010</t>
  </si>
  <si>
    <t>DS_010_2016_ED_2016</t>
  </si>
  <si>
    <t>Protocolo nacional para el monitoreo de la calidad de los recursos hídricos superficiales</t>
  </si>
  <si>
    <t>ANA</t>
  </si>
  <si>
    <t>Autoridad Nacional del Agua</t>
  </si>
  <si>
    <t>Recursos Hídricos, Agua, Modificación, ANA</t>
  </si>
  <si>
    <t>Decreto Supremo n° 010-2017-MINAM.pdf</t>
  </si>
  <si>
    <t>DS_010_2017_ED_2017</t>
  </si>
  <si>
    <t>Establecen Límites Máximos Permisibles 
de emisiones atmosféricas para vehículos 
automotores</t>
  </si>
  <si>
    <t>ECA Agua, Estándares de Calidad Ambiental, Modificación</t>
  </si>
  <si>
    <t>Decreto Supremo n° 010-2019-VIVIENDA.pdf</t>
  </si>
  <si>
    <t>DS_010_2019_ED_2019</t>
  </si>
  <si>
    <t>Aprueban el reglamento de valores máximos admisibles (VMA) para las descargas de aguas residduales no domésticas en el sistema de alcantarillado sanitario</t>
  </si>
  <si>
    <t>Saneamiento, Servicios, Modificación, Reglamento</t>
  </si>
  <si>
    <t>Decreto Supremo n° 013-2019-MINAM.pdf</t>
  </si>
  <si>
    <t>DS 013</t>
  </si>
  <si>
    <t>DS_013_2019_ED_2019</t>
  </si>
  <si>
    <t xml:space="preserve">Aprueban reglamento de la Ley N° 30754, Ley marco sobre cambio climático </t>
  </si>
  <si>
    <t>SEIA, Evaluación Impacto Ambiental, Modificación</t>
  </si>
  <si>
    <t>Decreto Supremo n° 014-2018-MINAGRI.pdf</t>
  </si>
  <si>
    <t>DS_014_2018_ED_2018</t>
  </si>
  <si>
    <t>Aprueban valores de retribuciones económicas a pagar por uso de agua superficial y subterránea y por el vertimento de agua residual tratada a aplicarse en el año 2019</t>
  </si>
  <si>
    <t>Ley Forestal, Fauna Silvestre, Modificación, Reglamento</t>
  </si>
  <si>
    <t>Decreto Supremo n° 015-2012-EM.pdf</t>
  </si>
  <si>
    <t>DS EM 015</t>
  </si>
  <si>
    <t>DS_015_EM_2012_ED_2012</t>
  </si>
  <si>
    <t>Modifican artículo 39 del reglamento aprobado por Decreto Supremo Nº 030-98-EM</t>
  </si>
  <si>
    <t>Hidrocarburos, Exploración, Ambiental, Modificación</t>
  </si>
  <si>
    <t>Decreto Supremo n° 015-2012-VIVIENDA.pdf</t>
  </si>
  <si>
    <t>DS_015_2012_ED_2012</t>
  </si>
  <si>
    <t>Aprueban Reglamento de Protección Ambiental para proyectos vinculados a las actividades de
Vivienda, Urbanismo, Construcción y Saneamiento</t>
  </si>
  <si>
    <t>Habilitación Urbana, Edificaciones, Requisitos Constructivos</t>
  </si>
  <si>
    <t>Decreto Supremo n° 015-2017-MTC.pdf</t>
  </si>
  <si>
    <t>DS_015_2017_ED_2017</t>
  </si>
  <si>
    <t>Decreto Supremo que modifica el Reglamento Nacional de Administración de Transporte aprobado
por Decreto Supremo Nº 017-2009-MTC y establece otras disposiciones</t>
  </si>
  <si>
    <t>Decreto Supremo n° 017-mdf -2009-MTC.pdf</t>
  </si>
  <si>
    <t>DS 017 mdf</t>
  </si>
  <si>
    <t>DS_017_mdf_2009_ED_2009</t>
  </si>
  <si>
    <t>Decreto Supremo n° 017-2009-MTC.pdf</t>
  </si>
  <si>
    <t>Aprueban Reglamento Nacional de 
Administración de Transporte</t>
  </si>
  <si>
    <t>Transporte, Administración, Modificación, Reglamento</t>
  </si>
  <si>
    <t>Decreto Supremo n° 018-2015-MINAGRI.pdf</t>
  </si>
  <si>
    <t>DS 018</t>
  </si>
  <si>
    <t>DS_018_2015_ED_2015</t>
  </si>
  <si>
    <t>DECRETO SUPREMO
QUE APRUEBA EL REGLAMENTO
PARA LA GESTIÓN FORESTAL</t>
  </si>
  <si>
    <t>Ley Forestal, Fauna Silvestre, Modificación</t>
  </si>
  <si>
    <t>Decreto Supremo mdf n° 021-2008-MTC.pdf</t>
  </si>
  <si>
    <t>DS 021</t>
  </si>
  <si>
    <t>DS_021_mdf_2008_ED_2008</t>
  </si>
  <si>
    <t>Aprueban el Reglamento Nacional de Transporte Terrestre de Materiales y Residuos Peligrosos</t>
  </si>
  <si>
    <t>Transporte, Administración, Modificación</t>
  </si>
  <si>
    <t>Decreto Supremo n° 022-2016-MINAGRI.pdf</t>
  </si>
  <si>
    <t>DS_022_2016_ED_2016</t>
  </si>
  <si>
    <t>Aprueban disposiciones para simplificar 
procedimientos administrativos de 
otorgamiento de derechos de uso de agua</t>
  </si>
  <si>
    <t>Clasificación de Tierras, Uso Mayor, Modificación</t>
  </si>
  <si>
    <t>Decreto Supremo n° 023-2021-MINAM.pdf.pdf.pdf</t>
  </si>
  <si>
    <t>DS 023</t>
  </si>
  <si>
    <t>DS_023_2021_ED_2021</t>
  </si>
  <si>
    <t>Decreto Supremo que aprueba la Política 
Nacional del Ambiente al 2030</t>
  </si>
  <si>
    <t>Abonos, Fertilizantes, Reglamento, Gestión Ambiental</t>
  </si>
  <si>
    <t>Decreto Supremo mdf n° 058-2003-MTC.pdf</t>
  </si>
  <si>
    <t>DS 058</t>
  </si>
  <si>
    <t>DS_058_mdf_2003_ED_2003</t>
  </si>
  <si>
    <t>Aprueban el Reglamento Nacional de Vehículos</t>
  </si>
  <si>
    <t>Vehículos, Reglamento Nacional, Transporte</t>
  </si>
  <si>
    <t>Decreto Supremo n° 064-2009-EM.pdf</t>
  </si>
  <si>
    <t>DS 064</t>
  </si>
  <si>
    <t>DS_064_2009_ED_2009</t>
  </si>
  <si>
    <t>Aprueban norma para la inspección periódica de hermeticidad de tanques y tuberías enterrados que
almacenan combustibles líquidos y otros productos derivados de los hidrocarburos</t>
  </si>
  <si>
    <t>Gas Natural, Distribución, Modificación</t>
  </si>
  <si>
    <t>Decreto Supremo n° 002-2020-MINAM.pdf</t>
  </si>
  <si>
    <t>DS_002_2020_ED_2020</t>
  </si>
  <si>
    <t>Aprueban la obligatoriedad de la notificación vía casilla electrónica de los actos administrativos y actuaciones administrativas emitidas por el organismo de evaluación y fiscalización ambiental - OEFA y crea el sistema de casillas eletrónicas del OEFA</t>
  </si>
  <si>
    <t>Residuos Sólidos, Gestión Integral, Modificación</t>
  </si>
  <si>
    <t>Decreto Supremo n° 011-2019-MINAGRI.pdf</t>
  </si>
  <si>
    <t>DS_011_2019_ED_2019</t>
  </si>
  <si>
    <t>Aprueban valores de retribuciones económicas a pagar por el uso de agua y por el vertimiento de aguas residuales tratadas a aplicarse el año 2020</t>
  </si>
  <si>
    <t>Recursos Hídricos, Agua, Modificación</t>
  </si>
  <si>
    <t>Resolución Supremo n° 006-2019-MINAM.pdf</t>
  </si>
  <si>
    <t>DS_006_2019_ED_2019</t>
  </si>
  <si>
    <t>Aprueban el Reglamento de la Ley N° 30884, 
Ley que regula el plástico de un solo uso y 
los recipientes o envases descartables</t>
  </si>
  <si>
    <t>ROF, Reglamento de Organización y Funciones, Gestión</t>
  </si>
  <si>
    <t>Decreto Legislativo n° 1500.pdf</t>
  </si>
  <si>
    <t>DL 1500</t>
  </si>
  <si>
    <t>DL_1500_2020_ED_2020</t>
  </si>
  <si>
    <t>Decreto LegisLativo QUe estaBLece 
MeDiDas esPeciaLes Para reactivar, 
MeJorar Y oPtiMiZar La eJecUciÓN De Los 
ProYectos De iNversiÓN PÚBLica, PrivaDa 
Y PÚBLico PrivaDa aNte eL iMPacto DeL 
coviD-19</t>
  </si>
  <si>
    <t>Inversión, Asociación Público-Privada (APP), Simplificación</t>
  </si>
  <si>
    <t>Decreto Supremo n° 003-2015-PRODUCE.pdf</t>
  </si>
  <si>
    <t>DS 003</t>
  </si>
  <si>
    <t>DS_003_2015_ED_2015</t>
  </si>
  <si>
    <t>Modifican el Decreto Supremo N° 
033-2000-ITINCI, que estableció 
disposiciones para la aplicación del 
Protocolo de Montreal relativo a las 
Sustancias que Agotan la Capa de 
Ozono</t>
  </si>
  <si>
    <t>Pesca, Anchoveta, Ordenamiento Pesquero, Modificación</t>
  </si>
  <si>
    <t>Decreto Supremo n° 010-2020-VIVIENDA.pdf</t>
  </si>
  <si>
    <t>DS_010_2020_ED_2020</t>
  </si>
  <si>
    <t>Aprueban el reglamento de supervisión ambiental del ministerio de vivienda, construcción y saneamiento</t>
  </si>
  <si>
    <t>Licencias, Edificación, Habilitación Urbana, Requisitos Constructivos</t>
  </si>
  <si>
    <t>Decreto Supremo n° 021-2008-MTC.pdf</t>
  </si>
  <si>
    <t>DS_021_2008_ED_2008</t>
  </si>
  <si>
    <t>Decreto Supremo n° 025-2008-MTC.pdf</t>
  </si>
  <si>
    <t>DS 025</t>
  </si>
  <si>
    <t>DS_025_2008_ED_2008</t>
  </si>
  <si>
    <t>Reglamento nacional de inspecciones técnicas vehículares</t>
  </si>
  <si>
    <t>Vehículos, Modificación, Reglamento Nacional</t>
  </si>
  <si>
    <t>Decreto Supremo n° 005-2020-EM.pdf</t>
  </si>
  <si>
    <t>DS_005_2020_ED_2020</t>
  </si>
  <si>
    <t>Decreto supremo que modifica el reglamento de protección y gestión ambiental para las actividades de explotación, beneficio, labor general, transporte y almacenamiento minero.</t>
  </si>
  <si>
    <t>Seguridad y Salud en el Trabajo, Electricidad, Gestión SST</t>
  </si>
  <si>
    <t>Decreto Legislativo n° 25844.pdf</t>
  </si>
  <si>
    <t>Ley 25844</t>
  </si>
  <si>
    <t>Ley_25844_1992_ED_1992</t>
  </si>
  <si>
    <t>Ley de Concesiones Eléctricas</t>
  </si>
  <si>
    <t>Concesiones Eléctricas, Ley, Electricidad</t>
  </si>
  <si>
    <t>Decreto Supremo n° 006-2015-MINAM.pdf</t>
  </si>
  <si>
    <t>DS_006_2015_ED_2015</t>
  </si>
  <si>
    <t>Aprueban el Cronograma de 
Transferencia de Funciones de las 
Autoridades Sectoriales al Servicio 
Nacional de Certificación Ambiental 
para las Inversiones Sostenibles - 
SENACE en el marco de la Ley N° 
29968</t>
  </si>
  <si>
    <t>LMP, Límites Máximos Permisibles, Efluentes, Modificación</t>
  </si>
  <si>
    <t>Decreto Legislativo n° 1278.pdf</t>
  </si>
  <si>
    <t>DL 1278</t>
  </si>
  <si>
    <t>DL_1278_2023_ED_2023</t>
  </si>
  <si>
    <t>Decreto Legislativo que aprueba la Ley de Gestión Integral de Residuos Sólidos</t>
  </si>
  <si>
    <t>Residuos Sólidos, Gestión Integral, Ley Marco</t>
  </si>
  <si>
    <t>Decreto Legislativo n° 1501.pdf</t>
  </si>
  <si>
    <t>DL 1501</t>
  </si>
  <si>
    <t>DL_1501_2020_ED_2020</t>
  </si>
  <si>
    <t>Decreto Legislativo que modifica el Decreto Legislativo Nº 1278, que aprueba la Ley de Gestión
Integral de Residuos Sólidos</t>
  </si>
  <si>
    <t>Inversión Pública, Simplificación Administrativa, COVID-19</t>
  </si>
  <si>
    <t>Decreto Legislativo n° 295.pdf</t>
  </si>
  <si>
    <t>DL 295</t>
  </si>
  <si>
    <t>DL_295_1965_ED_1965</t>
  </si>
  <si>
    <t>Promulgan el Código Civil aprobado por la Comisión Revisora creada por la Ley Nº 23403</t>
  </si>
  <si>
    <t>Código Civil, Derecho Común</t>
  </si>
  <si>
    <t>Decreto Supremo n° 047-2001-MTC.pdf</t>
  </si>
  <si>
    <t>DS 047</t>
  </si>
  <si>
    <t>DS_047_2001_ED_2001</t>
  </si>
  <si>
    <t>Establecen Límites Máximos Permisibles de emisiones contaminantes para vehículos automotores
que circulen en la red vial</t>
  </si>
  <si>
    <t>Reglamento</t>
  </si>
  <si>
    <t>Transporte, Administración, Reglamento Nacional (RNAT)</t>
  </si>
  <si>
    <t>Decreto Supremo n° 001-2010-AG.pdf</t>
  </si>
  <si>
    <t>DS_001_2010_ED_2010</t>
  </si>
  <si>
    <t>Aprueban Reglamento de la Ley Nº 29338, Ley de Recursos Hídricos</t>
  </si>
  <si>
    <t>AG</t>
  </si>
  <si>
    <t>Recursos Hídricos, Reglamento, Agua</t>
  </si>
  <si>
    <t>Decreto Supremo n° 004-2017-MTC.pdf</t>
  </si>
  <si>
    <t>DS MTC 004</t>
  </si>
  <si>
    <t>DS_004_MTC_2017_ED_2017</t>
  </si>
  <si>
    <t>Aprueban Reglamento de Protección Ambiental para el Sector Transportes</t>
  </si>
  <si>
    <t>DS MTC  004</t>
  </si>
  <si>
    <t>Tránsito, Reglamento Nacional, Modificación</t>
  </si>
  <si>
    <t>Decreto Supremo n° 011-2017-MINAM.pdf</t>
  </si>
  <si>
    <t>DS_011_MINAM_2017_ED_2017</t>
  </si>
  <si>
    <t>Aprueban Estándares de Calidad Ambiental (ECA) para Suelo</t>
  </si>
  <si>
    <t>Decreto Supremo n° 012-2017-MINAM.pdf</t>
  </si>
  <si>
    <t>DS 012</t>
  </si>
  <si>
    <t>DS_012_2017_ED_2017</t>
  </si>
  <si>
    <t>Aprueban Criterios para la Gestión de Sitios Contaminados</t>
  </si>
  <si>
    <t>Decreto Supremo n° 013-77-SA.pdf</t>
  </si>
  <si>
    <t>DS_013_1977_ED_1977</t>
  </si>
  <si>
    <t>Aprueban Reglamento para el aprovechamiento de productos no orgánicos recuperables de las
basuras</t>
  </si>
  <si>
    <t>SA</t>
  </si>
  <si>
    <t>Sanitario, Alimentos y Bebidas, Reglamento, Salud</t>
  </si>
  <si>
    <t>Decreto Supremo n° 014-2017-MINAM.pdf</t>
  </si>
  <si>
    <t>DS_014_2017_ED_2017</t>
  </si>
  <si>
    <t>Aprueban Reglamento del Decreto Legislativo Nº 1278, Decreto Legislativo que aprueba la Ley de
Gestión Integral de Residuos Sólidos</t>
  </si>
  <si>
    <t>Residuos Sólidos, Gestión Integral, Reglamento</t>
  </si>
  <si>
    <t>Decreto Supremo mdf n° 017-2009-MTC.pdf</t>
  </si>
  <si>
    <t>Aprueban Reglamento Nacional de Administración de Transporte</t>
  </si>
  <si>
    <t>Decreto Supremo n° 018-2019-VIVIENDA.pdf</t>
  </si>
  <si>
    <t>DS_018_2019_ED_2019</t>
  </si>
  <si>
    <t>Decreto Supremo que aprueba el Reglamento del Procedimiento Administrativo Sancionador en
materia ambiental del Ministerio de Vivienda, Construcción y Saneamiento</t>
  </si>
  <si>
    <t>Edificaciones, RNE, Requisitos Constructivos, Modificación</t>
  </si>
  <si>
    <t>Decreto Supremo n° 019-2009-MINAM.pdf</t>
  </si>
  <si>
    <t>DS 019</t>
  </si>
  <si>
    <t>DS_019_2009_ED_2009</t>
  </si>
  <si>
    <t>Aprueban el Reglamento de la Ley Nº 27446, Ley del Sistema Nacional de Evaluación de Impacto
Ambiental</t>
  </si>
  <si>
    <t>SEIA, Evaluación Impacto Ambiental, Reglamento</t>
  </si>
  <si>
    <t>Decreto Supremo n° 020-2017-VIVIENDA.pdf</t>
  </si>
  <si>
    <t>DS 020</t>
  </si>
  <si>
    <t>DS_020_2017_ED_2017</t>
  </si>
  <si>
    <t>Decreto Supremo que modifica el Reglamento de Protección Ambiental para proyectos vinculados a
las actividades de Vivienda, Urbanismo, Construcción y Saneamiento, aprobado mediante Decreto
Supremo Nº 015-2012-VIVIENDA</t>
  </si>
  <si>
    <t>Decreto Supremo n° 030-98-EM.pdf</t>
  </si>
  <si>
    <t>DS 030</t>
  </si>
  <si>
    <t>DS_030_2019_ED_2019</t>
  </si>
  <si>
    <t>Aprueban el reglamento para la comercialización de combustibles líquidos y otros productosderivados de los hidrocarburos</t>
  </si>
  <si>
    <t>Hidrocarburos, Protección Ambiental, Reglamento</t>
  </si>
  <si>
    <t>Decreto Supremo n° 039-2014-EM.pdf</t>
  </si>
  <si>
    <t>DS_039_2014_ED_2014</t>
  </si>
  <si>
    <t>Aprueban Reglamento para la Protección Ambiental en las Actividades de Hidrocarburos</t>
  </si>
  <si>
    <t>Seguridad y Salud Ocupacional, Minería, Gestión SST</t>
  </si>
  <si>
    <t>Decreto Supremo n° 045-2001-EM.pdf</t>
  </si>
  <si>
    <t>DS 045</t>
  </si>
  <si>
    <t>DS_045_2001_ED_2001</t>
  </si>
  <si>
    <t>Aprueban Reglamento para la Comercialización de Combustibles Líquidos y otros productos
derivados de los Hidrocarburos</t>
  </si>
  <si>
    <t>Hidrocarburos, Transporte por Ductos, Modificación</t>
  </si>
  <si>
    <t>Decreto Supremo n° 085-2003-PCM.pdf</t>
  </si>
  <si>
    <t>DS 085</t>
  </si>
  <si>
    <t>DS_085_2003_ED_2003</t>
  </si>
  <si>
    <t>Aprueban el Reglamento de Estándares Nacionales de Calidad Ambiental para Ruido</t>
  </si>
  <si>
    <t>ECA Ruido, Calidad Ambiental, Reglamento</t>
  </si>
  <si>
    <t>Decreto Supremo n° 27-94-EM.pdf</t>
  </si>
  <si>
    <t>DS 27</t>
  </si>
  <si>
    <t>DS_27_1994_ED_1994</t>
  </si>
  <si>
    <t>Aprueban el Reglamento de Seguridad para Instalaciones y Transportes de Gas Licuado de Petróleo</t>
  </si>
  <si>
    <t>Minero-Metalúrgica, Protección Ambiental, Modificación</t>
  </si>
  <si>
    <t>Decreto Supremo n° 003-2017-MINAM.pdf</t>
  </si>
  <si>
    <t>DS_003_2017_ED_2017</t>
  </si>
  <si>
    <t>Aprueban Estándares de Calidad Ambiental 
(ECA) para Aire y establecen Disposiciones 
Complementarias</t>
  </si>
  <si>
    <t>Decreto Supremo n° 004-2017-MINAM.pdf</t>
  </si>
  <si>
    <t>DS MINAM 004</t>
  </si>
  <si>
    <t>DS_004_MINAM_2017_ED_2017</t>
  </si>
  <si>
    <t>Aprueban Estándares de Calidad Ambiental 
(ECA) para Agua y establecen Disposiciones 
Complementarias</t>
  </si>
  <si>
    <t>LMP, Efluentes, PTAR, Modificación</t>
  </si>
  <si>
    <t>Decreto Supremo n° 006-2017-AG.pdf</t>
  </si>
  <si>
    <t>DS_006_2017_ED_2017</t>
  </si>
  <si>
    <t>Decreto Supremo que modifica el 
Reglamento de la Ley N° 29338, Ley de 
Recursos Hídricos, aprobado por Decreto 
Supremo N° 001-2010-AG</t>
  </si>
  <si>
    <t>Decreto Supremo n° 001-2022-MINAM.pdf</t>
  </si>
  <si>
    <t>DS_001_2022_ED_2022</t>
  </si>
  <si>
    <t>Decreto Supremo que modifica el 
Reglamento del Decreto Legislativo Nº 
1278, Decreto Legislativo que aprueba la 
Ley de Gestión Integral de Residuos Sólidos, 
aprobado mediante Decreto Supremo Nº 
014-2017-MINAM, y el Reglamento de la Ley 
Nº 29419, Ley que regula la actividad de los 
recicladores, aprobado mediante Decreto 
Supremo Nº 005-2010-MINAM</t>
  </si>
  <si>
    <t>Plástico de un Solo Uso, Reglamento, Modificación</t>
  </si>
  <si>
    <t>Decreto Supremo n° 014-2016-MINAM.pdf</t>
  </si>
  <si>
    <t>DS_014_2016_ED_2016</t>
  </si>
  <si>
    <t>Modifican Decreto Supremo N° 047-2001-
MTC, que establece límites máximos 
permisibles de emisiones contaminantes 
para vehículos automotores que circulen 
en la red vial</t>
  </si>
  <si>
    <t>LMP, Efluentes, PTAR, Reglamento</t>
  </si>
  <si>
    <t>DIA MUNDIAL DEL AHORRO DE ENERGIA.png</t>
  </si>
  <si>
    <t>DIA ENERGIA</t>
  </si>
  <si>
    <t>DIA_ENERGIA_2025_ED_2025</t>
  </si>
  <si>
    <t>N/A</t>
  </si>
  <si>
    <t>Documento no legal / Imagen</t>
  </si>
  <si>
    <t>Día_mundial_energia</t>
  </si>
  <si>
    <t>flyer</t>
  </si>
  <si>
    <t>Energía, Ahorro, Imagen</t>
  </si>
  <si>
    <t>LEY 26842.pdf</t>
  </si>
  <si>
    <t>Ley_26842_2022_ED_2022</t>
  </si>
  <si>
    <t>Ley General de Salud, Salud Pública, Marco Normativo</t>
  </si>
  <si>
    <t>LEY 27446.pdf</t>
  </si>
  <si>
    <t>Ley  27446</t>
  </si>
  <si>
    <t>Ley_27446_2016_ED_2016</t>
  </si>
  <si>
    <t>Ley del Sistema Nacional de Evaluación del Impacto Ambiental</t>
  </si>
  <si>
    <t>SEIA, Evaluación Impacto Ambiental, Ley Marco</t>
  </si>
  <si>
    <t>LEY 28256.pdf</t>
  </si>
  <si>
    <t>Ley  28256</t>
  </si>
  <si>
    <t>Ley_28256_2004_ED_2004</t>
  </si>
  <si>
    <t>Ley que regula el Transporte Terrestre de Materiales y Residuos Peligrosos</t>
  </si>
  <si>
    <t>Materiales Peligrosos, Residuos, Transporte, Gestión SST</t>
  </si>
  <si>
    <t>LEY 28611.pdf</t>
  </si>
  <si>
    <t>Ley  28611</t>
  </si>
  <si>
    <t>Ley_28611_2019_ED_2019</t>
  </si>
  <si>
    <t>Ley General del Ambiente</t>
  </si>
  <si>
    <t>Ley General del Ambiente, Marco Normativo, Ambiental</t>
  </si>
  <si>
    <t>Ley 29263.pdf</t>
  </si>
  <si>
    <t>Ley  29263</t>
  </si>
  <si>
    <t>Ley_29263_2008_ED_2008</t>
  </si>
  <si>
    <t>Ley que modifica diversos artículos del Código Penal y de la Ley General del Ambiente</t>
  </si>
  <si>
    <t>Código Penal, Delitos Ambientales, Modificación</t>
  </si>
  <si>
    <t>LEY 29338.pdf</t>
  </si>
  <si>
    <t>Ley  29338</t>
  </si>
  <si>
    <t>Ley_29338_2020_ED_2020</t>
  </si>
  <si>
    <t>Ley de Recursos Hídricos</t>
  </si>
  <si>
    <t>Ley de Recursos Hídricos, Agua, Marco Normativo</t>
  </si>
  <si>
    <t>Ley 30327.pdf</t>
  </si>
  <si>
    <t>Ley  30327</t>
  </si>
  <si>
    <t>Ley_30327_2015_ED_2015</t>
  </si>
  <si>
    <t>Ley de Promoción de las Inversiones para el Crecimiento Económico y el Desarrollo Sostenible</t>
  </si>
  <si>
    <t>Promoción de Inversiones, Simplificación, Ley</t>
  </si>
  <si>
    <t>Ley 30754.pdf</t>
  </si>
  <si>
    <t>Ley  30754</t>
  </si>
  <si>
    <t>Ley_30754_2018_ED_2018</t>
  </si>
  <si>
    <t>LEY MARCO SOBRE CAMBIO CLIMÁTICO</t>
  </si>
  <si>
    <t>Cambio Climático, Ley Marco, Ambiental</t>
  </si>
  <si>
    <t>Ley 30884.pdf</t>
  </si>
  <si>
    <t>Ley  30884</t>
  </si>
  <si>
    <t>Ley_30884_2018_ED_2018</t>
  </si>
  <si>
    <t>LEY QUE REGULA EL PLÁSTICO DE UN SOLO USO Y LOS RECIPIENTES O ENVASES DESCARTABLES</t>
  </si>
  <si>
    <t>Plástico de un Solo Uso, Ley, Ambiental</t>
  </si>
  <si>
    <t>Ley 27345.pdf</t>
  </si>
  <si>
    <t>Ley  27345</t>
  </si>
  <si>
    <t>Ley_27345_2000_ED_2000</t>
  </si>
  <si>
    <t>Ley de Promoción del Uso Eficiente de la Energía</t>
  </si>
  <si>
    <t>Uso Eficiente de la Energía, Ley, Energía</t>
  </si>
  <si>
    <t>Ordenanza Metropolitana 1965  para la prevención y control de la contaminación sonora.pdf</t>
  </si>
  <si>
    <t>OM 1965</t>
  </si>
  <si>
    <t>OM</t>
  </si>
  <si>
    <t>OM_1965_ED_1965</t>
  </si>
  <si>
    <t>Aprueban Ordenanza Metropolitana para la prevención y control de la contaminación sonora</t>
  </si>
  <si>
    <t>MML</t>
  </si>
  <si>
    <t>Municipalidad Metropolitana de Lima</t>
  </si>
  <si>
    <t>Ordenanza_Municipal</t>
  </si>
  <si>
    <t>Ruido, Contaminación Sonora, Ordenanza Local</t>
  </si>
  <si>
    <t>Ordenanza Nº 333-MDS</t>
  </si>
  <si>
    <t>OM 333</t>
  </si>
  <si>
    <t>OM_333_2015_ED_2015</t>
  </si>
  <si>
    <t>Ordenanza de prevención y control del ruidos en el distrito de surquillo</t>
  </si>
  <si>
    <t>MDS</t>
  </si>
  <si>
    <t>Municipalidad Distrital</t>
  </si>
  <si>
    <t>Ordenanza Distrital, Municipal, Gestión Local</t>
  </si>
  <si>
    <t>Ordenanza Nº 499-MDS</t>
  </si>
  <si>
    <t>OM 499</t>
  </si>
  <si>
    <t>OM_499_2022_ED_2022</t>
  </si>
  <si>
    <t>Aprueban el Plan Distrital de Manejo de Residuos Sólidos del distrito de Surquillo</t>
  </si>
  <si>
    <t>Resolución del consejo directivo n° 009-2015-SUNASS-CD.pdf</t>
  </si>
  <si>
    <t>RCD 9</t>
  </si>
  <si>
    <t>RCD_9_2015_ED_2015</t>
  </si>
  <si>
    <t>Modifican la Directiva sobre Valores 
Máximos Admisibles de las descargas 
de aguas residuales no domésticas en 
el sistema de alcantarillado sanitario</t>
  </si>
  <si>
    <t>SUNASS</t>
  </si>
  <si>
    <t>Superintendencia Nacional de Servicios de Saneamiento</t>
  </si>
  <si>
    <t>Resolución_consejo_directivo</t>
  </si>
  <si>
    <t>SUNASS, Saneamiento, Servicios, Fiscalización</t>
  </si>
  <si>
    <t>Resolución del consejo directivo n° 048-2003-OS-CD.pdf</t>
  </si>
  <si>
    <t>RCD 48</t>
  </si>
  <si>
    <t>RCD_48_2003_ED_2003</t>
  </si>
  <si>
    <t>Aprueban Sistema de Control de Órdenes de Pedido al cual están sujetos los Distribuidores Mayoristas, Minoristas y Consumidores Directos de combustibles líquidos</t>
  </si>
  <si>
    <t>OS</t>
  </si>
  <si>
    <t>OSINERGMIN (Organismo Supervisor de la Inversión en Energía y Minería)</t>
  </si>
  <si>
    <t>OSINERGMIN, Fiscalización, Procedimiento Sancionador</t>
  </si>
  <si>
    <t>Resolución del consejo directivo n° 191-2011-OS CD.pdf</t>
  </si>
  <si>
    <t>RCD 191</t>
  </si>
  <si>
    <t>RCD_191_2011_ED_2011</t>
  </si>
  <si>
    <t>Resoluciín de consejo directivo organismo supervisor de la inversión en energía y minería OSINERMIN N° 191-2011-OS/CD</t>
  </si>
  <si>
    <t>OSINERGMIN, Fiscalización, Regulación</t>
  </si>
  <si>
    <t>Resolución del consejo directivo n° 204-2006-OS-CD.pdf</t>
  </si>
  <si>
    <t>RCD 204</t>
  </si>
  <si>
    <t>RCD_204_2006_ED_2006</t>
  </si>
  <si>
    <t>Aprueban Procedimiento de Declaraciones Juradas de Cumplimiento de Obligaciones relativas a las Condiciones Técnicas, de Seguridad y de Medio Ambiente de las Unidades Supervisadas - PDJ</t>
  </si>
  <si>
    <t>OSINERGMIN, Sanciones, Procedimiento</t>
  </si>
  <si>
    <t>Resolución Directoral n° 1075-2016-MTC.pdf</t>
  </si>
  <si>
    <t>RD 1075</t>
  </si>
  <si>
    <t>RD_1075_2016_ED_2016</t>
  </si>
  <si>
    <t>Lineamientos para la elaboración de un plan de contingencia para el transporte terrestre de materiales y/o residuos peligrosos</t>
  </si>
  <si>
    <t>Resolución_Ministerial</t>
  </si>
  <si>
    <t>Inspecciones Técnicas Vehiculares, Modificación</t>
  </si>
  <si>
    <t>Resolución Directoral n° 2613-2013-MTC 15.pdf</t>
  </si>
  <si>
    <t>RD 2613</t>
  </si>
  <si>
    <t>RD_2613_2013_ED_2013</t>
  </si>
  <si>
    <t>Aprueban Formato de la Hoja Resumen 
de Seguridad para el Transporte 
Terrestre de Materiales y Residuos 
Peligrosos y su Instructivo, así como 
otros Formatos</t>
  </si>
  <si>
    <t>Transporte, Tránsito, Disposición</t>
  </si>
  <si>
    <t>Resolución Jefatural n° 048-2015-ANA.pdf</t>
  </si>
  <si>
    <t>RJ 048</t>
  </si>
  <si>
    <t>RJ_048_2015_ED_2015</t>
  </si>
  <si>
    <t>Resolución Jefatural n° 048-2015-ANA</t>
  </si>
  <si>
    <t>Resolución_jefatural</t>
  </si>
  <si>
    <t>ANA, Recursos Hídricos, Disposición</t>
  </si>
  <si>
    <t>Resolución Jefatural n° 058-2017-ANA.pdf</t>
  </si>
  <si>
    <t>RJ 058</t>
  </si>
  <si>
    <t>RJ_058_2017_ED_2017</t>
  </si>
  <si>
    <t>Resolución Jefatural n° 058-2017-ANA</t>
  </si>
  <si>
    <t>Resolución Jefatural n° 108-2017-ANA.pdf</t>
  </si>
  <si>
    <t>RJ 108</t>
  </si>
  <si>
    <t>RJ_108_2017_ED_2017</t>
  </si>
  <si>
    <t>Aprueban documento denominado “Guía 
para la determinación de la zona de mezcla y 
la evaluación del impacto de un vertimiento 
de aguas residuales tratadas a un cuerpo 
natural de agua”</t>
  </si>
  <si>
    <t>Resolución Jefatural n° 149-2015-ANA.pdf</t>
  </si>
  <si>
    <t>RJ 149</t>
  </si>
  <si>
    <t>RJ_149_2015_ED_2015</t>
  </si>
  <si>
    <t>Resolución Jefatural n° 149-2015-ANA</t>
  </si>
  <si>
    <t>Resolución Jefatural n° 177-2015-ANA.pdf</t>
  </si>
  <si>
    <t>RJ 177</t>
  </si>
  <si>
    <t>RJ_177_2015_ED_2015</t>
  </si>
  <si>
    <t>Resolución Jefatural n° 177-2015-ANA</t>
  </si>
  <si>
    <t>Resolución Ministerial n° 137-2016-MINAM.pdf</t>
  </si>
  <si>
    <t>RM 137</t>
  </si>
  <si>
    <t>RM_137_2016_ED_2016</t>
  </si>
  <si>
    <t>Resolución Ministerial n° 137-2016-MINAM</t>
  </si>
  <si>
    <t>ECA Suelo, Métodos de Ensayo, Modificación</t>
  </si>
  <si>
    <t>Resolución Directoral n° 084-2020-VIVIENDA-VMCS-DGAA.pdf</t>
  </si>
  <si>
    <t>RD 084</t>
  </si>
  <si>
    <t>RD_084_2020_ED_2020</t>
  </si>
  <si>
    <t>Resolución Directoral n° 084-2020-VIVIENDA-VMCS-DGAA</t>
  </si>
  <si>
    <t>Resolución_Directorial</t>
  </si>
  <si>
    <t>Saneamiento, Gestión Ambiental, Guía, Disposición</t>
  </si>
  <si>
    <t>Resolución de Consejo Directivo n° 006-2018-OEFA cd.pdf</t>
  </si>
  <si>
    <t>RCD 006</t>
  </si>
  <si>
    <t>RCD_006_2018_ED_2018</t>
  </si>
  <si>
    <t>Resolución de Consejo Directivo n° 006-2018-OEFA CD</t>
  </si>
  <si>
    <t>OEFA, Fiscalización Ambiental, Sanciones</t>
  </si>
  <si>
    <t>Resolución del consejo directivo n° 018-2013-OEFA CD.pdf</t>
  </si>
  <si>
    <t>RCD 018</t>
  </si>
  <si>
    <t>RCD_018_2013_ED_2013</t>
  </si>
  <si>
    <t>Resolución del consejo directivo n° 018-2013-OEFA CD</t>
  </si>
  <si>
    <t>Resolución del consejo directivo n° 028-2019-OEFA cd.pdf</t>
  </si>
  <si>
    <t>RCD 028</t>
  </si>
  <si>
    <t>RCD_028_2019_ED_2019</t>
  </si>
  <si>
    <t>Resolución del consejo directivo n° 028-2019-OEFA CD</t>
  </si>
  <si>
    <t>Resolución del Consejo Directivo n° 011-2020-SUNASS-CD.pdf</t>
  </si>
  <si>
    <t>RCD 011</t>
  </si>
  <si>
    <t>RCD_011_2020_ED_2020</t>
  </si>
  <si>
    <t>Aprueban la “Norma complementaria al Decreto Supremo N° 010-2019-VIVIENDA, Reglamento de Valores Máximos Admisibles (VMA) para las descargas de aguas residuales no domésticas en el sistema de alcantarillado sanitario” y dictan otras disposiciones</t>
  </si>
  <si>
    <t>Resolución de Dirección Ejecutiva n° D000004-2020-MINAGRI-SERFOR-DE.pdf</t>
  </si>
  <si>
    <t>RDE 00004</t>
  </si>
  <si>
    <t>RDE</t>
  </si>
  <si>
    <t>RDE_00004_2020_ED_2020</t>
  </si>
  <si>
    <t>Resolución de Dirección Ejecutiva n° D000004-2020-MINAGRI-SERFOR-DE</t>
  </si>
  <si>
    <t>SERFOR</t>
  </si>
  <si>
    <t>Servicio Nacional Forestal y de Fauna Silvestre</t>
  </si>
  <si>
    <t>Resolución_Dirección_Ejecutiva</t>
  </si>
  <si>
    <t>SERFOR, Forestal, Fauna Silvestre, Disposición</t>
  </si>
  <si>
    <t>Resolución de Presidencia Ejecutiva n°  00035-2020-SENACE-PE.pdf</t>
  </si>
  <si>
    <t>RPE 00035</t>
  </si>
  <si>
    <t>RPE</t>
  </si>
  <si>
    <t>RPE_00035_2020_ED_2020</t>
  </si>
  <si>
    <t>Resolución de Presidencia Ejecutiva n°  00035-2020-SENACE-PE</t>
  </si>
  <si>
    <t>SENACE</t>
  </si>
  <si>
    <t>Servicio Nacional de Certificación Ambiental para las Inversiones Sostenibles</t>
  </si>
  <si>
    <t>SENACE, Certificación Ambiental, Evaluación Ambiental</t>
  </si>
  <si>
    <t>Resolución del consejo directivo n° 00007-2020-OEFA CD.pdf</t>
  </si>
  <si>
    <t>RCD 00007</t>
  </si>
  <si>
    <t>RCD_00007_2020_ED_2020</t>
  </si>
  <si>
    <t>Resolución del consejo directivo n° 00007-2020-OEFA CD</t>
  </si>
  <si>
    <t>OEFA, Fiscalización Ambiental, Disposición</t>
  </si>
  <si>
    <t>Resolución del consejo directivo n° 00008-2020-OEFA CD.pdf</t>
  </si>
  <si>
    <t>RCD 00008</t>
  </si>
  <si>
    <t>RCD_00008_2020_ED_2020</t>
  </si>
  <si>
    <t>Resolución del consejo directivo n° 00008-2020-OEFA CD</t>
  </si>
  <si>
    <t>Resolución del consejo directivo n° 00009-2020-OEFA CD.pdf</t>
  </si>
  <si>
    <t>RCD 00009</t>
  </si>
  <si>
    <t>RCD_00009_2020_ED_2020</t>
  </si>
  <si>
    <t>Resolución del consejo directivo n° 00009-2020-OEFA CD</t>
  </si>
  <si>
    <t>Resolución del consejo directivo n° 00010-2020-OEFA CD.pdf</t>
  </si>
  <si>
    <t>RCD 00010</t>
  </si>
  <si>
    <t>RCD_00010_2020_ED_2020</t>
  </si>
  <si>
    <t>Resolución del consejo directivo n° 00010-2020-OEFA CD</t>
  </si>
  <si>
    <t>Resolución del consejo directivo n° 00013-2020-OEFA CD.pdf</t>
  </si>
  <si>
    <t>RCD 00013</t>
  </si>
  <si>
    <t>RCD_00013_2020_ED_2020</t>
  </si>
  <si>
    <t>Resolución del consejo directivo n° 00013-2020-OEFA CD</t>
  </si>
  <si>
    <t>Resolución Directoral n° 003-2019-INACAL DN.pdf</t>
  </si>
  <si>
    <t>RD_003_2019_ED_2019</t>
  </si>
  <si>
    <t>Aprueban Normas Técnicas Peruanas sobre turismo, gestión de residuos, gas natural seco y otros</t>
  </si>
  <si>
    <t>INACAL DN</t>
  </si>
  <si>
    <t>Instituto Nacional de Calidad - Dirección de Normalización</t>
  </si>
  <si>
    <t>INACAL, Normas Técnicas, Estandarización</t>
  </si>
  <si>
    <t>Resolución Jefatural n° 057-2020-ANA.pdf</t>
  </si>
  <si>
    <t>RJ 057</t>
  </si>
  <si>
    <t>RJ_057_2020_ED_2020</t>
  </si>
  <si>
    <t>Resolución Jefatural n° 057-2020-ANA</t>
  </si>
  <si>
    <t>Resolución Ministerial n° 0131-2020-MINAGRI.pdf</t>
  </si>
  <si>
    <t>RM 0131</t>
  </si>
  <si>
    <t>RM_0131_2020_ED_2020</t>
  </si>
  <si>
    <t>Resolución Ministerial n° 0131-2020-MINAGRI</t>
  </si>
  <si>
    <t>Procedimientos Administrativos, Suspensión, COVID-19</t>
  </si>
  <si>
    <t>Resolución Ministerial n° 099-2020-MINAM.pdf</t>
  </si>
  <si>
    <t>RM_099_2020_ED_2020</t>
  </si>
  <si>
    <t>Resolución Ministerial n° 099-2020-MINAM</t>
  </si>
  <si>
    <t>Residuos Sólidos, Manejo, COVID-19, Guía</t>
  </si>
  <si>
    <t>Resolución Ministerial n° 148-2020-MINEM DM.pdf</t>
  </si>
  <si>
    <t>RM 148</t>
  </si>
  <si>
    <t>RM_148_2020_ED_2020</t>
  </si>
  <si>
    <t>Resolución Ministerial n° 148-2020-MINEM DM</t>
  </si>
  <si>
    <t>Ministerio de Energía y Minas - Despacho Ministerial</t>
  </si>
  <si>
    <t>Resolución Presidencial n° 088-2020-SERNANP.pdf</t>
  </si>
  <si>
    <t>RP 088</t>
  </si>
  <si>
    <t>RP</t>
  </si>
  <si>
    <t>RP_088_2020_ED_2020</t>
  </si>
  <si>
    <t>Resolución Presidencial n° 088-2020-SERNANP</t>
  </si>
  <si>
    <t>SERNANP</t>
  </si>
  <si>
    <t>Servicio Nacional de Áreas Naturales Protegidas por el Estado</t>
  </si>
  <si>
    <t>Resolución_Presidencial</t>
  </si>
  <si>
    <t>SERNANP, Áreas Naturales Protegidas (ANP), Disposición</t>
  </si>
  <si>
    <t>Resolución de Gerencia General n° 102-2016-OS GG.pdf</t>
  </si>
  <si>
    <t>RGG 102</t>
  </si>
  <si>
    <t>RGG_102_2016_ED_2016</t>
  </si>
  <si>
    <t>RESOLUCIÓN DE GERENCIA GENERAL ORGANISMO SUPERVISOR DE LA INVERSIÓN EN ENERGÍA Y MINERÍA</t>
  </si>
  <si>
    <t>OSINERGMIN, Disposición Interna, Gestión</t>
  </si>
  <si>
    <t>Resolución Jefatural n° 088-2020-ANA.pdf</t>
  </si>
  <si>
    <t>RJ 088</t>
  </si>
  <si>
    <t>RJ_088_2020_ED_2020</t>
  </si>
  <si>
    <t>Incorporan el numeral 22.4 al artículo 22 del Reglamento para el Otorgamiento de Autorizaciones de Vertimiento y Reúsos de Aguas Residuales Tratadas, aprobado por R.J. Nº 224-2013-ANA</t>
  </si>
  <si>
    <t>Resolución Jefatural n° 224-2013-ANA.pdf</t>
  </si>
  <si>
    <t>RJ 224</t>
  </si>
  <si>
    <t>RJ_224_2013_ED_2013</t>
  </si>
  <si>
    <t>Aprueban Reglamento para el Otorgamiento de Autorizaciones de Vertimiento y Reúso de Aguas Residuales Tratadas</t>
  </si>
  <si>
    <t>Resolución Ministerial n° 195-2010-MEM.pdf</t>
  </si>
  <si>
    <t>RM 195</t>
  </si>
  <si>
    <t>RM_195_2010_ED_2010</t>
  </si>
  <si>
    <t>Establecen montos mínimos de pólizas de seguro de responsabilidad civil extracontractual aplicables a personas que desarrollan actividades en el subsector hidrocarburos</t>
  </si>
  <si>
    <t>MEM</t>
  </si>
  <si>
    <t>Hidrocarburos, Pólizas de Seguro, Responsabilidad Civil</t>
  </si>
  <si>
    <t>Resolución Ministerial n° 237-2020-MINAM.pdf.pdf.pdf</t>
  </si>
  <si>
    <t>RM 237</t>
  </si>
  <si>
    <t>RM_237_2020_ED_2020</t>
  </si>
  <si>
    <t>Resolución Ministerial n° 237-2020-MINAM</t>
  </si>
  <si>
    <t>Huella de Carbono Perú, Guía, Mitigación, Ambiental</t>
  </si>
  <si>
    <t>Resolución Ministerial n° 360-2016-VIVIENDA.pdf</t>
  </si>
  <si>
    <t>RM 360</t>
  </si>
  <si>
    <t>RM_360_2016_ED_2016</t>
  </si>
  <si>
    <t>Resolución Ministerial n° 360-2016-VIVIENDA</t>
  </si>
  <si>
    <t>Saneamiento, Usuarios No Domésticos, Modificación, Parámetros</t>
  </si>
  <si>
    <t>PROTECTION OF ASSETS - PHYSICAL SECURITY.pdf</t>
  </si>
  <si>
    <t>PROT-SEC-PHY-001</t>
  </si>
  <si>
    <t>manual</t>
  </si>
  <si>
    <t>pdf</t>
  </si>
  <si>
    <t>ASIS_PROT-SEC-PHY_2021_ED_2021</t>
  </si>
  <si>
    <t>PROTECTION OF ASSETS
2021 EDITION - PHYSICAL SECURITY</t>
  </si>
  <si>
    <t xml:space="preserve">en </t>
  </si>
  <si>
    <t>Protection of Assets (2021 edition) - Physical Security - eBook</t>
  </si>
  <si>
    <t>ASIS</t>
  </si>
  <si>
    <t>American Society for Industrial Security</t>
  </si>
  <si>
    <t>international</t>
  </si>
  <si>
    <t>Seguridad Física, protección de activos, control de accesos</t>
  </si>
  <si>
    <t>2021-03-01</t>
  </si>
  <si>
    <t>NFPA 11 - Norma para Espumas de Baja, Media y Alta Expansión</t>
  </si>
  <si>
    <t>NFPA 13-2022 (1)</t>
  </si>
  <si>
    <t>nfpa 14</t>
  </si>
  <si>
    <t>NFPA 15 - Norma para Sistemas Fijos Aspersores de Agua para Protección contra Incendios</t>
  </si>
  <si>
    <t>NFPA 20 Ed 2022</t>
  </si>
  <si>
    <t>nfpa 24</t>
  </si>
  <si>
    <t>NFPA 25 - Norma para la Inspección, Prueba y Mantenimiento de Sistemas de Protección contra Incendios a Base de Agua</t>
  </si>
  <si>
    <t>NFPA 30 - Código de Líquidos Inflamables y Combustibles</t>
  </si>
  <si>
    <t>nfpa 92</t>
  </si>
  <si>
    <t>NFPA 99 - Código de Instalaciones de Cuidado de la Salud</t>
  </si>
  <si>
    <t>NFPA 5000 - Código de Seguridad y Construcción de Edificios</t>
  </si>
  <si>
    <t>FMDS0113.pdf</t>
  </si>
  <si>
    <t>FMDS0518.pdf</t>
  </si>
  <si>
    <t>COUNTA of nombre archivo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</si>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</sst>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C00000"/>
      <name val="Calibri"/>
    </font>
    <font>
      <b/>
      <sz val="11.0"/>
      <color rgb="FF38761D"/>
      <name val="Calibri"/>
    </font>
    <font>
      <sz val="11.0"/>
      <color theme="1"/>
      <name val="Calibri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color theme="1"/>
      <name val="Arial"/>
      <scheme val="minor"/>
    </font>
    <font>
      <sz val="10.0"/>
      <color rgb="FF1B1C1D"/>
      <name val="Arial"/>
    </font>
    <font>
      <sz val="8.0"/>
      <color rgb="FF444746"/>
      <name val="Arial"/>
    </font>
    <font>
      <b/>
      <sz val="10.0"/>
      <color rgb="FF1B1C1D"/>
      <name val="Arial"/>
    </font>
    <font>
      <b/>
      <sz val="11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99999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ont="1">
      <alignment horizontal="left" shrinkToFit="0" wrapText="1"/>
    </xf>
    <xf borderId="1" fillId="3" fontId="3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left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left"/>
    </xf>
    <xf borderId="0" fillId="0" fontId="6" numFmtId="0" xfId="0" applyFont="1"/>
    <xf borderId="0" fillId="0" fontId="6" numFmtId="49" xfId="0" applyAlignment="1" applyFont="1" applyNumberFormat="1">
      <alignment horizontal="center" vertical="center"/>
    </xf>
    <xf borderId="0" fillId="0" fontId="7" numFmtId="0" xfId="0" applyFont="1"/>
    <xf borderId="0" fillId="0" fontId="7" numFmtId="0" xfId="0" applyAlignment="1" applyFont="1">
      <alignment readingOrder="0"/>
    </xf>
    <xf borderId="2" fillId="0" fontId="4" numFmtId="0" xfId="0" applyAlignment="1" applyBorder="1" applyFont="1">
      <alignment horizontal="center" shrinkToFit="0" wrapText="1"/>
    </xf>
    <xf borderId="2" fillId="0" fontId="4" numFmtId="0" xfId="0" applyBorder="1" applyFont="1"/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left"/>
    </xf>
    <xf borderId="2" fillId="0" fontId="6" numFmtId="0" xfId="0" applyBorder="1" applyFont="1"/>
    <xf borderId="2" fillId="0" fontId="6" numFmtId="49" xfId="0" applyAlignment="1" applyBorder="1" applyFont="1" applyNumberFormat="1">
      <alignment horizontal="center" vertical="center"/>
    </xf>
    <xf borderId="2" fillId="0" fontId="8" numFmtId="0" xfId="0" applyBorder="1" applyFont="1"/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left" readingOrder="0"/>
    </xf>
    <xf borderId="2" fillId="0" fontId="6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49" xfId="0" applyAlignment="1" applyFont="1" applyNumberFormat="1">
      <alignment horizontal="center" readingOrder="0" vertical="center"/>
    </xf>
    <xf borderId="0" fillId="6" fontId="4" numFmtId="0" xfId="0" applyAlignment="1" applyFill="1" applyFont="1">
      <alignment horizontal="center" readingOrder="0"/>
    </xf>
    <xf borderId="0" fillId="6" fontId="5" numFmtId="0" xfId="0" applyAlignment="1" applyFont="1">
      <alignment readingOrder="0"/>
    </xf>
    <xf borderId="0" fillId="0" fontId="4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readingOrder="0"/>
    </xf>
    <xf borderId="0" fillId="0" fontId="4" numFmtId="0" xfId="0" applyFont="1"/>
    <xf borderId="0" fillId="7" fontId="4" numFmtId="0" xfId="0" applyAlignment="1" applyFill="1" applyFont="1">
      <alignment horizontal="center" shrinkToFit="0" wrapText="1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0" fillId="0" fontId="8" numFmtId="0" xfId="0" applyFont="1"/>
    <xf borderId="0" fillId="0" fontId="8" numFmtId="0" xfId="0" applyAlignment="1" applyFont="1">
      <alignment horizontal="center" readingOrder="0"/>
    </xf>
    <xf borderId="0" fillId="8" fontId="4" numFmtId="0" xfId="0" applyAlignment="1" applyFill="1" applyFont="1">
      <alignment horizontal="center" shrinkToFit="0" wrapText="1"/>
    </xf>
    <xf borderId="0" fillId="0" fontId="10" numFmtId="0" xfId="0" applyAlignment="1" applyFont="1">
      <alignment horizontal="center"/>
    </xf>
    <xf borderId="0" fillId="4" fontId="5" numFmtId="0" xfId="0" applyFont="1"/>
    <xf borderId="1" fillId="3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6" numFmtId="0" xfId="0" applyAlignment="1" applyFont="1">
      <alignment shrinkToFit="0" wrapText="1"/>
    </xf>
    <xf borderId="0" fillId="0" fontId="11" numFmtId="0" xfId="0" applyFont="1"/>
    <xf borderId="0" fillId="0" fontId="12" numFmtId="0" xfId="0" applyAlignment="1" applyFont="1">
      <alignment horizontal="left" readingOrder="1" vertical="center"/>
    </xf>
    <xf borderId="0" fillId="0" fontId="6" numFmtId="14" xfId="0" applyFont="1" applyNumberFormat="1"/>
    <xf borderId="0" fillId="0" fontId="13" numFmtId="0" xfId="0" applyAlignment="1" applyFont="1">
      <alignment horizontal="left" readingOrder="1" vertical="center"/>
    </xf>
    <xf borderId="0" fillId="0" fontId="4" numFmtId="14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3" fillId="0" fontId="6" numFmtId="0" xfId="0" applyAlignment="1" applyBorder="1" applyFont="1">
      <alignment horizontal="left"/>
    </xf>
    <xf borderId="3" fillId="0" fontId="6" numFmtId="0" xfId="0" applyAlignment="1" applyBorder="1" applyFont="1">
      <alignment horizontal="left" vertical="center"/>
    </xf>
    <xf borderId="0" fillId="9" fontId="7" numFmtId="0" xfId="0" applyAlignment="1" applyFill="1" applyFont="1">
      <alignment horizontal="center" readingOrder="0"/>
    </xf>
    <xf borderId="0" fillId="9" fontId="4" numFmtId="0" xfId="0" applyAlignment="1" applyFont="1">
      <alignment horizontal="center"/>
    </xf>
    <xf borderId="0" fillId="9" fontId="5" numFmtId="0" xfId="0" applyFont="1"/>
    <xf borderId="0" fillId="10" fontId="7" numFmtId="0" xfId="0" applyAlignment="1" applyFill="1" applyFont="1">
      <alignment horizontal="center" readingOrder="0"/>
    </xf>
    <xf borderId="0" fillId="10" fontId="4" numFmtId="0" xfId="0" applyAlignment="1" applyFont="1">
      <alignment horizontal="center"/>
    </xf>
    <xf borderId="0" fillId="10" fontId="5" numFmtId="0" xfId="0" applyFont="1"/>
    <xf borderId="0" fillId="10" fontId="5" numFmtId="0" xfId="0" applyAlignment="1" applyFont="1">
      <alignment readingOrder="0"/>
    </xf>
    <xf borderId="0" fillId="0" fontId="6" numFmtId="49" xfId="0" applyAlignment="1" applyFont="1" applyNumberFormat="1">
      <alignment horizontal="center"/>
    </xf>
    <xf borderId="0" fillId="0" fontId="14" numFmtId="0" xfId="0" applyAlignment="1" applyFont="1">
      <alignment horizontal="left" readingOrder="1" shrinkToFit="0" vertical="center" wrapText="1"/>
    </xf>
    <xf borderId="0" fillId="0" fontId="12" numFmtId="0" xfId="0" applyAlignment="1" applyFont="1">
      <alignment horizontal="left" readingOrder="1" shrinkToFit="0" vertical="center" wrapText="1"/>
    </xf>
    <xf borderId="0" fillId="0" fontId="6" numFmtId="49" xfId="0" applyFont="1" applyNumberFormat="1"/>
    <xf borderId="4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1" fillId="3" fontId="2" numFmtId="0" xfId="0" applyAlignment="1" applyBorder="1" applyFont="1">
      <alignment horizontal="center"/>
    </xf>
    <xf borderId="0" fillId="0" fontId="6" numFmtId="0" xfId="0" applyAlignment="1" applyFont="1">
      <alignment vertical="center"/>
    </xf>
    <xf borderId="0" fillId="0" fontId="6" numFmtId="17" xfId="0" applyAlignment="1" applyFont="1" applyNumberFormat="1">
      <alignment horizontal="center"/>
    </xf>
    <xf borderId="4" fillId="2" fontId="1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2" fillId="6" fontId="6" numFmtId="0" xfId="0" applyAlignment="1" applyBorder="1" applyFont="1">
      <alignment shrinkToFit="0" vertical="center" wrapText="1"/>
    </xf>
    <xf borderId="5" fillId="2" fontId="1" numFmtId="0" xfId="0" applyAlignment="1" applyBorder="1" applyFont="1">
      <alignment horizontal="center" vertical="center"/>
    </xf>
    <xf borderId="2" fillId="6" fontId="6" numFmtId="0" xfId="0" applyBorder="1" applyFont="1"/>
    <xf borderId="2" fillId="6" fontId="6" numFmtId="0" xfId="0" applyAlignment="1" applyBorder="1" applyFont="1">
      <alignment readingOrder="0"/>
    </xf>
    <xf borderId="2" fillId="6" fontId="6" numFmtId="0" xfId="0" applyAlignment="1" applyBorder="1" applyFont="1">
      <alignment shrinkToFit="0" wrapText="1"/>
    </xf>
    <xf borderId="2" fillId="6" fontId="8" numFmtId="0" xfId="0" applyBorder="1" applyFont="1"/>
    <xf borderId="2" fillId="6" fontId="6" numFmtId="49" xfId="0" applyAlignment="1" applyBorder="1" applyFont="1" applyNumberFormat="1">
      <alignment horizontal="center"/>
    </xf>
    <xf borderId="2" fillId="2" fontId="1" numFmtId="0" xfId="0" applyAlignment="1" applyBorder="1" applyFont="1">
      <alignment horizontal="center"/>
    </xf>
    <xf borderId="0" fillId="0" fontId="9" numFmtId="0" xfId="0" applyAlignment="1" applyFont="1">
      <alignment horizontal="center" shrinkToFit="0" wrapText="1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6" fillId="0" fontId="6" numFmtId="10" xfId="0" applyBorder="1" applyFont="1" applyNumberFormat="1"/>
    <xf borderId="8" fillId="0" fontId="6" numFmtId="10" xfId="0" applyBorder="1" applyFont="1" applyNumberFormat="1"/>
    <xf borderId="9" fillId="0" fontId="6" numFmtId="10" xfId="0" applyBorder="1" applyFont="1" applyNumberFormat="1"/>
    <xf borderId="10" fillId="0" fontId="6" numFmtId="10" xfId="0" applyBorder="1" applyFont="1" applyNumberFormat="1"/>
    <xf borderId="11" fillId="0" fontId="6" numFmtId="10" xfId="0" applyBorder="1" applyFont="1" applyNumberFormat="1"/>
    <xf borderId="12" fillId="0" fontId="6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68" sheet="catalogo"/>
  </cacheSource>
  <cacheFields>
    <cacheField name="Nr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</sharedItems>
    </cacheField>
    <cacheField name="nombre archivo" numFmtId="0">
      <sharedItems>
        <s v="NFPA 11 - Norma para Espumas de Baja, Media y Alta Expansión"/>
        <s v="NFPA 13-2022 (1)"/>
        <s v="nfpa 14"/>
        <s v="NFPA 15 - Norma para Sistemas Fijos Aspersores de Agua para Protección contra Incendios"/>
        <s v="NFPA 20 Ed 2022"/>
        <s v="nfpa 24"/>
        <s v="NFPA 25 - Norma para la Inspección, Prueba y Mantenimiento de Sistemas de Protección contra Incendios a Base de Agua"/>
        <s v="NFPA 30 - Código de Líquidos Inflamables y Combustibles"/>
        <s v="NFPA 72"/>
        <s v="nfpa 92"/>
        <s v="NFPA 99 - Código de Instalaciones de Cuidado de la Salud"/>
        <s v="NFPA 101"/>
        <s v="NFPA 5000 - Código de Seguridad y Construcción de Edificios"/>
        <s v="RNE - NORMA A-130 ED 2012.pdf"/>
        <s v="RNE - PARTE 012.pdf"/>
        <s v="RNE - NORMA A-010 ED 2009.pdf"/>
        <s v="RNE - NORMA A-050 ED 2009.pdf"/>
        <s v="RNE - PARTE 011.pdf"/>
        <s v="RNE - PARTE 001.pdf"/>
        <s v="RNE - NORMA A-010 ED 2014.pdf"/>
        <s v="RNE - NORMA A-120 ED 2006.pdf"/>
        <s v="RNE - PARTE 013.pdf"/>
        <s v="RNE - PARTE 002.pdf"/>
        <s v="RNE - NORMA IS-010.pdf"/>
        <s v="RNE - NORMA A-020 - VIVIENDA ED 2021.pdf"/>
        <s v="RNE - PARTE 009.pdf"/>
        <s v="RNE - NORMA G-040 ED 2021.pdf"/>
        <s v="RNE - NORMA A-010 ED 2009-a.pdf"/>
        <s v="RNE - NORMA A-130 ED 2006.pdf"/>
        <s v="RNE - NORMA A-120 ED 2019.pdf"/>
        <s v="RNE - PARTE 003.pdf"/>
        <s v="RNE - PARTE 005.pdf"/>
        <s v="RNE - PARTE 007.pdf"/>
        <s v="RNE - NORMA IS-010 - Edicion 2012.pdf"/>
        <s v="RNE - PARTE 008.pdf"/>
        <s v="RNE - PARTE 004.pdf"/>
        <s v="RNE - PARTE 006.pdf"/>
        <s v="RNE - NORMA A-140 ED 2021.pdf"/>
        <s v="RNE - NORMA EM-030 ED 2020.pdf"/>
        <s v="RNE - PARTE 010.pdf"/>
        <s v="RNE - NORMA A-120 ED 2023.pdf"/>
        <s v="RNE - NORMA A-010 ED 2021.pdf"/>
        <s v="FMDS0100.pdf"/>
        <s v="FMDS0102.pdf"/>
        <s v="FMDS0103.pdf"/>
        <s v="FMDS0104.pdf"/>
        <s v="FMDS0106.pdf"/>
        <s v="FMDS0109.pdf"/>
        <s v="FMDS0110.pdf"/>
        <s v="FMDS0111.pdf"/>
        <s v="FMDS0112.pdf"/>
        <s v="FMDS0113.pdf"/>
        <s v="FMDS0115.pdf"/>
        <s v="FMDS0117.pdf"/>
        <s v="FMDS0120.pdf"/>
        <s v="FMDS0128.pdf"/>
        <s v="FMDS0131.pdf"/>
        <s v="FMDS0133.pdf"/>
        <s v="FMDS0134.pdf"/>
        <s v="FMDS0135.pdf"/>
        <s v="FMDS0136.pdf"/>
        <s v="FMDS0149.pdf"/>
        <s v="FMDS0152.pdf"/>
        <s v="FMDS0153.pdf"/>
        <s v="FMDS0154.pdf"/>
        <s v="FMDS0156.pdf"/>
        <s v="FMDS0157.pdf"/>
        <s v="FMDS0162.pdf"/>
        <s v="FMDS0200.pdf"/>
        <s v="FMDS0201.pdf"/>
        <s v="FMDS0281.pdf"/>
        <s v="FMDS0289.pdf"/>
        <s v="FMDS0301.pdf"/>
        <s v="FMDS0302.pdf"/>
        <s v="FMDS0306.pdf"/>
        <s v="FMDS0310.pdf"/>
        <s v="FMDS0311.pdf"/>
        <s v="FMDS0401N.pdf"/>
        <s v="FMDS0402.pdf"/>
        <s v="FMDS0406.pdf"/>
        <s v="FMDS0409.pdf"/>
        <s v="FMDS0410.pdf"/>
        <s v="FMDS0411N.pdf"/>
        <s v="FMDS0413.pdf"/>
        <s v="FMDS0503.pdf"/>
        <s v="FMDS0504.pdf"/>
        <s v="FMDS0508.pdf"/>
        <s v="FMDS0511.pdf"/>
        <s v="FMDS0512.pdf"/>
        <s v="FMDS0523.pdf"/>
        <s v="FMDS0525.pdf"/>
        <s v="FMDS0549.pdf"/>
        <s v="FMDS0600.pdf"/>
        <s v="FMDS0602.pdf"/>
        <s v="FMDS0603.pdf"/>
        <s v="FMDS0604.pdf"/>
        <s v="FMDS0606.pdf"/>
        <s v="FMDS0607.pdf"/>
        <s v="FMDS0611.pdf"/>
        <s v="FMDS0612.pdf"/>
        <s v="FMDS0613.pdf"/>
        <s v="FMDS0617.pdf"/>
        <s v="FMDS0621.pdf"/>
        <s v="FMDS0622.pdf"/>
        <s v="FMDS0623.pdf"/>
        <s v="FMDS0700.pdf"/>
        <s v="FMDS0702.pdf"/>
        <s v="FMDS0703.pdf"/>
        <s v="FMDS0706.pdf"/>
        <s v="FMDS0709.pdf"/>
        <s v="FMDS0710.pdf"/>
        <s v="FMDS07101.pdf"/>
        <s v="FMDS07104.pdf"/>
        <s v="FMDS07106.pdf"/>
        <s v="FMDS07109.pdf"/>
        <s v="FMDS07110.pdf"/>
        <s v="FMDS07111.pdf"/>
        <s v="FMDS07111A.pdf"/>
        <s v="FMDS07111B.pdf"/>
        <s v="FMDS07111E.pdf"/>
        <s v="FMDS07111F.pdf"/>
        <s v="FMDS07111H.pdf"/>
        <s v="FMDS07111I.pdf"/>
        <s v="FMDS07112.pdf"/>
        <s v="FMDS0717.pdf"/>
        <s v="FMDS0721.pdf"/>
        <s v="FMDS0724.pdf"/>
        <s v="FMDS0725.pdf"/>
        <s v="FMDS0727.pdf"/>
        <s v="FMDS0728.pdf"/>
        <s v="FMDS0733.pdf"/>
        <s v="FMDS0736.pdf"/>
        <s v="FMDS0740.pdf"/>
        <s v="FMDS0741.pdf"/>
        <s v="FMDS0742.pdf"/>
        <s v="FMDS0746.pdf"/>
        <s v="FMDS0749.pdf"/>
        <s v="FMDS0750.pdf"/>
        <s v="FMDS0758.pdf"/>
        <s v="FMDS0759.pdf"/>
        <s v="FMDS0772.pdf"/>
        <s v="FMDS0776.pdf"/>
        <s v="FMDS0777.pdf"/>
        <s v="FMDS0778.pdf"/>
        <s v="FMDS0780.pdf"/>
        <s v="FMDS0783.pdf"/>
        <s v="FMDS0785.pdf"/>
        <s v="FMDS0788.pdf"/>
        <s v="FMDS0792.pdf"/>
        <s v="FMDS0795.pdf"/>
        <s v="FMDS0797.pdf"/>
        <s v="FMDS0798.pdf"/>
        <s v="FMDS0807.pdf"/>
        <s v="FMDS0818.pdf"/>
        <s v="FMDS0822.pdf"/>
        <s v="FMDS0824.pdf"/>
        <s v="FMDS0827.pdf"/>
        <s v="FMDS0834.pdf"/>
        <s v="FMDS0910.pdf"/>
        <s v="FMDS0916.pdf"/>
        <s v="FMDS0918.pdf"/>
        <s v="FMDS0919.pdf"/>
        <s v="FMDS1000.pdf"/>
        <s v="FMDS1008.pdf"/>
        <s v="FMDS1203.pdf"/>
        <s v="FMDS1206.pdf"/>
        <s v="FMDS1303.pdf"/>
        <s v="FMDS1307.pdf"/>
        <s v="FMDS1308.pdf"/>
        <s v="FMDS1310.pdf"/>
        <s v="FMDS1317.pdf"/>
        <s v="FMDS1318.pdf"/>
        <s v="FMDS1326.pdf"/>
        <s v="FMDS0121.pdf"/>
        <s v="FMDS0122.pdf"/>
        <s v="FMDS0124.pdf"/>
        <s v="FMDS0129.pdf"/>
        <s v="FMDS0140.pdf"/>
        <s v="FMDS0142.pdf"/>
        <s v="FMDS0144.pdf"/>
        <s v="FMDS0159.pdf"/>
        <s v="FMDS0208.pdf"/>
        <s v="FMDS0300.pdf"/>
        <s v="FMDS0304.pdf"/>
        <s v="FMDS0307.pdf"/>
        <s v="FMDS0326.pdf"/>
        <s v="FMDS0329.pdf"/>
        <s v="FMDS0400.pdf"/>
        <s v="FMDS0405.pdf"/>
        <s v="FMDS0412.pdf"/>
        <s v="FMDS0501.pdf"/>
        <s v="FMDS0514.pdf"/>
        <s v="FMDS0517.pdf"/>
        <s v="FMDS0518.pdf"/>
        <s v="FMDS0519.pdf"/>
        <s v="FMDS0520.pdf"/>
        <s v="FMDS0528.pdf"/>
        <s v="FMDS0530.pdf"/>
        <s v="FMDS0531.pdf"/>
        <s v="FMDS0532.pdf"/>
        <s v="FMDS0533.pdf"/>
        <s v="FMDS0540.pdf"/>
        <s v="FMDS0548.pdf"/>
        <s v="FMDS0605.pdf"/>
        <s v="FMDS0609.pdf"/>
        <s v="FMDS0610.pdf"/>
        <s v="FMDS0614.pdf"/>
        <s v="FMDS0701.pdf"/>
        <s v="FMDS0704.pdf"/>
        <s v="FMDS0707.pdf"/>
        <s v="FMDS07103.pdf"/>
        <s v="FMDS07108.pdf"/>
        <s v="FMDS0711.pdf"/>
        <s v="FMDS07111C.pdf"/>
        <s v="FMDS07111D.pdf"/>
        <s v="FMDS07111G.pdf"/>
        <s v="FMDS0712.pdf"/>
        <s v="FMDS0713.pdf"/>
        <s v="FMDS0714.pdf"/>
        <s v="FMDS0715.pdf"/>
        <s v="FMDS0720.pdf"/>
        <s v="FMDS0726.pdf"/>
        <s v="FMDS0729.pdf"/>
        <s v="FMDS0731.pdf"/>
        <s v="FMDS0732.pdf"/>
        <s v="FMDS0735.pdf"/>
        <s v="FMDS0737.pdf"/>
        <s v="FMDS0739.pdf"/>
        <s v="FMDS0743.pdf"/>
        <s v="FMDS0745.pdf"/>
        <s v="FMDS0751.pdf"/>
        <s v="FMDS0752.pdf"/>
        <s v="FMDS0754.pdf"/>
        <s v="FMDS0755.pdf"/>
        <s v="FMDS0757.pdf"/>
        <s v="FMDS0761.pdf"/>
        <s v="FMDS0764.pdf"/>
        <s v="FMDS0774.pdf"/>
        <s v="FMDS0779.pdf"/>
        <s v="FMDS0786.pdf"/>
        <s v="FMDS0789.pdf"/>
        <s v="FMDS0791.pdf"/>
        <s v="FMDS0793.pdf"/>
        <s v="FMDS0794.pdf"/>
        <s v="FMDS0796.pdf"/>
        <s v="FMDS0799.pdf"/>
        <s v="FMDS0801.pdf"/>
        <s v="FMDS0803.pdf"/>
        <s v="FMDS0809.pdf"/>
        <s v="FMDS0810.pdf"/>
        <s v="FMDS0821.pdf"/>
        <s v="FMDS0823.pdf"/>
        <s v="FMDS0828.pdf"/>
        <s v="FMDS0830.pdf"/>
        <s v="FMDS0833.pdf"/>
        <s v="FMDS0900.pdf"/>
        <s v="FMDS0901.pdf"/>
        <s v="FMDS0903.pdf"/>
        <s v="FMDS1001.pdf"/>
        <s v="FMDS1003.pdf"/>
        <s v="FMDS1004.pdf"/>
        <s v="FMDS1005.pdf"/>
        <s v="FMDS1006.pdf"/>
        <s v="FMDS1007.pdf"/>
        <s v="FMDS1202.pdf"/>
        <s v="FMDS1243.pdf"/>
        <s v="FMDS1324.pdf"/>
      </sharedItems>
    </cacheField>
    <cacheField name="tipo" numFmtId="0">
      <sharedItems>
        <s v="NFPA"/>
        <s v="RNE"/>
        <s v="FMDS"/>
      </sharedItems>
    </cacheField>
    <cacheField name="idioma" numFmtId="0">
      <sharedItems>
        <s v="en"/>
        <s v="es"/>
      </sharedItems>
    </cacheField>
    <cacheField name="extensión" numFmtId="0">
      <sharedItems>
        <s v="DOCX"/>
        <s v="PDF"/>
      </sharedItems>
    </cacheField>
    <cacheField name="condición" numFmtId="0">
      <sharedItems>
        <s v="ingestado"/>
      </sharedItems>
    </cacheField>
    <cacheField name="peso (MB)" numFmtId="0">
      <sharedItems containsSemiMixedTypes="0" containsString="0" containsNumber="1">
        <n v="14.4"/>
        <n v="286.6"/>
        <n v="12.8"/>
        <n v="12.3"/>
        <n v="165.7"/>
        <n v="3.6"/>
        <n v="200.3"/>
        <n v="6.8"/>
        <n v="157.0"/>
        <n v="3.7"/>
        <n v="108.4"/>
        <n v="151.2"/>
        <n v="8.0"/>
        <n v="7.55"/>
        <n v="0.92"/>
        <n v="0.7"/>
        <n v="6.87"/>
        <n v="0.52"/>
        <n v="0.77"/>
        <n v="1.82"/>
        <n v="3.27"/>
        <n v="0.76"/>
        <n v="0.75"/>
        <n v="7.3"/>
        <n v="0.44"/>
        <n v="0.93"/>
        <n v="4.15"/>
        <n v="0.82"/>
        <n v="0.28"/>
        <n v="14.45"/>
        <n v="0.66"/>
        <n v="0.89"/>
        <n v="0.87"/>
        <n v="0.53"/>
        <n v="0.55"/>
        <n v="0.41"/>
        <n v="0.39"/>
        <n v="7.95"/>
        <n v="1.11"/>
        <n v="0.31"/>
        <n v="3.87"/>
        <n v="0.51"/>
        <n v="1.29"/>
        <n v="1.32"/>
        <n v="0.84"/>
        <n v="0.14"/>
        <n v="0.18"/>
        <n v="0.81"/>
        <n v="0.07"/>
        <n v="11.35"/>
        <n v="0.2"/>
        <n v="0.1"/>
        <n v="7.04"/>
        <n v="4.45"/>
        <n v="0.08"/>
        <n v="0.69"/>
        <n v="0.64"/>
        <n v="0.4"/>
        <n v="10.15"/>
        <n v="0.47"/>
        <n v="1.3"/>
        <n v="0.49"/>
        <n v="18.23"/>
        <n v="2.56"/>
        <n v="2.26"/>
        <n v="1.39"/>
        <n v="2.63"/>
        <n v="0.05"/>
        <n v="1.58"/>
        <n v="0.5"/>
        <n v="0.15"/>
        <n v="0.35"/>
        <n v="0.3"/>
        <n v="0.38"/>
        <n v="0.12"/>
        <n v="0.23"/>
        <n v="2.61"/>
        <n v="0.34"/>
        <n v="1.43"/>
        <n v="0.37"/>
        <n v="0.26"/>
        <n v="0.57"/>
        <n v="0.16"/>
        <n v="13.35"/>
        <n v="0.13"/>
        <n v="0.19"/>
        <n v="0.74"/>
        <n v="0.83"/>
        <n v="0.21"/>
        <n v="0.33"/>
        <n v="0.27"/>
        <n v="2.06"/>
        <n v="0.09"/>
        <n v="0.11"/>
        <n v="2.46"/>
        <n v="0.36"/>
        <n v="0.79"/>
        <n v="0.29"/>
        <n v="1.85"/>
        <n v="0.96"/>
        <n v="0.94"/>
        <n v="0.17"/>
        <n v="0.45"/>
        <n v="0.06"/>
        <n v="5.74"/>
        <n v="0.99"/>
        <n v="1.05"/>
        <n v="2.18"/>
        <n v="3.13"/>
        <n v="1.9"/>
        <n v="2.99"/>
        <n v="1.23"/>
        <n v="0.54"/>
        <n v="3.55"/>
        <n v="2.5"/>
        <n v="2.77"/>
        <n v="1.59"/>
        <n v="4.09"/>
        <n v="0.22"/>
        <n v="1.16"/>
        <n v="1.35"/>
        <n v="2.3"/>
        <n v="1.79"/>
        <n v="0.25"/>
        <n v="0.8"/>
        <n v="0.48"/>
        <n v="0.73"/>
        <n v="1.84"/>
        <n v="2.88"/>
        <n v="0.63"/>
        <n v="0.6"/>
        <n v="2.0"/>
        <n v="3.48"/>
        <n v="1.56"/>
        <n v="1.01"/>
        <n v="0.86"/>
        <n v="2.39"/>
      </sharedItems>
    </cacheField>
    <cacheField name="Nro. páginas" numFmtId="0">
      <sharedItems containsSemiMixedTypes="0" containsString="0" containsNumber="1" containsInteger="1">
        <n v="222.0"/>
        <n v="641.0"/>
        <n v="120.0"/>
        <n v="106.0"/>
        <n v="207.0"/>
        <n v="88.0"/>
        <n v="1029.0"/>
        <n v="298.0"/>
        <n v="1022.0"/>
        <n v="148.0"/>
        <n v="1333.0"/>
        <n v="1981.0"/>
        <n v="1451.0"/>
        <n v="22.0"/>
        <n v="50.0"/>
        <n v="19.0"/>
        <n v="10.0"/>
        <n v="32.0"/>
        <n v="29.0"/>
        <n v="14.0"/>
        <n v="5.0"/>
        <n v="34.0"/>
        <n v="16.0"/>
        <n v="40.0"/>
        <n v="30.0"/>
        <n v="20.0"/>
        <n v="15.0"/>
        <n v="25.0"/>
        <n v="60.0"/>
        <n v="28.0"/>
        <n v="27.0"/>
        <n v="12.0"/>
        <n v="36.0"/>
        <n v="24.0"/>
        <n v="68.0"/>
        <n v="31.0"/>
        <n v="13.0"/>
        <n v="38.0"/>
        <n v="11.0"/>
        <n v="33.0"/>
        <n v="9.0"/>
        <n v="100.0"/>
        <n v="7.0"/>
        <n v="45.0"/>
        <n v="26.0"/>
        <n v="115.0"/>
        <n v="35.0"/>
        <n v="187.0"/>
        <n v="21.0"/>
        <n v="74.0"/>
        <n v="64.0"/>
        <n v="4.0"/>
        <n v="42.0"/>
        <n v="47.0"/>
        <n v="70.0"/>
        <n v="8.0"/>
        <n v="23.0"/>
        <n v="46.0"/>
        <n v="6.0"/>
        <n v="17.0"/>
        <n v="18.0"/>
        <n v="43.0"/>
        <n v="54.0"/>
        <n v="37.0"/>
        <n v="119.0"/>
        <n v="57.0"/>
        <n v="56.0"/>
        <n v="125.0"/>
        <n v="92.0"/>
        <n v="65.0"/>
        <n v="48.0"/>
        <n v="81.0"/>
        <n v="39.0"/>
        <n v="79.0"/>
        <n v="44.0"/>
        <n v="41.0"/>
        <n v="76.0"/>
        <n v="157.0"/>
        <n v="66.0"/>
        <n v="6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ltados de ingesta" cacheId="0" dataCaption="" compact="0" compactData="0">
  <location ref="A1:C6" firstHeaderRow="0" firstDataRow="1" firstDataCol="1"/>
  <pivotFields>
    <pivotField name="Nr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nombre archiv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tipo" axis="axisRow" compact="0" outline="0" multipleItemSelectionAllowed="1" showAll="0" sortType="ascending">
      <items>
        <item x="2"/>
        <item x="0"/>
        <item x="1"/>
        <item t="default"/>
      </items>
    </pivotField>
    <pivotField name="idioma" compact="0" outline="0" multipleItemSelectionAllowed="1" showAll="0">
      <items>
        <item x="0"/>
        <item x="1"/>
        <item t="default"/>
      </items>
    </pivotField>
    <pivotField name="extensión" compact="0" outline="0" multipleItemSelectionAllowed="1" showAll="0">
      <items>
        <item x="0"/>
        <item x="1"/>
        <item t="default"/>
      </items>
    </pivotField>
    <pivotField name="condición" axis="axisCol" compact="0" outline="0" multipleItemSelectionAllowed="1" showAll="0" sortType="ascending">
      <items>
        <item x="0"/>
        <item t="default"/>
      </items>
    </pivotField>
    <pivotField name="peso (M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Nro. págin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</pivotFields>
  <rowFields>
    <field x="2"/>
  </rowFields>
  <colFields>
    <field x="5"/>
  </colFields>
  <dataFields>
    <dataField name="COUNTA of nombre archivo" fld="1" subtotal="count" baseField="0"/>
  </dataFields>
</pivotTableDefinition>
</file>

<file path=xl/pivotTables/pivotTable2.xml><?xml version="1.0" encoding="utf-8"?>
<pivotTableDefinition xmlns="http://schemas.openxmlformats.org/spreadsheetml/2006/main" name="resultados de ingesta 2" cacheId="0" dataCaption="" compact="0" compactData="0">
  <location ref="A8:C13" firstHeaderRow="0" firstDataRow="1" firstDataCol="1"/>
  <pivotFields>
    <pivotField name="Nr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nombre archiv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tipo" axis="axisRow" compact="0" outline="0" multipleItemSelectionAllowed="1" showAll="0" sortType="ascending">
      <items>
        <item x="2"/>
        <item x="0"/>
        <item x="1"/>
        <item t="default"/>
      </items>
    </pivotField>
    <pivotField name="idioma" compact="0" outline="0" multipleItemSelectionAllowed="1" showAll="0">
      <items>
        <item x="0"/>
        <item x="1"/>
        <item t="default"/>
      </items>
    </pivotField>
    <pivotField name="extensión" compact="0" outline="0" multipleItemSelectionAllowed="1" showAll="0">
      <items>
        <item x="0"/>
        <item x="1"/>
        <item t="default"/>
      </items>
    </pivotField>
    <pivotField name="condición" axis="axisCol" compact="0" outline="0" multipleItemSelectionAllowed="1" showAll="0" sortType="ascending">
      <items>
        <item x="0"/>
        <item t="default"/>
      </items>
    </pivotField>
    <pivotField name="peso (MB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Nro. págin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</pivotFields>
  <rowFields>
    <field x="2"/>
  </rowFields>
  <colFields>
    <field x="5"/>
  </colFields>
  <dataFields>
    <dataField name="COUNTA of nombre archivo" fld="1" subtotal="count" showDataAs="percentOfRow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87.88"/>
    <col customWidth="1" min="3" max="3" width="9.0"/>
    <col customWidth="1" min="4" max="5" width="7.5"/>
    <col customWidth="1" min="6" max="6" width="8.38"/>
    <col customWidth="1" min="7" max="7" width="9.88"/>
    <col customWidth="1" min="8" max="8" width="8.75"/>
    <col customWidth="1" min="9" max="9" width="10.5"/>
    <col customWidth="1" min="10" max="10" width="22.5"/>
    <col customWidth="1" min="11" max="11" width="13.5"/>
    <col customWidth="1" min="12" max="12" width="56.5"/>
    <col customWidth="1" min="13" max="13" width="8.75"/>
    <col customWidth="1" min="14" max="14" width="9.5"/>
    <col customWidth="1" min="15" max="15" width="71.0"/>
    <col customWidth="1" min="16" max="17" width="8.75"/>
    <col customWidth="1" min="18" max="18" width="27.38"/>
    <col customWidth="1" min="19" max="19" width="8.75"/>
    <col customWidth="1" min="20" max="20" width="10.88"/>
    <col customWidth="1" min="21" max="21" width="8.75"/>
    <col customWidth="1" min="22" max="22" width="16.63"/>
    <col customWidth="1" min="23" max="23" width="15.38"/>
    <col customWidth="1" min="24" max="24" width="8.0"/>
    <col customWidth="1" min="25" max="25" width="11.0"/>
    <col customWidth="1" min="26" max="27" width="22.25"/>
    <col customWidth="1" min="28" max="28" width="24.13"/>
    <col customWidth="1" min="29" max="29" width="15.88"/>
    <col customWidth="1" min="30" max="30" width="18.13"/>
    <col customWidth="1" min="31" max="31" width="10.63"/>
    <col customWidth="1" min="32" max="32" width="21.88"/>
    <col customWidth="1" min="33" max="33" width="28.5"/>
    <col customWidth="1" min="34" max="34" width="97.75"/>
    <col customWidth="1" min="35" max="35" width="13.88"/>
    <col customWidth="1" min="36" max="36" width="11.88"/>
    <col customWidth="1" min="37" max="37" width="13.0"/>
    <col customWidth="1" min="38" max="38" width="9.5"/>
    <col customWidth="1" min="39" max="39" width="12.5"/>
    <col customWidth="1" min="40" max="40" width="14.75"/>
    <col customWidth="1" min="41" max="41" width="18.75"/>
    <col customWidth="1" min="42" max="42" width="11.63"/>
    <col customWidth="1" min="43" max="43" width="11.38"/>
  </cols>
  <sheetData>
    <row r="1" ht="15.75" customHeight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2" t="s">
        <v>1</v>
      </c>
      <c r="K1" s="2" t="s">
        <v>1</v>
      </c>
      <c r="L1" s="3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4" t="s">
        <v>2</v>
      </c>
      <c r="X1" s="4" t="s">
        <v>2</v>
      </c>
      <c r="Y1" s="4" t="s">
        <v>2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4" t="s">
        <v>2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</row>
    <row r="2" ht="15.75" customHeight="1">
      <c r="A2" s="5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7" t="s">
        <v>8</v>
      </c>
      <c r="G2" s="5" t="s">
        <v>9</v>
      </c>
      <c r="H2" s="7" t="s">
        <v>10</v>
      </c>
      <c r="I2" s="7" t="s">
        <v>11</v>
      </c>
      <c r="J2" s="5" t="s">
        <v>12</v>
      </c>
      <c r="K2" s="5" t="s">
        <v>13</v>
      </c>
      <c r="L2" s="8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5" t="s">
        <v>45</v>
      </c>
    </row>
    <row r="3" ht="15.75" customHeight="1">
      <c r="A3" s="9">
        <v>1.0</v>
      </c>
      <c r="B3" s="10" t="s">
        <v>46</v>
      </c>
      <c r="C3" s="11" t="s">
        <v>47</v>
      </c>
      <c r="D3" s="11" t="str">
        <f>IFERROR(__xludf.DUMMYFUNCTION("REGEXEXTRACT(C3,""[A-Z]{2,}"")"),"NFPA")</f>
        <v>NFPA</v>
      </c>
      <c r="E3" s="11" t="s">
        <v>48</v>
      </c>
      <c r="F3" s="11" t="s">
        <v>49</v>
      </c>
      <c r="G3" s="12" t="s">
        <v>50</v>
      </c>
      <c r="H3" s="11">
        <v>14.4</v>
      </c>
      <c r="I3" s="11">
        <v>222.0</v>
      </c>
      <c r="J3" s="13" t="s">
        <v>51</v>
      </c>
      <c r="K3" s="14" t="s">
        <v>52</v>
      </c>
      <c r="L3" s="15" t="s">
        <v>53</v>
      </c>
      <c r="M3" s="14" t="s">
        <v>48</v>
      </c>
      <c r="N3" s="14" t="s">
        <v>47</v>
      </c>
      <c r="O3" s="14" t="s">
        <v>54</v>
      </c>
      <c r="P3" s="14">
        <v>2024.0</v>
      </c>
      <c r="Q3" s="14" t="s">
        <v>55</v>
      </c>
      <c r="R3" s="14" t="s">
        <v>56</v>
      </c>
      <c r="S3" s="14" t="s">
        <v>57</v>
      </c>
      <c r="T3" s="14" t="s">
        <v>58</v>
      </c>
      <c r="U3" s="14" t="s">
        <v>59</v>
      </c>
      <c r="V3" s="14">
        <v>7.0</v>
      </c>
      <c r="Z3" s="14" t="s">
        <v>60</v>
      </c>
      <c r="AA3" s="14" t="s">
        <v>61</v>
      </c>
      <c r="AB3" s="16" t="s">
        <v>62</v>
      </c>
      <c r="AC3" s="14" t="s">
        <v>63</v>
      </c>
      <c r="AD3" s="14" t="s">
        <v>64</v>
      </c>
      <c r="AF3" s="14" t="s">
        <v>65</v>
      </c>
      <c r="AG3" s="14" t="s">
        <v>66</v>
      </c>
      <c r="AH3" s="14" t="s">
        <v>67</v>
      </c>
      <c r="AI3" s="17" t="s">
        <v>68</v>
      </c>
      <c r="AJ3" s="17" t="s">
        <v>69</v>
      </c>
      <c r="AK3" s="14" t="s">
        <v>70</v>
      </c>
    </row>
    <row r="4" ht="15.75" customHeight="1">
      <c r="A4" s="9">
        <v>2.0</v>
      </c>
      <c r="B4" s="10" t="s">
        <v>71</v>
      </c>
      <c r="C4" s="11" t="s">
        <v>72</v>
      </c>
      <c r="D4" s="11" t="str">
        <f>IFERROR(__xludf.DUMMYFUNCTION("REGEXEXTRACT(C4,""[A-Z]{2,}"")"),"NFPA")</f>
        <v>NFPA</v>
      </c>
      <c r="E4" s="11" t="s">
        <v>48</v>
      </c>
      <c r="F4" s="12" t="s">
        <v>73</v>
      </c>
      <c r="G4" s="12" t="s">
        <v>50</v>
      </c>
      <c r="H4" s="11">
        <v>286.6</v>
      </c>
      <c r="I4" s="11">
        <v>641.0</v>
      </c>
      <c r="J4" s="13" t="s">
        <v>74</v>
      </c>
      <c r="K4" s="14" t="s">
        <v>75</v>
      </c>
      <c r="L4" s="15" t="s">
        <v>76</v>
      </c>
      <c r="M4" s="16" t="s">
        <v>48</v>
      </c>
      <c r="N4" s="16" t="s">
        <v>72</v>
      </c>
      <c r="O4" s="16" t="s">
        <v>77</v>
      </c>
      <c r="P4" s="14">
        <v>2025.0</v>
      </c>
      <c r="Q4" s="16" t="s">
        <v>55</v>
      </c>
      <c r="R4" s="14" t="s">
        <v>56</v>
      </c>
      <c r="S4" s="16" t="s">
        <v>57</v>
      </c>
      <c r="T4" s="16" t="s">
        <v>58</v>
      </c>
      <c r="U4" s="16" t="s">
        <v>59</v>
      </c>
      <c r="V4" s="14">
        <v>7.0</v>
      </c>
      <c r="Z4" s="14" t="s">
        <v>60</v>
      </c>
      <c r="AA4" s="14" t="s">
        <v>61</v>
      </c>
      <c r="AB4" s="16" t="s">
        <v>62</v>
      </c>
      <c r="AC4" s="14" t="s">
        <v>63</v>
      </c>
      <c r="AD4" s="14" t="s">
        <v>64</v>
      </c>
      <c r="AF4" s="14" t="s">
        <v>65</v>
      </c>
      <c r="AG4" s="14" t="s">
        <v>78</v>
      </c>
      <c r="AH4" s="14" t="s">
        <v>79</v>
      </c>
      <c r="AI4" s="17" t="s">
        <v>80</v>
      </c>
      <c r="AJ4" s="17" t="s">
        <v>81</v>
      </c>
      <c r="AK4" s="16" t="s">
        <v>70</v>
      </c>
    </row>
    <row r="5" ht="15.75" customHeight="1">
      <c r="A5" s="9">
        <v>3.0</v>
      </c>
      <c r="B5" s="10" t="s">
        <v>82</v>
      </c>
      <c r="C5" s="11" t="s">
        <v>83</v>
      </c>
      <c r="D5" s="11" t="str">
        <f>IFERROR(__xludf.DUMMYFUNCTION("REGEXEXTRACT(C5,""[A-Z]{2,}"")"),"NFPA")</f>
        <v>NFPA</v>
      </c>
      <c r="E5" s="11" t="s">
        <v>48</v>
      </c>
      <c r="F5" s="11" t="s">
        <v>49</v>
      </c>
      <c r="G5" s="12" t="s">
        <v>50</v>
      </c>
      <c r="H5" s="11">
        <v>12.8</v>
      </c>
      <c r="I5" s="11">
        <v>120.0</v>
      </c>
      <c r="J5" s="18" t="s">
        <v>84</v>
      </c>
      <c r="K5" s="16" t="s">
        <v>85</v>
      </c>
      <c r="L5" s="15" t="s">
        <v>86</v>
      </c>
      <c r="M5" s="16" t="s">
        <v>48</v>
      </c>
      <c r="N5" s="16" t="s">
        <v>83</v>
      </c>
      <c r="O5" s="16" t="s">
        <v>87</v>
      </c>
      <c r="P5" s="14">
        <v>2024.0</v>
      </c>
      <c r="Q5" s="16" t="s">
        <v>55</v>
      </c>
      <c r="R5" s="16" t="s">
        <v>56</v>
      </c>
      <c r="S5" s="16" t="s">
        <v>57</v>
      </c>
      <c r="T5" s="16" t="s">
        <v>58</v>
      </c>
      <c r="U5" s="16" t="s">
        <v>59</v>
      </c>
      <c r="V5" s="14">
        <v>7.0</v>
      </c>
      <c r="Z5" s="14" t="s">
        <v>60</v>
      </c>
      <c r="AA5" s="14" t="s">
        <v>61</v>
      </c>
      <c r="AB5" s="16" t="s">
        <v>62</v>
      </c>
      <c r="AC5" s="14" t="s">
        <v>63</v>
      </c>
      <c r="AD5" s="14" t="s">
        <v>64</v>
      </c>
      <c r="AF5" s="14" t="s">
        <v>65</v>
      </c>
      <c r="AG5" s="16" t="s">
        <v>88</v>
      </c>
      <c r="AH5" s="16" t="s">
        <v>89</v>
      </c>
      <c r="AI5" s="17" t="s">
        <v>90</v>
      </c>
      <c r="AJ5" s="17" t="s">
        <v>91</v>
      </c>
      <c r="AK5" s="16" t="s">
        <v>70</v>
      </c>
    </row>
    <row r="6" ht="15.75" customHeight="1">
      <c r="A6" s="9">
        <v>4.0</v>
      </c>
      <c r="B6" s="10" t="s">
        <v>92</v>
      </c>
      <c r="C6" s="11" t="s">
        <v>93</v>
      </c>
      <c r="D6" s="11" t="str">
        <f>IFERROR(__xludf.DUMMYFUNCTION("REGEXEXTRACT(C6,""[A-Z]{2,}"")"),"NFPA")</f>
        <v>NFPA</v>
      </c>
      <c r="E6" s="11" t="s">
        <v>48</v>
      </c>
      <c r="F6" s="11" t="s">
        <v>49</v>
      </c>
      <c r="G6" s="12" t="s">
        <v>50</v>
      </c>
      <c r="H6" s="11">
        <v>12.3</v>
      </c>
      <c r="I6" s="11">
        <v>106.0</v>
      </c>
      <c r="J6" s="18" t="s">
        <v>94</v>
      </c>
      <c r="K6" s="16" t="s">
        <v>95</v>
      </c>
      <c r="L6" s="15" t="s">
        <v>96</v>
      </c>
      <c r="M6" s="16" t="s">
        <v>48</v>
      </c>
      <c r="N6" s="16" t="s">
        <v>93</v>
      </c>
      <c r="O6" s="16" t="s">
        <v>97</v>
      </c>
      <c r="P6" s="14">
        <v>2022.0</v>
      </c>
      <c r="Q6" s="16" t="s">
        <v>55</v>
      </c>
      <c r="R6" s="16" t="s">
        <v>56</v>
      </c>
      <c r="S6" s="16" t="s">
        <v>57</v>
      </c>
      <c r="T6" s="16" t="s">
        <v>58</v>
      </c>
      <c r="U6" s="16" t="s">
        <v>59</v>
      </c>
      <c r="V6" s="14">
        <v>7.0</v>
      </c>
      <c r="Z6" s="14" t="s">
        <v>60</v>
      </c>
      <c r="AA6" s="14" t="s">
        <v>61</v>
      </c>
      <c r="AB6" s="16" t="s">
        <v>62</v>
      </c>
      <c r="AC6" s="14" t="s">
        <v>63</v>
      </c>
      <c r="AD6" s="14" t="s">
        <v>64</v>
      </c>
      <c r="AF6" s="14" t="s">
        <v>65</v>
      </c>
      <c r="AG6" s="16" t="s">
        <v>88</v>
      </c>
      <c r="AH6" s="14" t="s">
        <v>98</v>
      </c>
      <c r="AI6" s="17" t="s">
        <v>99</v>
      </c>
      <c r="AJ6" s="17" t="s">
        <v>100</v>
      </c>
      <c r="AK6" s="16" t="s">
        <v>70</v>
      </c>
    </row>
    <row r="7" ht="15.75" customHeight="1">
      <c r="A7" s="9">
        <v>5.0</v>
      </c>
      <c r="B7" s="10" t="s">
        <v>101</v>
      </c>
      <c r="C7" s="11" t="s">
        <v>102</v>
      </c>
      <c r="D7" s="11" t="str">
        <f>IFERROR(__xludf.DUMMYFUNCTION("REGEXEXTRACT(C7,""[A-Z]{2,}"")"),"NFPA")</f>
        <v>NFPA</v>
      </c>
      <c r="E7" s="11" t="s">
        <v>48</v>
      </c>
      <c r="F7" s="11" t="s">
        <v>73</v>
      </c>
      <c r="G7" s="12" t="s">
        <v>50</v>
      </c>
      <c r="H7" s="11">
        <v>165.7</v>
      </c>
      <c r="I7" s="11">
        <v>207.0</v>
      </c>
      <c r="J7" s="19" t="s">
        <v>103</v>
      </c>
      <c r="K7" s="16" t="s">
        <v>104</v>
      </c>
      <c r="L7" s="15" t="s">
        <v>105</v>
      </c>
      <c r="M7" s="16" t="s">
        <v>48</v>
      </c>
      <c r="N7" s="16" t="s">
        <v>106</v>
      </c>
      <c r="O7" s="16" t="s">
        <v>107</v>
      </c>
      <c r="P7" s="14">
        <v>2025.0</v>
      </c>
      <c r="Q7" s="16" t="s">
        <v>55</v>
      </c>
      <c r="R7" s="16" t="s">
        <v>56</v>
      </c>
      <c r="S7" s="16" t="s">
        <v>57</v>
      </c>
      <c r="T7" s="16" t="s">
        <v>58</v>
      </c>
      <c r="U7" s="16" t="s">
        <v>59</v>
      </c>
      <c r="V7" s="14">
        <v>7.0</v>
      </c>
      <c r="Z7" s="14" t="s">
        <v>60</v>
      </c>
      <c r="AA7" s="14" t="s">
        <v>61</v>
      </c>
      <c r="AB7" s="16" t="s">
        <v>62</v>
      </c>
      <c r="AC7" s="14" t="s">
        <v>63</v>
      </c>
      <c r="AD7" s="14" t="s">
        <v>64</v>
      </c>
      <c r="AF7" s="14" t="s">
        <v>65</v>
      </c>
      <c r="AG7" s="16" t="s">
        <v>88</v>
      </c>
      <c r="AH7" s="14" t="s">
        <v>108</v>
      </c>
      <c r="AI7" s="17" t="s">
        <v>80</v>
      </c>
      <c r="AJ7" s="17" t="s">
        <v>81</v>
      </c>
      <c r="AK7" s="16" t="s">
        <v>70</v>
      </c>
    </row>
    <row r="8" ht="15.75" customHeight="1">
      <c r="A8" s="9">
        <v>6.0</v>
      </c>
      <c r="B8" s="10" t="s">
        <v>109</v>
      </c>
      <c r="C8" s="11" t="s">
        <v>110</v>
      </c>
      <c r="D8" s="11" t="str">
        <f>IFERROR(__xludf.DUMMYFUNCTION("REGEXEXTRACT(C8,""[A-Z]{2,}"")"),"NFPA")</f>
        <v>NFPA</v>
      </c>
      <c r="E8" s="11" t="s">
        <v>48</v>
      </c>
      <c r="F8" s="11" t="s">
        <v>49</v>
      </c>
      <c r="G8" s="12" t="s">
        <v>50</v>
      </c>
      <c r="H8" s="11">
        <v>3.6</v>
      </c>
      <c r="I8" s="11">
        <v>88.0</v>
      </c>
      <c r="J8" s="18" t="s">
        <v>111</v>
      </c>
      <c r="K8" s="16" t="s">
        <v>112</v>
      </c>
      <c r="L8" s="15" t="s">
        <v>113</v>
      </c>
      <c r="M8" s="16" t="s">
        <v>48</v>
      </c>
      <c r="N8" s="16" t="s">
        <v>110</v>
      </c>
      <c r="O8" s="16" t="s">
        <v>114</v>
      </c>
      <c r="P8" s="14">
        <v>2025.0</v>
      </c>
      <c r="Q8" s="16" t="s">
        <v>55</v>
      </c>
      <c r="R8" s="16" t="s">
        <v>56</v>
      </c>
      <c r="S8" s="16" t="s">
        <v>57</v>
      </c>
      <c r="T8" s="16" t="s">
        <v>58</v>
      </c>
      <c r="U8" s="16" t="s">
        <v>59</v>
      </c>
      <c r="V8" s="14">
        <v>7.0</v>
      </c>
      <c r="Z8" s="14" t="s">
        <v>60</v>
      </c>
      <c r="AA8" s="14" t="s">
        <v>61</v>
      </c>
      <c r="AB8" s="16" t="s">
        <v>62</v>
      </c>
      <c r="AC8" s="14" t="s">
        <v>63</v>
      </c>
      <c r="AD8" s="14" t="s">
        <v>64</v>
      </c>
      <c r="AF8" s="14" t="s">
        <v>65</v>
      </c>
      <c r="AG8" s="16" t="s">
        <v>88</v>
      </c>
      <c r="AH8" s="14" t="s">
        <v>115</v>
      </c>
      <c r="AI8" s="17" t="s">
        <v>116</v>
      </c>
      <c r="AJ8" s="17" t="s">
        <v>117</v>
      </c>
      <c r="AK8" s="16" t="s">
        <v>70</v>
      </c>
    </row>
    <row r="9" ht="15.75" customHeight="1">
      <c r="A9" s="9">
        <v>7.0</v>
      </c>
      <c r="B9" s="10" t="s">
        <v>118</v>
      </c>
      <c r="C9" s="11" t="s">
        <v>119</v>
      </c>
      <c r="D9" s="11" t="str">
        <f>IFERROR(__xludf.DUMMYFUNCTION("REGEXEXTRACT(C9,""[A-Z]{2,}"")"),"NFPA")</f>
        <v>NFPA</v>
      </c>
      <c r="E9" s="11" t="s">
        <v>48</v>
      </c>
      <c r="F9" s="11" t="s">
        <v>49</v>
      </c>
      <c r="G9" s="12" t="s">
        <v>50</v>
      </c>
      <c r="H9" s="11">
        <v>200.3</v>
      </c>
      <c r="I9" s="11">
        <v>1029.0</v>
      </c>
      <c r="J9" s="18" t="s">
        <v>120</v>
      </c>
      <c r="K9" s="16" t="s">
        <v>121</v>
      </c>
      <c r="L9" s="15" t="s">
        <v>122</v>
      </c>
      <c r="M9" s="16" t="s">
        <v>48</v>
      </c>
      <c r="N9" s="16" t="s">
        <v>119</v>
      </c>
      <c r="O9" s="16" t="s">
        <v>123</v>
      </c>
      <c r="P9" s="14">
        <v>2023.0</v>
      </c>
      <c r="Q9" s="16" t="s">
        <v>55</v>
      </c>
      <c r="R9" s="16" t="s">
        <v>56</v>
      </c>
      <c r="S9" s="16" t="s">
        <v>57</v>
      </c>
      <c r="T9" s="16" t="s">
        <v>58</v>
      </c>
      <c r="U9" s="16" t="s">
        <v>59</v>
      </c>
      <c r="V9" s="14">
        <v>7.0</v>
      </c>
      <c r="Z9" s="14" t="s">
        <v>60</v>
      </c>
      <c r="AA9" s="14" t="s">
        <v>61</v>
      </c>
      <c r="AB9" s="16" t="s">
        <v>62</v>
      </c>
      <c r="AC9" s="14" t="s">
        <v>63</v>
      </c>
      <c r="AD9" s="14" t="s">
        <v>64</v>
      </c>
      <c r="AF9" s="14" t="s">
        <v>65</v>
      </c>
      <c r="AG9" s="16" t="s">
        <v>88</v>
      </c>
      <c r="AH9" s="14" t="s">
        <v>124</v>
      </c>
      <c r="AI9" s="17" t="s">
        <v>125</v>
      </c>
      <c r="AJ9" s="17" t="s">
        <v>126</v>
      </c>
      <c r="AK9" s="16" t="s">
        <v>70</v>
      </c>
    </row>
    <row r="10" ht="15.75" customHeight="1">
      <c r="A10" s="9">
        <v>8.0</v>
      </c>
      <c r="B10" s="10" t="s">
        <v>127</v>
      </c>
      <c r="C10" s="11" t="s">
        <v>128</v>
      </c>
      <c r="D10" s="11" t="str">
        <f>IFERROR(__xludf.DUMMYFUNCTION("REGEXEXTRACT(C10,""[A-Z]{2,}"")"),"NFPA")</f>
        <v>NFPA</v>
      </c>
      <c r="E10" s="11" t="s">
        <v>48</v>
      </c>
      <c r="F10" s="11" t="s">
        <v>49</v>
      </c>
      <c r="G10" s="12" t="s">
        <v>50</v>
      </c>
      <c r="H10" s="11">
        <v>6.8</v>
      </c>
      <c r="I10" s="11">
        <v>298.0</v>
      </c>
      <c r="J10" s="18" t="s">
        <v>129</v>
      </c>
      <c r="K10" s="16" t="s">
        <v>130</v>
      </c>
      <c r="L10" s="15" t="s">
        <v>131</v>
      </c>
      <c r="M10" s="16" t="s">
        <v>48</v>
      </c>
      <c r="N10" s="16" t="s">
        <v>128</v>
      </c>
      <c r="O10" s="16" t="s">
        <v>132</v>
      </c>
      <c r="P10" s="14">
        <v>2024.0</v>
      </c>
      <c r="Q10" s="16" t="s">
        <v>55</v>
      </c>
      <c r="R10" s="16" t="s">
        <v>56</v>
      </c>
      <c r="S10" s="16" t="s">
        <v>57</v>
      </c>
      <c r="T10" s="16" t="s">
        <v>58</v>
      </c>
      <c r="U10" s="16" t="s">
        <v>59</v>
      </c>
      <c r="V10" s="14">
        <v>7.0</v>
      </c>
      <c r="Z10" s="14" t="s">
        <v>60</v>
      </c>
      <c r="AA10" s="14" t="s">
        <v>61</v>
      </c>
      <c r="AB10" s="16" t="s">
        <v>62</v>
      </c>
      <c r="AC10" s="14" t="s">
        <v>63</v>
      </c>
      <c r="AD10" s="14" t="s">
        <v>64</v>
      </c>
      <c r="AF10" s="14" t="s">
        <v>64</v>
      </c>
      <c r="AG10" s="16" t="s">
        <v>133</v>
      </c>
      <c r="AH10" s="14" t="s">
        <v>134</v>
      </c>
      <c r="AI10" s="17" t="s">
        <v>135</v>
      </c>
      <c r="AJ10" s="17" t="s">
        <v>136</v>
      </c>
      <c r="AK10" s="16" t="s">
        <v>70</v>
      </c>
    </row>
    <row r="11" ht="15.75" customHeight="1">
      <c r="A11" s="9">
        <v>9.0</v>
      </c>
      <c r="B11" s="10" t="s">
        <v>137</v>
      </c>
      <c r="C11" s="11" t="s">
        <v>138</v>
      </c>
      <c r="D11" s="11" t="str">
        <f>IFERROR(__xludf.DUMMYFUNCTION("REGEXEXTRACT(C11,""[A-Z]{2,}"")"),"NFPA")</f>
        <v>NFPA</v>
      </c>
      <c r="E11" s="11" t="s">
        <v>48</v>
      </c>
      <c r="F11" s="11" t="s">
        <v>49</v>
      </c>
      <c r="G11" s="12" t="s">
        <v>50</v>
      </c>
      <c r="H11" s="11">
        <v>157.0</v>
      </c>
      <c r="I11" s="11">
        <v>1022.0</v>
      </c>
      <c r="J11" s="18" t="s">
        <v>139</v>
      </c>
      <c r="K11" s="16" t="s">
        <v>140</v>
      </c>
      <c r="L11" s="15" t="s">
        <v>141</v>
      </c>
      <c r="M11" s="16" t="s">
        <v>48</v>
      </c>
      <c r="N11" s="16" t="s">
        <v>138</v>
      </c>
      <c r="O11" s="16" t="s">
        <v>142</v>
      </c>
      <c r="P11" s="14">
        <v>2025.0</v>
      </c>
      <c r="Q11" s="16" t="s">
        <v>55</v>
      </c>
      <c r="R11" s="16" t="s">
        <v>56</v>
      </c>
      <c r="S11" s="16" t="s">
        <v>57</v>
      </c>
      <c r="T11" s="16" t="s">
        <v>58</v>
      </c>
      <c r="U11" s="16" t="s">
        <v>59</v>
      </c>
      <c r="V11" s="14">
        <v>7.0</v>
      </c>
      <c r="Z11" s="14" t="s">
        <v>60</v>
      </c>
      <c r="AA11" s="14" t="s">
        <v>61</v>
      </c>
      <c r="AB11" s="16" t="s">
        <v>62</v>
      </c>
      <c r="AC11" s="14" t="s">
        <v>63</v>
      </c>
      <c r="AD11" s="14" t="s">
        <v>64</v>
      </c>
      <c r="AF11" s="14" t="s">
        <v>65</v>
      </c>
      <c r="AG11" s="16" t="s">
        <v>133</v>
      </c>
      <c r="AH11" s="14" t="s">
        <v>143</v>
      </c>
      <c r="AI11" s="17" t="s">
        <v>80</v>
      </c>
      <c r="AJ11" s="17" t="s">
        <v>81</v>
      </c>
      <c r="AK11" s="16" t="s">
        <v>70</v>
      </c>
    </row>
    <row r="12" ht="15.75" customHeight="1">
      <c r="A12" s="9">
        <v>10.0</v>
      </c>
      <c r="B12" s="10" t="s">
        <v>144</v>
      </c>
      <c r="C12" s="11" t="s">
        <v>145</v>
      </c>
      <c r="D12" s="11" t="str">
        <f>IFERROR(__xludf.DUMMYFUNCTION("REGEXEXTRACT(C12,""[A-Z]{2,}"")"),"NFPA")</f>
        <v>NFPA</v>
      </c>
      <c r="E12" s="11" t="s">
        <v>48</v>
      </c>
      <c r="F12" s="11" t="s">
        <v>49</v>
      </c>
      <c r="G12" s="12" t="s">
        <v>50</v>
      </c>
      <c r="H12" s="11">
        <v>3.7</v>
      </c>
      <c r="I12" s="11">
        <v>148.0</v>
      </c>
      <c r="J12" s="18" t="s">
        <v>146</v>
      </c>
      <c r="K12" s="16" t="s">
        <v>147</v>
      </c>
      <c r="L12" s="15" t="s">
        <v>148</v>
      </c>
      <c r="M12" s="16" t="s">
        <v>48</v>
      </c>
      <c r="N12" s="16" t="s">
        <v>145</v>
      </c>
      <c r="O12" s="16" t="s">
        <v>149</v>
      </c>
      <c r="P12" s="14">
        <v>2024.0</v>
      </c>
      <c r="Q12" s="16" t="s">
        <v>55</v>
      </c>
      <c r="R12" s="16" t="s">
        <v>56</v>
      </c>
      <c r="S12" s="16" t="s">
        <v>57</v>
      </c>
      <c r="T12" s="16" t="s">
        <v>58</v>
      </c>
      <c r="U12" s="16" t="s">
        <v>59</v>
      </c>
      <c r="V12" s="14">
        <v>7.0</v>
      </c>
      <c r="Z12" s="14" t="s">
        <v>60</v>
      </c>
      <c r="AA12" s="14" t="s">
        <v>61</v>
      </c>
      <c r="AB12" s="16" t="s">
        <v>62</v>
      </c>
      <c r="AC12" s="14" t="s">
        <v>63</v>
      </c>
      <c r="AD12" s="14" t="s">
        <v>64</v>
      </c>
      <c r="AF12" s="14" t="s">
        <v>150</v>
      </c>
      <c r="AG12" s="16" t="s">
        <v>133</v>
      </c>
      <c r="AH12" s="14" t="s">
        <v>151</v>
      </c>
      <c r="AI12" s="17" t="s">
        <v>68</v>
      </c>
      <c r="AJ12" s="17" t="s">
        <v>69</v>
      </c>
      <c r="AK12" s="16" t="s">
        <v>70</v>
      </c>
    </row>
    <row r="13" ht="15.75" customHeight="1">
      <c r="A13" s="9">
        <v>11.0</v>
      </c>
      <c r="B13" s="10" t="s">
        <v>152</v>
      </c>
      <c r="C13" s="11" t="s">
        <v>153</v>
      </c>
      <c r="D13" s="11" t="str">
        <f>IFERROR(__xludf.DUMMYFUNCTION("REGEXEXTRACT(C13,""[A-Z]{2,}"")"),"NFPA")</f>
        <v>NFPA</v>
      </c>
      <c r="E13" s="11" t="s">
        <v>48</v>
      </c>
      <c r="F13" s="11" t="s">
        <v>49</v>
      </c>
      <c r="G13" s="12" t="s">
        <v>50</v>
      </c>
      <c r="H13" s="11">
        <v>108.4</v>
      </c>
      <c r="I13" s="11">
        <v>1333.0</v>
      </c>
      <c r="J13" s="16" t="s">
        <v>154</v>
      </c>
      <c r="K13" s="16" t="s">
        <v>155</v>
      </c>
      <c r="L13" s="15" t="s">
        <v>156</v>
      </c>
      <c r="M13" s="16" t="s">
        <v>48</v>
      </c>
      <c r="N13" s="16" t="s">
        <v>153</v>
      </c>
      <c r="O13" s="16" t="s">
        <v>157</v>
      </c>
      <c r="P13" s="14">
        <v>2024.0</v>
      </c>
      <c r="Q13" s="16" t="s">
        <v>55</v>
      </c>
      <c r="R13" s="16" t="s">
        <v>56</v>
      </c>
      <c r="S13" s="16" t="s">
        <v>57</v>
      </c>
      <c r="T13" s="16" t="s">
        <v>58</v>
      </c>
      <c r="U13" s="16" t="s">
        <v>59</v>
      </c>
      <c r="V13" s="14">
        <v>7.0</v>
      </c>
      <c r="Z13" s="14" t="s">
        <v>60</v>
      </c>
      <c r="AA13" s="14" t="s">
        <v>61</v>
      </c>
      <c r="AB13" s="16" t="s">
        <v>62</v>
      </c>
      <c r="AC13" s="14" t="s">
        <v>63</v>
      </c>
      <c r="AD13" s="14" t="s">
        <v>64</v>
      </c>
      <c r="AF13" s="14" t="s">
        <v>158</v>
      </c>
      <c r="AG13" s="16" t="s">
        <v>133</v>
      </c>
      <c r="AH13" s="14" t="s">
        <v>159</v>
      </c>
      <c r="AI13" s="17" t="s">
        <v>90</v>
      </c>
      <c r="AJ13" s="17" t="s">
        <v>160</v>
      </c>
      <c r="AK13" s="16" t="s">
        <v>70</v>
      </c>
    </row>
    <row r="14" ht="15.75" customHeight="1">
      <c r="A14" s="9">
        <v>12.0</v>
      </c>
      <c r="B14" s="10" t="s">
        <v>161</v>
      </c>
      <c r="C14" s="11" t="s">
        <v>162</v>
      </c>
      <c r="D14" s="11" t="str">
        <f>IFERROR(__xludf.DUMMYFUNCTION("REGEXEXTRACT(C14,""[A-Z]{2,}"")"),"NFPA")</f>
        <v>NFPA</v>
      </c>
      <c r="E14" s="11" t="s">
        <v>48</v>
      </c>
      <c r="F14" s="11" t="s">
        <v>49</v>
      </c>
      <c r="G14" s="12" t="s">
        <v>50</v>
      </c>
      <c r="H14" s="11">
        <v>151.2</v>
      </c>
      <c r="I14" s="11">
        <v>1981.0</v>
      </c>
      <c r="J14" s="16" t="s">
        <v>163</v>
      </c>
      <c r="K14" s="16" t="s">
        <v>164</v>
      </c>
      <c r="L14" s="15" t="s">
        <v>165</v>
      </c>
      <c r="M14" s="16" t="s">
        <v>48</v>
      </c>
      <c r="N14" s="16" t="s">
        <v>162</v>
      </c>
      <c r="O14" s="16" t="s">
        <v>166</v>
      </c>
      <c r="P14" s="14">
        <v>2024.0</v>
      </c>
      <c r="Q14" s="16" t="s">
        <v>55</v>
      </c>
      <c r="R14" s="16" t="s">
        <v>56</v>
      </c>
      <c r="S14" s="16" t="s">
        <v>57</v>
      </c>
      <c r="T14" s="16" t="s">
        <v>58</v>
      </c>
      <c r="U14" s="16" t="s">
        <v>59</v>
      </c>
      <c r="V14" s="14">
        <v>7.0</v>
      </c>
      <c r="Z14" s="14" t="s">
        <v>60</v>
      </c>
      <c r="AA14" s="14" t="s">
        <v>61</v>
      </c>
      <c r="AB14" s="16" t="s">
        <v>62</v>
      </c>
      <c r="AC14" s="14" t="s">
        <v>63</v>
      </c>
      <c r="AD14" s="14" t="s">
        <v>64</v>
      </c>
      <c r="AF14" s="14" t="s">
        <v>150</v>
      </c>
      <c r="AG14" s="16" t="s">
        <v>133</v>
      </c>
      <c r="AH14" s="14" t="s">
        <v>167</v>
      </c>
      <c r="AI14" s="17" t="s">
        <v>90</v>
      </c>
      <c r="AJ14" s="17" t="s">
        <v>160</v>
      </c>
      <c r="AK14" s="16" t="s">
        <v>70</v>
      </c>
    </row>
    <row r="15" ht="15.75" customHeight="1">
      <c r="A15" s="9">
        <v>13.0</v>
      </c>
      <c r="B15" s="10" t="s">
        <v>168</v>
      </c>
      <c r="C15" s="11" t="s">
        <v>169</v>
      </c>
      <c r="D15" s="11" t="str">
        <f>IFERROR(__xludf.DUMMYFUNCTION("REGEXEXTRACT(C15,""[A-Z]{2,}"")"),"NFPA")</f>
        <v>NFPA</v>
      </c>
      <c r="E15" s="11" t="s">
        <v>48</v>
      </c>
      <c r="F15" s="11" t="s">
        <v>49</v>
      </c>
      <c r="G15" s="12" t="s">
        <v>50</v>
      </c>
      <c r="H15" s="11">
        <v>8.0</v>
      </c>
      <c r="I15" s="11">
        <v>1451.0</v>
      </c>
      <c r="J15" s="16" t="s">
        <v>170</v>
      </c>
      <c r="K15" s="16" t="s">
        <v>171</v>
      </c>
      <c r="L15" s="15" t="s">
        <v>172</v>
      </c>
      <c r="M15" s="16" t="s">
        <v>48</v>
      </c>
      <c r="N15" s="16" t="s">
        <v>169</v>
      </c>
      <c r="O15" s="16" t="s">
        <v>173</v>
      </c>
      <c r="P15" s="14">
        <v>2024.0</v>
      </c>
      <c r="Q15" s="16" t="s">
        <v>55</v>
      </c>
      <c r="R15" s="16" t="s">
        <v>56</v>
      </c>
      <c r="S15" s="16" t="s">
        <v>57</v>
      </c>
      <c r="T15" s="16" t="s">
        <v>58</v>
      </c>
      <c r="U15" s="16" t="s">
        <v>59</v>
      </c>
      <c r="V15" s="14">
        <v>7.0</v>
      </c>
      <c r="Z15" s="14" t="s">
        <v>60</v>
      </c>
      <c r="AA15" s="14" t="s">
        <v>61</v>
      </c>
      <c r="AB15" s="16" t="s">
        <v>62</v>
      </c>
      <c r="AC15" s="14" t="s">
        <v>63</v>
      </c>
      <c r="AD15" s="14" t="s">
        <v>64</v>
      </c>
      <c r="AF15" s="14" t="s">
        <v>174</v>
      </c>
      <c r="AG15" s="16" t="s">
        <v>133</v>
      </c>
      <c r="AH15" s="14" t="s">
        <v>175</v>
      </c>
      <c r="AI15" s="17" t="s">
        <v>90</v>
      </c>
      <c r="AJ15" s="17" t="s">
        <v>160</v>
      </c>
      <c r="AK15" s="16" t="s">
        <v>70</v>
      </c>
    </row>
    <row r="16" ht="15.75" customHeight="1">
      <c r="A16" s="20">
        <v>14.0</v>
      </c>
      <c r="B16" s="21" t="s">
        <v>176</v>
      </c>
      <c r="C16" s="22" t="s">
        <v>177</v>
      </c>
      <c r="D16" s="22" t="str">
        <f>IFERROR(__xludf.DUMMYFUNCTION("REGEXEXTRACT(C14,""[A-Z]{2,}"")"),"NFPA")</f>
        <v>NFPA</v>
      </c>
      <c r="E16" s="22" t="s">
        <v>48</v>
      </c>
      <c r="F16" s="22" t="s">
        <v>73</v>
      </c>
      <c r="G16" s="12" t="s">
        <v>50</v>
      </c>
      <c r="H16" s="22">
        <v>3.0</v>
      </c>
      <c r="I16" s="22">
        <v>217.0</v>
      </c>
      <c r="J16" s="23" t="s">
        <v>178</v>
      </c>
      <c r="K16" s="23" t="s">
        <v>179</v>
      </c>
      <c r="L16" s="23" t="s">
        <v>180</v>
      </c>
      <c r="M16" s="24" t="s">
        <v>48</v>
      </c>
      <c r="N16" s="22" t="s">
        <v>177</v>
      </c>
      <c r="O16" s="23" t="s">
        <v>181</v>
      </c>
      <c r="P16" s="24">
        <v>2023.0</v>
      </c>
      <c r="Q16" s="24" t="s">
        <v>55</v>
      </c>
      <c r="R16" s="24" t="s">
        <v>56</v>
      </c>
      <c r="S16" s="24" t="s">
        <v>57</v>
      </c>
      <c r="T16" s="24" t="s">
        <v>58</v>
      </c>
      <c r="U16" s="24" t="s">
        <v>59</v>
      </c>
      <c r="V16" s="24">
        <v>7.0</v>
      </c>
      <c r="W16" s="24"/>
      <c r="X16" s="24"/>
      <c r="Y16" s="24"/>
      <c r="Z16" s="24" t="s">
        <v>60</v>
      </c>
      <c r="AA16" s="24" t="s">
        <v>61</v>
      </c>
      <c r="AB16" s="24" t="s">
        <v>62</v>
      </c>
      <c r="AC16" s="24" t="s">
        <v>63</v>
      </c>
      <c r="AD16" s="24" t="s">
        <v>64</v>
      </c>
      <c r="AE16" s="24"/>
      <c r="AF16" s="24" t="s">
        <v>65</v>
      </c>
      <c r="AG16" s="24" t="s">
        <v>182</v>
      </c>
      <c r="AH16" s="24" t="s">
        <v>183</v>
      </c>
      <c r="AI16" s="25" t="s">
        <v>184</v>
      </c>
      <c r="AJ16" s="25" t="s">
        <v>185</v>
      </c>
      <c r="AK16" s="24" t="s">
        <v>70</v>
      </c>
    </row>
    <row r="17" ht="15.75" customHeight="1">
      <c r="A17" s="20">
        <v>15.0</v>
      </c>
      <c r="B17" s="21" t="s">
        <v>186</v>
      </c>
      <c r="C17" s="22" t="s">
        <v>187</v>
      </c>
      <c r="D17" s="22" t="str">
        <f>IFERROR(__xludf.DUMMYFUNCTION("REGEXEXTRACT(C14,""[A-Z]{2,}"")"),"NFPA")</f>
        <v>NFPA</v>
      </c>
      <c r="E17" s="22" t="s">
        <v>48</v>
      </c>
      <c r="F17" s="22" t="s">
        <v>73</v>
      </c>
      <c r="G17" s="12" t="s">
        <v>50</v>
      </c>
      <c r="H17" s="22">
        <v>0.873</v>
      </c>
      <c r="I17" s="22">
        <v>102.0</v>
      </c>
      <c r="J17" s="23" t="s">
        <v>188</v>
      </c>
      <c r="K17" s="23" t="s">
        <v>189</v>
      </c>
      <c r="L17" s="23" t="s">
        <v>190</v>
      </c>
      <c r="M17" s="24" t="s">
        <v>48</v>
      </c>
      <c r="N17" s="22" t="s">
        <v>187</v>
      </c>
      <c r="O17" s="23" t="s">
        <v>191</v>
      </c>
      <c r="P17" s="24">
        <v>2024.0</v>
      </c>
      <c r="Q17" s="24" t="s">
        <v>55</v>
      </c>
      <c r="R17" s="24" t="s">
        <v>56</v>
      </c>
      <c r="S17" s="24" t="s">
        <v>57</v>
      </c>
      <c r="T17" s="24" t="s">
        <v>58</v>
      </c>
      <c r="U17" s="24" t="s">
        <v>59</v>
      </c>
      <c r="V17" s="24">
        <v>7.0</v>
      </c>
      <c r="W17" s="24"/>
      <c r="X17" s="24"/>
      <c r="Y17" s="24"/>
      <c r="Z17" s="24" t="s">
        <v>60</v>
      </c>
      <c r="AA17" s="24" t="s">
        <v>61</v>
      </c>
      <c r="AB17" s="24" t="s">
        <v>62</v>
      </c>
      <c r="AC17" s="24" t="s">
        <v>63</v>
      </c>
      <c r="AD17" s="24" t="s">
        <v>64</v>
      </c>
      <c r="AE17" s="24"/>
      <c r="AF17" s="24" t="s">
        <v>65</v>
      </c>
      <c r="AG17" s="24" t="s">
        <v>192</v>
      </c>
      <c r="AH17" s="24" t="s">
        <v>193</v>
      </c>
      <c r="AI17" s="25" t="s">
        <v>68</v>
      </c>
      <c r="AJ17" s="25" t="s">
        <v>69</v>
      </c>
      <c r="AK17" s="24" t="s">
        <v>70</v>
      </c>
    </row>
    <row r="18" ht="15.75" customHeight="1">
      <c r="A18" s="20">
        <v>16.0</v>
      </c>
      <c r="B18" s="21" t="s">
        <v>194</v>
      </c>
      <c r="C18" s="22" t="s">
        <v>195</v>
      </c>
      <c r="D18" s="22" t="str">
        <f>IFERROR(__xludf.DUMMYFUNCTION("REGEXEXTRACT(C14,""[A-Z]{2,}"")"),"NFPA")</f>
        <v>NFPA</v>
      </c>
      <c r="E18" s="22" t="s">
        <v>48</v>
      </c>
      <c r="F18" s="22" t="s">
        <v>73</v>
      </c>
      <c r="G18" s="12" t="s">
        <v>50</v>
      </c>
      <c r="H18" s="22">
        <v>1.4</v>
      </c>
      <c r="I18" s="22">
        <v>77.0</v>
      </c>
      <c r="J18" s="23" t="s">
        <v>196</v>
      </c>
      <c r="K18" s="23" t="s">
        <v>197</v>
      </c>
      <c r="L18" s="23" t="s">
        <v>198</v>
      </c>
      <c r="M18" s="24" t="s">
        <v>48</v>
      </c>
      <c r="N18" s="22" t="s">
        <v>195</v>
      </c>
      <c r="O18" s="23" t="s">
        <v>199</v>
      </c>
      <c r="P18" s="24">
        <v>2025.0</v>
      </c>
      <c r="Q18" s="24" t="s">
        <v>55</v>
      </c>
      <c r="R18" s="24" t="s">
        <v>56</v>
      </c>
      <c r="S18" s="24" t="s">
        <v>57</v>
      </c>
      <c r="T18" s="24" t="s">
        <v>58</v>
      </c>
      <c r="U18" s="24" t="s">
        <v>59</v>
      </c>
      <c r="V18" s="24">
        <v>7.0</v>
      </c>
      <c r="W18" s="24"/>
      <c r="X18" s="24"/>
      <c r="Y18" s="24"/>
      <c r="Z18" s="24" t="s">
        <v>60</v>
      </c>
      <c r="AA18" s="24" t="s">
        <v>61</v>
      </c>
      <c r="AB18" s="24" t="s">
        <v>62</v>
      </c>
      <c r="AC18" s="24" t="s">
        <v>63</v>
      </c>
      <c r="AD18" s="24" t="s">
        <v>64</v>
      </c>
      <c r="AE18" s="24"/>
      <c r="AF18" s="24" t="s">
        <v>150</v>
      </c>
      <c r="AG18" s="24" t="s">
        <v>200</v>
      </c>
      <c r="AH18" s="24" t="s">
        <v>201</v>
      </c>
      <c r="AI18" s="25" t="s">
        <v>202</v>
      </c>
      <c r="AJ18" s="25" t="s">
        <v>203</v>
      </c>
      <c r="AK18" s="24" t="s">
        <v>70</v>
      </c>
    </row>
    <row r="19" ht="15.75" customHeight="1">
      <c r="A19" s="20">
        <v>17.0</v>
      </c>
      <c r="B19" s="21" t="s">
        <v>204</v>
      </c>
      <c r="C19" s="22" t="s">
        <v>205</v>
      </c>
      <c r="D19" s="22" t="str">
        <f>IFERROR(__xludf.DUMMYFUNCTION("REGEXEXTRACT(C14,""[A-Z]{2,}"")"),"NFPA")</f>
        <v>NFPA</v>
      </c>
      <c r="E19" s="22" t="s">
        <v>48</v>
      </c>
      <c r="F19" s="22" t="s">
        <v>73</v>
      </c>
      <c r="G19" s="12" t="s">
        <v>50</v>
      </c>
      <c r="H19" s="22">
        <v>1.5</v>
      </c>
      <c r="I19" s="22">
        <v>178.0</v>
      </c>
      <c r="J19" s="23" t="s">
        <v>206</v>
      </c>
      <c r="K19" s="23" t="s">
        <v>207</v>
      </c>
      <c r="L19" s="23" t="s">
        <v>208</v>
      </c>
      <c r="M19" s="24" t="s">
        <v>48</v>
      </c>
      <c r="N19" s="22" t="s">
        <v>205</v>
      </c>
      <c r="O19" s="23" t="s">
        <v>209</v>
      </c>
      <c r="P19" s="24">
        <v>2024.0</v>
      </c>
      <c r="Q19" s="24" t="s">
        <v>55</v>
      </c>
      <c r="R19" s="24" t="s">
        <v>56</v>
      </c>
      <c r="S19" s="24" t="s">
        <v>57</v>
      </c>
      <c r="T19" s="24" t="s">
        <v>58</v>
      </c>
      <c r="U19" s="24" t="s">
        <v>59</v>
      </c>
      <c r="V19" s="24">
        <v>7.0</v>
      </c>
      <c r="W19" s="24"/>
      <c r="X19" s="24"/>
      <c r="Y19" s="24"/>
      <c r="Z19" s="24" t="s">
        <v>60</v>
      </c>
      <c r="AA19" s="24" t="s">
        <v>61</v>
      </c>
      <c r="AB19" s="24" t="s">
        <v>62</v>
      </c>
      <c r="AC19" s="24" t="s">
        <v>63</v>
      </c>
      <c r="AD19" s="24" t="s">
        <v>64</v>
      </c>
      <c r="AE19" s="24"/>
      <c r="AF19" s="24" t="s">
        <v>65</v>
      </c>
      <c r="AG19" s="24" t="s">
        <v>210</v>
      </c>
      <c r="AH19" s="24" t="s">
        <v>211</v>
      </c>
      <c r="AI19" s="25" t="s">
        <v>212</v>
      </c>
      <c r="AJ19" s="25" t="s">
        <v>213</v>
      </c>
      <c r="AK19" s="24" t="s">
        <v>70</v>
      </c>
    </row>
    <row r="20" ht="15.75" customHeight="1">
      <c r="A20" s="20">
        <v>18.0</v>
      </c>
      <c r="B20" s="21" t="s">
        <v>214</v>
      </c>
      <c r="C20" s="22" t="s">
        <v>215</v>
      </c>
      <c r="D20" s="22" t="str">
        <f>IFERROR(__xludf.DUMMYFUNCTION("REGEXEXTRACT(C14,""[A-Z]{2,}"")"),"NFPA")</f>
        <v>NFPA</v>
      </c>
      <c r="E20" s="22" t="s">
        <v>48</v>
      </c>
      <c r="F20" s="22" t="s">
        <v>73</v>
      </c>
      <c r="G20" s="12" t="s">
        <v>50</v>
      </c>
      <c r="H20" s="22">
        <v>9.8</v>
      </c>
      <c r="I20" s="22">
        <v>574.0</v>
      </c>
      <c r="J20" s="23" t="s">
        <v>216</v>
      </c>
      <c r="K20" s="23" t="s">
        <v>217</v>
      </c>
      <c r="L20" s="23" t="s">
        <v>218</v>
      </c>
      <c r="M20" s="24" t="s">
        <v>48</v>
      </c>
      <c r="N20" s="22" t="s">
        <v>215</v>
      </c>
      <c r="O20" s="23" t="s">
        <v>219</v>
      </c>
      <c r="P20" s="24">
        <v>2024.0</v>
      </c>
      <c r="Q20" s="24" t="s">
        <v>55</v>
      </c>
      <c r="R20" s="24" t="s">
        <v>56</v>
      </c>
      <c r="S20" s="24" t="s">
        <v>57</v>
      </c>
      <c r="T20" s="24" t="s">
        <v>58</v>
      </c>
      <c r="U20" s="24" t="s">
        <v>59</v>
      </c>
      <c r="V20" s="24">
        <v>7.0</v>
      </c>
      <c r="W20" s="24"/>
      <c r="X20" s="24"/>
      <c r="Y20" s="24"/>
      <c r="Z20" s="24" t="s">
        <v>60</v>
      </c>
      <c r="AA20" s="24" t="s">
        <v>61</v>
      </c>
      <c r="AB20" s="24" t="s">
        <v>62</v>
      </c>
      <c r="AC20" s="24" t="s">
        <v>63</v>
      </c>
      <c r="AD20" s="24" t="s">
        <v>64</v>
      </c>
      <c r="AE20" s="24"/>
      <c r="AF20" s="24" t="s">
        <v>65</v>
      </c>
      <c r="AG20" s="24" t="s">
        <v>210</v>
      </c>
      <c r="AH20" s="24" t="s">
        <v>220</v>
      </c>
      <c r="AI20" s="25" t="s">
        <v>135</v>
      </c>
      <c r="AJ20" s="25" t="s">
        <v>136</v>
      </c>
      <c r="AK20" s="24" t="s">
        <v>70</v>
      </c>
    </row>
    <row r="21" ht="15.75" customHeight="1">
      <c r="A21" s="20">
        <v>19.0</v>
      </c>
      <c r="B21" s="21" t="s">
        <v>221</v>
      </c>
      <c r="C21" s="22" t="s">
        <v>222</v>
      </c>
      <c r="D21" s="22" t="str">
        <f>IFERROR(__xludf.DUMMYFUNCTION("REGEXEXTRACT(C14,""[A-Z]{2,}"")"),"NFPA")</f>
        <v>NFPA</v>
      </c>
      <c r="E21" s="22" t="s">
        <v>48</v>
      </c>
      <c r="F21" s="22" t="s">
        <v>73</v>
      </c>
      <c r="G21" s="12" t="s">
        <v>50</v>
      </c>
      <c r="H21" s="22">
        <v>4.8</v>
      </c>
      <c r="I21" s="22">
        <v>202.0</v>
      </c>
      <c r="J21" s="23" t="s">
        <v>223</v>
      </c>
      <c r="K21" s="23" t="s">
        <v>224</v>
      </c>
      <c r="L21" s="23" t="s">
        <v>225</v>
      </c>
      <c r="M21" s="24" t="s">
        <v>48</v>
      </c>
      <c r="N21" s="22" t="s">
        <v>222</v>
      </c>
      <c r="O21" s="23" t="s">
        <v>226</v>
      </c>
      <c r="P21" s="24">
        <v>2023.0</v>
      </c>
      <c r="Q21" s="24" t="s">
        <v>55</v>
      </c>
      <c r="R21" s="24" t="s">
        <v>56</v>
      </c>
      <c r="S21" s="24" t="s">
        <v>57</v>
      </c>
      <c r="T21" s="24" t="s">
        <v>58</v>
      </c>
      <c r="U21" s="24" t="s">
        <v>59</v>
      </c>
      <c r="V21" s="24">
        <v>7.0</v>
      </c>
      <c r="W21" s="24"/>
      <c r="X21" s="24"/>
      <c r="Y21" s="24"/>
      <c r="Z21" s="24" t="s">
        <v>60</v>
      </c>
      <c r="AA21" s="24" t="s">
        <v>61</v>
      </c>
      <c r="AB21" s="24" t="s">
        <v>62</v>
      </c>
      <c r="AC21" s="24" t="s">
        <v>63</v>
      </c>
      <c r="AD21" s="24" t="s">
        <v>64</v>
      </c>
      <c r="AE21" s="24"/>
      <c r="AF21" s="24" t="s">
        <v>65</v>
      </c>
      <c r="AG21" s="26" t="s">
        <v>78</v>
      </c>
      <c r="AH21" s="24" t="s">
        <v>227</v>
      </c>
      <c r="AI21" s="25" t="s">
        <v>228</v>
      </c>
      <c r="AJ21" s="25" t="s">
        <v>229</v>
      </c>
      <c r="AK21" s="24" t="s">
        <v>70</v>
      </c>
    </row>
    <row r="22" ht="15.75" customHeight="1">
      <c r="A22" s="20">
        <v>20.0</v>
      </c>
      <c r="B22" s="21" t="s">
        <v>230</v>
      </c>
      <c r="C22" s="22" t="s">
        <v>231</v>
      </c>
      <c r="D22" s="22" t="str">
        <f>IFERROR(__xludf.DUMMYFUNCTION("REGEXEXTRACT(C14,""[A-Z]{2,}"")"),"NFPA")</f>
        <v>NFPA</v>
      </c>
      <c r="E22" s="22" t="s">
        <v>48</v>
      </c>
      <c r="F22" s="22" t="s">
        <v>73</v>
      </c>
      <c r="G22" s="12" t="s">
        <v>50</v>
      </c>
      <c r="H22" s="22">
        <v>0.904</v>
      </c>
      <c r="I22" s="22">
        <v>76.0</v>
      </c>
      <c r="J22" s="23" t="s">
        <v>232</v>
      </c>
      <c r="K22" s="23" t="s">
        <v>233</v>
      </c>
      <c r="L22" s="23" t="s">
        <v>234</v>
      </c>
      <c r="M22" s="24" t="s">
        <v>48</v>
      </c>
      <c r="N22" s="22" t="s">
        <v>231</v>
      </c>
      <c r="O22" s="23" t="s">
        <v>235</v>
      </c>
      <c r="P22" s="24">
        <v>2024.0</v>
      </c>
      <c r="Q22" s="24" t="s">
        <v>55</v>
      </c>
      <c r="R22" s="24" t="s">
        <v>56</v>
      </c>
      <c r="S22" s="24" t="s">
        <v>57</v>
      </c>
      <c r="T22" s="24" t="s">
        <v>58</v>
      </c>
      <c r="U22" s="24" t="s">
        <v>59</v>
      </c>
      <c r="V22" s="24">
        <v>7.0</v>
      </c>
      <c r="W22" s="24"/>
      <c r="X22" s="24"/>
      <c r="Y22" s="24"/>
      <c r="Z22" s="24" t="s">
        <v>60</v>
      </c>
      <c r="AA22" s="24" t="s">
        <v>61</v>
      </c>
      <c r="AB22" s="24" t="s">
        <v>62</v>
      </c>
      <c r="AC22" s="24" t="s">
        <v>63</v>
      </c>
      <c r="AD22" s="24" t="s">
        <v>64</v>
      </c>
      <c r="AE22" s="24"/>
      <c r="AF22" s="24" t="s">
        <v>150</v>
      </c>
      <c r="AG22" s="24" t="s">
        <v>192</v>
      </c>
      <c r="AH22" s="24" t="s">
        <v>236</v>
      </c>
      <c r="AI22" s="25" t="s">
        <v>135</v>
      </c>
      <c r="AJ22" s="25" t="s">
        <v>136</v>
      </c>
      <c r="AK22" s="24" t="s">
        <v>70</v>
      </c>
    </row>
    <row r="23" ht="15.75" customHeight="1">
      <c r="A23" s="20">
        <v>21.0</v>
      </c>
      <c r="B23" s="21" t="s">
        <v>237</v>
      </c>
      <c r="C23" s="22" t="s">
        <v>238</v>
      </c>
      <c r="D23" s="22" t="str">
        <f>IFERROR(__xludf.DUMMYFUNCTION("REGEXEXTRACT(C14,""[A-Z]{2,}"")"),"NFPA")</f>
        <v>NFPA</v>
      </c>
      <c r="E23" s="22" t="s">
        <v>48</v>
      </c>
      <c r="F23" s="22" t="s">
        <v>73</v>
      </c>
      <c r="G23" s="12" t="s">
        <v>50</v>
      </c>
      <c r="H23" s="22">
        <v>4.2</v>
      </c>
      <c r="I23" s="22">
        <v>222.0</v>
      </c>
      <c r="J23" s="23" t="s">
        <v>239</v>
      </c>
      <c r="K23" s="23" t="s">
        <v>240</v>
      </c>
      <c r="L23" s="23" t="s">
        <v>241</v>
      </c>
      <c r="M23" s="24" t="s">
        <v>48</v>
      </c>
      <c r="N23" s="22" t="s">
        <v>238</v>
      </c>
      <c r="O23" s="23" t="s">
        <v>242</v>
      </c>
      <c r="P23" s="24">
        <v>2024.0</v>
      </c>
      <c r="Q23" s="24" t="s">
        <v>55</v>
      </c>
      <c r="R23" s="24" t="s">
        <v>56</v>
      </c>
      <c r="S23" s="24" t="s">
        <v>57</v>
      </c>
      <c r="T23" s="24" t="s">
        <v>58</v>
      </c>
      <c r="U23" s="24" t="s">
        <v>59</v>
      </c>
      <c r="V23" s="24">
        <v>7.0</v>
      </c>
      <c r="W23" s="24"/>
      <c r="X23" s="24"/>
      <c r="Y23" s="24"/>
      <c r="Z23" s="24" t="s">
        <v>60</v>
      </c>
      <c r="AA23" s="24" t="s">
        <v>61</v>
      </c>
      <c r="AB23" s="24" t="s">
        <v>62</v>
      </c>
      <c r="AC23" s="24" t="s">
        <v>63</v>
      </c>
      <c r="AD23" s="24" t="s">
        <v>64</v>
      </c>
      <c r="AE23" s="24"/>
      <c r="AF23" s="24" t="s">
        <v>150</v>
      </c>
      <c r="AG23" s="24" t="s">
        <v>200</v>
      </c>
      <c r="AH23" s="24" t="s">
        <v>243</v>
      </c>
      <c r="AI23" s="25" t="s">
        <v>135</v>
      </c>
      <c r="AJ23" s="25" t="s">
        <v>136</v>
      </c>
      <c r="AK23" s="24" t="s">
        <v>70</v>
      </c>
    </row>
    <row r="24" ht="15.75" customHeight="1">
      <c r="A24" s="20">
        <v>22.0</v>
      </c>
      <c r="B24" s="21" t="s">
        <v>244</v>
      </c>
      <c r="C24" s="27" t="s">
        <v>245</v>
      </c>
      <c r="D24" s="22" t="s">
        <v>55</v>
      </c>
      <c r="E24" s="22" t="s">
        <v>48</v>
      </c>
      <c r="F24" s="22" t="s">
        <v>73</v>
      </c>
      <c r="G24" s="12" t="s">
        <v>50</v>
      </c>
      <c r="H24" s="22"/>
      <c r="I24" s="22"/>
      <c r="J24" s="23" t="s">
        <v>246</v>
      </c>
      <c r="K24" s="28" t="s">
        <v>247</v>
      </c>
      <c r="L24" s="23" t="s">
        <v>248</v>
      </c>
      <c r="M24" s="24" t="s">
        <v>48</v>
      </c>
      <c r="N24" s="22" t="s">
        <v>245</v>
      </c>
      <c r="O24" s="23" t="s">
        <v>249</v>
      </c>
      <c r="P24" s="24">
        <v>2024.0</v>
      </c>
      <c r="Q24" s="24" t="s">
        <v>55</v>
      </c>
      <c r="R24" s="24" t="s">
        <v>56</v>
      </c>
      <c r="S24" s="24" t="s">
        <v>57</v>
      </c>
      <c r="T24" s="24" t="s">
        <v>250</v>
      </c>
      <c r="U24" s="24" t="s">
        <v>59</v>
      </c>
      <c r="V24" s="24">
        <v>7.0</v>
      </c>
      <c r="W24" s="24"/>
      <c r="X24" s="24"/>
      <c r="Y24" s="24"/>
      <c r="Z24" s="24" t="s">
        <v>60</v>
      </c>
      <c r="AA24" s="24" t="s">
        <v>61</v>
      </c>
      <c r="AB24" s="24" t="s">
        <v>62</v>
      </c>
      <c r="AC24" s="24" t="s">
        <v>63</v>
      </c>
      <c r="AD24" s="24" t="s">
        <v>64</v>
      </c>
      <c r="AE24" s="24"/>
      <c r="AF24" s="24" t="s">
        <v>65</v>
      </c>
      <c r="AG24" s="26" t="s">
        <v>200</v>
      </c>
      <c r="AH24" s="24" t="s">
        <v>251</v>
      </c>
      <c r="AI24" s="25" t="s">
        <v>212</v>
      </c>
      <c r="AJ24" s="25" t="s">
        <v>213</v>
      </c>
      <c r="AK24" s="24" t="s">
        <v>70</v>
      </c>
    </row>
    <row r="25" ht="15.75" customHeight="1">
      <c r="A25" s="20">
        <v>23.0</v>
      </c>
      <c r="B25" s="21" t="s">
        <v>252</v>
      </c>
      <c r="C25" s="22" t="s">
        <v>253</v>
      </c>
      <c r="D25" s="22" t="s">
        <v>55</v>
      </c>
      <c r="E25" s="22" t="s">
        <v>48</v>
      </c>
      <c r="F25" s="22" t="s">
        <v>73</v>
      </c>
      <c r="G25" s="12" t="s">
        <v>50</v>
      </c>
      <c r="H25" s="22"/>
      <c r="I25" s="22"/>
      <c r="J25" s="23" t="s">
        <v>254</v>
      </c>
      <c r="K25" s="23" t="s">
        <v>255</v>
      </c>
      <c r="L25" s="23" t="s">
        <v>256</v>
      </c>
      <c r="M25" s="24" t="s">
        <v>48</v>
      </c>
      <c r="N25" s="22" t="s">
        <v>253</v>
      </c>
      <c r="O25" s="23" t="s">
        <v>257</v>
      </c>
      <c r="P25" s="24">
        <v>2026.0</v>
      </c>
      <c r="Q25" s="24" t="s">
        <v>55</v>
      </c>
      <c r="R25" s="24" t="s">
        <v>56</v>
      </c>
      <c r="S25" s="24" t="s">
        <v>57</v>
      </c>
      <c r="T25" s="24" t="s">
        <v>250</v>
      </c>
      <c r="U25" s="24" t="s">
        <v>59</v>
      </c>
      <c r="V25" s="24">
        <v>7.0</v>
      </c>
      <c r="W25" s="24"/>
      <c r="X25" s="24"/>
      <c r="Y25" s="24"/>
      <c r="Z25" s="24" t="s">
        <v>60</v>
      </c>
      <c r="AA25" s="24" t="s">
        <v>61</v>
      </c>
      <c r="AB25" s="24" t="s">
        <v>62</v>
      </c>
      <c r="AC25" s="24" t="s">
        <v>63</v>
      </c>
      <c r="AD25" s="24" t="s">
        <v>64</v>
      </c>
      <c r="AE25" s="24"/>
      <c r="AF25" s="24" t="s">
        <v>65</v>
      </c>
      <c r="AG25" s="26" t="s">
        <v>258</v>
      </c>
      <c r="AH25" s="24" t="s">
        <v>259</v>
      </c>
      <c r="AI25" s="25" t="s">
        <v>260</v>
      </c>
      <c r="AJ25" s="25" t="s">
        <v>261</v>
      </c>
      <c r="AK25" s="24" t="s">
        <v>70</v>
      </c>
    </row>
    <row r="26" ht="15.75" customHeight="1">
      <c r="A26" s="20">
        <v>24.0</v>
      </c>
      <c r="B26" s="21" t="s">
        <v>262</v>
      </c>
      <c r="C26" s="22" t="s">
        <v>263</v>
      </c>
      <c r="D26" s="22" t="s">
        <v>55</v>
      </c>
      <c r="E26" s="22" t="s">
        <v>48</v>
      </c>
      <c r="F26" s="22" t="s">
        <v>73</v>
      </c>
      <c r="G26" s="12" t="s">
        <v>50</v>
      </c>
      <c r="H26" s="22"/>
      <c r="I26" s="22"/>
      <c r="J26" s="23" t="s">
        <v>264</v>
      </c>
      <c r="K26" s="23" t="s">
        <v>265</v>
      </c>
      <c r="L26" s="23" t="s">
        <v>266</v>
      </c>
      <c r="M26" s="29" t="s">
        <v>48</v>
      </c>
      <c r="N26" s="22" t="s">
        <v>263</v>
      </c>
      <c r="O26" s="23" t="s">
        <v>267</v>
      </c>
      <c r="P26" s="24">
        <v>2024.0</v>
      </c>
      <c r="Q26" s="24" t="s">
        <v>55</v>
      </c>
      <c r="R26" s="24" t="s">
        <v>56</v>
      </c>
      <c r="S26" s="24" t="s">
        <v>57</v>
      </c>
      <c r="T26" s="24" t="s">
        <v>250</v>
      </c>
      <c r="U26" s="24" t="s">
        <v>59</v>
      </c>
      <c r="V26" s="24">
        <v>7.0</v>
      </c>
      <c r="W26" s="24"/>
      <c r="X26" s="24"/>
      <c r="Y26" s="24"/>
      <c r="Z26" s="24" t="s">
        <v>60</v>
      </c>
      <c r="AA26" s="24" t="s">
        <v>61</v>
      </c>
      <c r="AB26" s="24" t="s">
        <v>62</v>
      </c>
      <c r="AC26" s="24" t="s">
        <v>63</v>
      </c>
      <c r="AD26" s="24" t="s">
        <v>64</v>
      </c>
      <c r="AE26" s="24"/>
      <c r="AF26" s="24" t="s">
        <v>65</v>
      </c>
      <c r="AG26" s="26" t="s">
        <v>258</v>
      </c>
      <c r="AH26" s="24" t="s">
        <v>268</v>
      </c>
      <c r="AI26" s="25" t="s">
        <v>68</v>
      </c>
      <c r="AJ26" s="25" t="s">
        <v>68</v>
      </c>
      <c r="AK26" s="24" t="s">
        <v>70</v>
      </c>
    </row>
    <row r="27" ht="15.75" customHeight="1">
      <c r="A27" s="20">
        <v>25.0</v>
      </c>
      <c r="B27" s="21" t="s">
        <v>269</v>
      </c>
      <c r="C27" s="22" t="s">
        <v>270</v>
      </c>
      <c r="D27" s="22" t="s">
        <v>55</v>
      </c>
      <c r="E27" s="22" t="s">
        <v>48</v>
      </c>
      <c r="F27" s="22" t="s">
        <v>73</v>
      </c>
      <c r="G27" s="12" t="s">
        <v>50</v>
      </c>
      <c r="H27" s="22"/>
      <c r="I27" s="22"/>
      <c r="J27" s="23" t="s">
        <v>271</v>
      </c>
      <c r="K27" s="23" t="s">
        <v>272</v>
      </c>
      <c r="L27" s="23" t="s">
        <v>273</v>
      </c>
      <c r="M27" s="29" t="s">
        <v>48</v>
      </c>
      <c r="N27" s="22" t="s">
        <v>270</v>
      </c>
      <c r="O27" s="23" t="s">
        <v>274</v>
      </c>
      <c r="P27" s="24">
        <v>2023.0</v>
      </c>
      <c r="Q27" s="24" t="s">
        <v>55</v>
      </c>
      <c r="R27" s="24" t="s">
        <v>56</v>
      </c>
      <c r="S27" s="24" t="s">
        <v>57</v>
      </c>
      <c r="T27" s="24" t="s">
        <v>250</v>
      </c>
      <c r="U27" s="24" t="s">
        <v>59</v>
      </c>
      <c r="V27" s="24">
        <v>7.0</v>
      </c>
      <c r="W27" s="24"/>
      <c r="X27" s="24"/>
      <c r="Y27" s="24"/>
      <c r="Z27" s="24" t="s">
        <v>60</v>
      </c>
      <c r="AA27" s="24" t="s">
        <v>61</v>
      </c>
      <c r="AB27" s="24" t="s">
        <v>62</v>
      </c>
      <c r="AC27" s="24" t="s">
        <v>63</v>
      </c>
      <c r="AD27" s="24" t="s">
        <v>64</v>
      </c>
      <c r="AE27" s="24"/>
      <c r="AF27" s="24" t="s">
        <v>65</v>
      </c>
      <c r="AG27" s="26" t="s">
        <v>258</v>
      </c>
      <c r="AH27" s="24" t="s">
        <v>275</v>
      </c>
      <c r="AI27" s="25" t="s">
        <v>184</v>
      </c>
      <c r="AJ27" s="25" t="s">
        <v>185</v>
      </c>
      <c r="AK27" s="24" t="s">
        <v>70</v>
      </c>
    </row>
    <row r="28" ht="15.75" customHeight="1">
      <c r="A28" s="20">
        <v>26.0</v>
      </c>
      <c r="B28" s="21" t="s">
        <v>276</v>
      </c>
      <c r="C28" s="22" t="s">
        <v>277</v>
      </c>
      <c r="D28" s="22" t="s">
        <v>55</v>
      </c>
      <c r="E28" s="22" t="s">
        <v>48</v>
      </c>
      <c r="F28" s="22" t="s">
        <v>73</v>
      </c>
      <c r="G28" s="12" t="s">
        <v>50</v>
      </c>
      <c r="H28" s="22"/>
      <c r="I28" s="22"/>
      <c r="J28" s="23" t="s">
        <v>278</v>
      </c>
      <c r="K28" s="23" t="s">
        <v>279</v>
      </c>
      <c r="L28" s="23" t="s">
        <v>280</v>
      </c>
      <c r="M28" s="29" t="s">
        <v>48</v>
      </c>
      <c r="N28" s="22" t="s">
        <v>277</v>
      </c>
      <c r="O28" s="23" t="s">
        <v>274</v>
      </c>
      <c r="P28" s="24">
        <v>2025.0</v>
      </c>
      <c r="Q28" s="24" t="s">
        <v>55</v>
      </c>
      <c r="R28" s="24" t="s">
        <v>56</v>
      </c>
      <c r="S28" s="24" t="s">
        <v>57</v>
      </c>
      <c r="T28" s="24" t="s">
        <v>250</v>
      </c>
      <c r="U28" s="24" t="s">
        <v>59</v>
      </c>
      <c r="V28" s="24">
        <v>7.0</v>
      </c>
      <c r="W28" s="24"/>
      <c r="X28" s="24"/>
      <c r="Y28" s="24"/>
      <c r="Z28" s="24" t="s">
        <v>60</v>
      </c>
      <c r="AA28" s="24" t="s">
        <v>61</v>
      </c>
      <c r="AB28" s="24" t="s">
        <v>62</v>
      </c>
      <c r="AC28" s="24" t="s">
        <v>63</v>
      </c>
      <c r="AD28" s="24" t="s">
        <v>64</v>
      </c>
      <c r="AE28" s="24"/>
      <c r="AF28" s="24" t="s">
        <v>65</v>
      </c>
      <c r="AG28" s="26" t="s">
        <v>258</v>
      </c>
      <c r="AH28" s="24" t="s">
        <v>281</v>
      </c>
      <c r="AI28" s="25" t="s">
        <v>202</v>
      </c>
      <c r="AJ28" s="25" t="s">
        <v>203</v>
      </c>
      <c r="AK28" s="24" t="s">
        <v>70</v>
      </c>
    </row>
    <row r="29" ht="15.75" customHeight="1">
      <c r="A29" s="20">
        <v>27.0</v>
      </c>
      <c r="B29" s="30" t="s">
        <v>282</v>
      </c>
      <c r="C29" s="22" t="s">
        <v>283</v>
      </c>
      <c r="D29" s="22" t="s">
        <v>55</v>
      </c>
      <c r="E29" s="22" t="s">
        <v>48</v>
      </c>
      <c r="F29" s="22" t="s">
        <v>73</v>
      </c>
      <c r="G29" s="12" t="s">
        <v>50</v>
      </c>
      <c r="H29" s="22"/>
      <c r="I29" s="22"/>
      <c r="J29" s="23" t="s">
        <v>284</v>
      </c>
      <c r="K29" s="23" t="s">
        <v>285</v>
      </c>
      <c r="L29" s="23" t="s">
        <v>286</v>
      </c>
      <c r="M29" s="29" t="s">
        <v>48</v>
      </c>
      <c r="N29" s="22" t="s">
        <v>283</v>
      </c>
      <c r="O29" s="23" t="s">
        <v>287</v>
      </c>
      <c r="P29" s="24">
        <v>2024.0</v>
      </c>
      <c r="Q29" s="24" t="s">
        <v>55</v>
      </c>
      <c r="R29" s="24" t="s">
        <v>56</v>
      </c>
      <c r="S29" s="24" t="s">
        <v>57</v>
      </c>
      <c r="T29" s="24" t="s">
        <v>250</v>
      </c>
      <c r="U29" s="24" t="s">
        <v>59</v>
      </c>
      <c r="V29" s="24">
        <v>7.0</v>
      </c>
      <c r="W29" s="24"/>
      <c r="X29" s="24"/>
      <c r="Y29" s="24"/>
      <c r="Z29" s="24" t="s">
        <v>60</v>
      </c>
      <c r="AA29" s="24" t="s">
        <v>61</v>
      </c>
      <c r="AB29" s="24" t="s">
        <v>62</v>
      </c>
      <c r="AC29" s="24" t="s">
        <v>63</v>
      </c>
      <c r="AD29" s="24" t="s">
        <v>64</v>
      </c>
      <c r="AE29" s="24"/>
      <c r="AF29" s="24" t="s">
        <v>65</v>
      </c>
      <c r="AG29" s="26" t="s">
        <v>258</v>
      </c>
      <c r="AH29" s="24" t="s">
        <v>288</v>
      </c>
      <c r="AI29" s="25" t="s">
        <v>90</v>
      </c>
      <c r="AJ29" s="25" t="s">
        <v>160</v>
      </c>
      <c r="AK29" s="24" t="s">
        <v>70</v>
      </c>
    </row>
    <row r="30" ht="15.75" customHeight="1">
      <c r="A30" s="20">
        <v>28.0</v>
      </c>
      <c r="B30" s="31" t="s">
        <v>289</v>
      </c>
      <c r="C30" s="12" t="s">
        <v>290</v>
      </c>
      <c r="D30" s="12" t="s">
        <v>55</v>
      </c>
      <c r="E30" s="12" t="s">
        <v>48</v>
      </c>
      <c r="F30" s="12" t="s">
        <v>73</v>
      </c>
      <c r="G30" s="12" t="s">
        <v>50</v>
      </c>
      <c r="H30" s="11"/>
      <c r="I30" s="11"/>
      <c r="J30" s="13" t="s">
        <v>291</v>
      </c>
      <c r="K30" s="13" t="s">
        <v>292</v>
      </c>
      <c r="L30" s="32" t="s">
        <v>293</v>
      </c>
      <c r="M30" s="13" t="s">
        <v>48</v>
      </c>
      <c r="N30" s="13" t="s">
        <v>290</v>
      </c>
      <c r="O30" s="13" t="s">
        <v>294</v>
      </c>
      <c r="P30" s="13">
        <v>2024.0</v>
      </c>
      <c r="Q30" s="13" t="s">
        <v>55</v>
      </c>
      <c r="R30" s="13" t="s">
        <v>56</v>
      </c>
      <c r="S30" s="13" t="s">
        <v>57</v>
      </c>
      <c r="T30" s="13" t="s">
        <v>250</v>
      </c>
      <c r="U30" s="13" t="s">
        <v>59</v>
      </c>
      <c r="V30" s="13">
        <v>7.0</v>
      </c>
      <c r="Z30" s="24" t="s">
        <v>60</v>
      </c>
      <c r="AA30" s="24" t="s">
        <v>61</v>
      </c>
      <c r="AB30" s="24" t="s">
        <v>62</v>
      </c>
      <c r="AC30" s="24" t="s">
        <v>63</v>
      </c>
      <c r="AD30" s="24" t="s">
        <v>64</v>
      </c>
      <c r="AE30" s="24"/>
      <c r="AF30" s="24" t="s">
        <v>65</v>
      </c>
      <c r="AG30" s="26" t="s">
        <v>258</v>
      </c>
      <c r="AH30" s="13" t="s">
        <v>295</v>
      </c>
      <c r="AI30" s="33" t="s">
        <v>135</v>
      </c>
      <c r="AJ30" s="33" t="s">
        <v>136</v>
      </c>
      <c r="AK30" s="13" t="s">
        <v>70</v>
      </c>
    </row>
    <row r="31" ht="15.75" customHeight="1">
      <c r="A31" s="20">
        <v>29.0</v>
      </c>
      <c r="B31" s="31" t="s">
        <v>296</v>
      </c>
      <c r="C31" s="12" t="s">
        <v>297</v>
      </c>
      <c r="D31" s="12" t="s">
        <v>55</v>
      </c>
      <c r="E31" s="34" t="s">
        <v>298</v>
      </c>
      <c r="F31" s="12" t="s">
        <v>73</v>
      </c>
      <c r="G31" s="12" t="s">
        <v>50</v>
      </c>
      <c r="H31" s="11"/>
      <c r="I31" s="11"/>
      <c r="J31" s="13" t="s">
        <v>299</v>
      </c>
      <c r="K31" s="13" t="s">
        <v>300</v>
      </c>
      <c r="L31" s="32" t="s">
        <v>301</v>
      </c>
      <c r="M31" s="35" t="s">
        <v>298</v>
      </c>
      <c r="N31" s="13" t="s">
        <v>297</v>
      </c>
      <c r="O31" s="13" t="s">
        <v>302</v>
      </c>
      <c r="P31" s="13">
        <v>2025.0</v>
      </c>
      <c r="Q31" s="13" t="s">
        <v>55</v>
      </c>
      <c r="R31" s="13" t="s">
        <v>56</v>
      </c>
      <c r="S31" s="13" t="s">
        <v>57</v>
      </c>
      <c r="T31" s="13" t="s">
        <v>250</v>
      </c>
      <c r="U31" s="13" t="s">
        <v>59</v>
      </c>
      <c r="V31" s="13">
        <v>7.0</v>
      </c>
      <c r="Z31" s="24" t="s">
        <v>60</v>
      </c>
      <c r="AA31" s="24" t="s">
        <v>61</v>
      </c>
      <c r="AB31" s="24" t="s">
        <v>62</v>
      </c>
      <c r="AC31" s="24" t="s">
        <v>63</v>
      </c>
      <c r="AD31" s="24" t="s">
        <v>64</v>
      </c>
      <c r="AE31" s="24"/>
      <c r="AF31" s="24" t="s">
        <v>65</v>
      </c>
      <c r="AG31" s="26" t="s">
        <v>258</v>
      </c>
      <c r="AH31" s="13" t="s">
        <v>303</v>
      </c>
      <c r="AI31" s="33" t="s">
        <v>202</v>
      </c>
      <c r="AJ31" s="33" t="s">
        <v>203</v>
      </c>
      <c r="AK31" s="13" t="s">
        <v>70</v>
      </c>
    </row>
    <row r="32" ht="15.75" customHeight="1">
      <c r="A32" s="20">
        <v>30.0</v>
      </c>
      <c r="B32" s="31" t="s">
        <v>304</v>
      </c>
      <c r="C32" s="12" t="s">
        <v>305</v>
      </c>
      <c r="D32" s="12" t="s">
        <v>55</v>
      </c>
      <c r="E32" s="12" t="s">
        <v>48</v>
      </c>
      <c r="F32" s="12" t="s">
        <v>73</v>
      </c>
      <c r="G32" s="12" t="s">
        <v>50</v>
      </c>
      <c r="H32" s="11"/>
      <c r="I32" s="11"/>
      <c r="J32" s="13" t="s">
        <v>306</v>
      </c>
      <c r="K32" s="13" t="s">
        <v>307</v>
      </c>
      <c r="L32" s="32" t="s">
        <v>308</v>
      </c>
      <c r="M32" s="13" t="s">
        <v>48</v>
      </c>
      <c r="N32" s="13" t="s">
        <v>305</v>
      </c>
      <c r="O32" s="13" t="s">
        <v>309</v>
      </c>
      <c r="P32" s="13">
        <v>2019.0</v>
      </c>
      <c r="Q32" s="13" t="s">
        <v>55</v>
      </c>
      <c r="R32" s="13" t="s">
        <v>56</v>
      </c>
      <c r="S32" s="13" t="s">
        <v>57</v>
      </c>
      <c r="T32" s="13" t="s">
        <v>250</v>
      </c>
      <c r="U32" s="13" t="s">
        <v>59</v>
      </c>
      <c r="V32" s="13">
        <v>7.0</v>
      </c>
      <c r="Z32" s="24" t="s">
        <v>60</v>
      </c>
      <c r="AA32" s="24" t="s">
        <v>61</v>
      </c>
      <c r="AB32" s="24" t="s">
        <v>62</v>
      </c>
      <c r="AC32" s="24" t="s">
        <v>63</v>
      </c>
      <c r="AD32" s="24" t="s">
        <v>64</v>
      </c>
      <c r="AE32" s="24"/>
      <c r="AF32" s="24" t="s">
        <v>65</v>
      </c>
      <c r="AG32" s="26" t="s">
        <v>258</v>
      </c>
      <c r="AH32" s="13" t="s">
        <v>310</v>
      </c>
      <c r="AI32" s="33" t="s">
        <v>311</v>
      </c>
      <c r="AJ32" s="33" t="s">
        <v>312</v>
      </c>
      <c r="AK32" s="13" t="s">
        <v>70</v>
      </c>
    </row>
    <row r="33" ht="15.75" customHeight="1">
      <c r="A33" s="36">
        <v>31.0</v>
      </c>
      <c r="B33" s="31" t="s">
        <v>313</v>
      </c>
      <c r="C33" s="12" t="s">
        <v>314</v>
      </c>
      <c r="D33" s="12" t="s">
        <v>55</v>
      </c>
      <c r="E33" s="12" t="s">
        <v>48</v>
      </c>
      <c r="F33" s="12" t="s">
        <v>73</v>
      </c>
      <c r="G33" s="37" t="s">
        <v>315</v>
      </c>
      <c r="H33" s="11"/>
      <c r="I33" s="11"/>
      <c r="J33" s="13" t="s">
        <v>316</v>
      </c>
      <c r="K33" s="13" t="s">
        <v>317</v>
      </c>
      <c r="L33" s="32" t="s">
        <v>318</v>
      </c>
      <c r="M33" s="13" t="s">
        <v>48</v>
      </c>
      <c r="N33" s="13" t="s">
        <v>314</v>
      </c>
      <c r="O33" s="13" t="s">
        <v>319</v>
      </c>
      <c r="P33" s="13">
        <v>2024.0</v>
      </c>
      <c r="Q33" s="13" t="s">
        <v>55</v>
      </c>
      <c r="R33" s="13" t="s">
        <v>56</v>
      </c>
      <c r="S33" s="13" t="s">
        <v>57</v>
      </c>
      <c r="T33" s="13" t="s">
        <v>250</v>
      </c>
      <c r="U33" s="13" t="s">
        <v>59</v>
      </c>
      <c r="V33" s="13">
        <v>7.0</v>
      </c>
      <c r="Z33" s="24" t="s">
        <v>60</v>
      </c>
      <c r="AA33" s="24" t="s">
        <v>61</v>
      </c>
      <c r="AB33" s="24" t="s">
        <v>62</v>
      </c>
      <c r="AC33" s="24" t="s">
        <v>63</v>
      </c>
      <c r="AD33" s="24" t="s">
        <v>64</v>
      </c>
      <c r="AE33" s="24"/>
      <c r="AF33" s="24" t="s">
        <v>65</v>
      </c>
      <c r="AG33" s="26" t="s">
        <v>258</v>
      </c>
      <c r="AH33" s="13" t="s">
        <v>320</v>
      </c>
      <c r="AI33" s="38">
        <v>45039.0</v>
      </c>
      <c r="AJ33" s="38">
        <v>45059.0</v>
      </c>
      <c r="AK33" s="13" t="s">
        <v>70</v>
      </c>
    </row>
    <row r="34" ht="15.75" customHeight="1">
      <c r="A34" s="36">
        <v>32.0</v>
      </c>
      <c r="B34" s="31" t="s">
        <v>321</v>
      </c>
      <c r="C34" s="12" t="s">
        <v>322</v>
      </c>
      <c r="D34" s="12" t="s">
        <v>55</v>
      </c>
      <c r="E34" s="12" t="s">
        <v>48</v>
      </c>
      <c r="F34" s="12" t="s">
        <v>73</v>
      </c>
      <c r="G34" s="37" t="s">
        <v>315</v>
      </c>
      <c r="H34" s="11"/>
      <c r="I34" s="11"/>
      <c r="J34" s="13" t="s">
        <v>323</v>
      </c>
      <c r="K34" s="13" t="s">
        <v>324</v>
      </c>
      <c r="L34" s="32" t="s">
        <v>325</v>
      </c>
      <c r="M34" s="13" t="s">
        <v>48</v>
      </c>
      <c r="N34" s="13" t="s">
        <v>322</v>
      </c>
      <c r="O34" s="13" t="s">
        <v>326</v>
      </c>
      <c r="P34" s="13">
        <v>2021.0</v>
      </c>
      <c r="Q34" s="13" t="s">
        <v>55</v>
      </c>
      <c r="R34" s="13" t="s">
        <v>56</v>
      </c>
      <c r="S34" s="13" t="s">
        <v>57</v>
      </c>
      <c r="T34" s="13" t="s">
        <v>250</v>
      </c>
      <c r="U34" s="13" t="s">
        <v>59</v>
      </c>
      <c r="V34" s="13">
        <v>7.0</v>
      </c>
      <c r="Z34" s="24" t="s">
        <v>60</v>
      </c>
      <c r="AA34" s="24" t="s">
        <v>61</v>
      </c>
      <c r="AB34" s="24" t="s">
        <v>62</v>
      </c>
      <c r="AC34" s="24" t="s">
        <v>63</v>
      </c>
      <c r="AD34" s="24" t="s">
        <v>64</v>
      </c>
      <c r="AE34" s="24"/>
      <c r="AF34" s="24" t="s">
        <v>65</v>
      </c>
      <c r="AG34" s="26" t="s">
        <v>258</v>
      </c>
      <c r="AH34" s="13" t="s">
        <v>327</v>
      </c>
      <c r="AI34" s="38">
        <v>44008.0</v>
      </c>
      <c r="AJ34" s="38">
        <v>44028.0</v>
      </c>
      <c r="AK34" s="13" t="s">
        <v>70</v>
      </c>
    </row>
    <row r="35" ht="15.75" customHeight="1">
      <c r="A35" s="36">
        <v>33.0</v>
      </c>
      <c r="B35" s="31" t="s">
        <v>328</v>
      </c>
      <c r="C35" s="12" t="s">
        <v>329</v>
      </c>
      <c r="D35" s="12" t="s">
        <v>55</v>
      </c>
      <c r="E35" s="12" t="s">
        <v>48</v>
      </c>
      <c r="F35" s="12" t="s">
        <v>73</v>
      </c>
      <c r="G35" s="37" t="s">
        <v>315</v>
      </c>
      <c r="H35" s="11"/>
      <c r="I35" s="11"/>
      <c r="J35" s="13" t="s">
        <v>330</v>
      </c>
      <c r="K35" s="13" t="s">
        <v>331</v>
      </c>
      <c r="L35" s="32" t="s">
        <v>332</v>
      </c>
      <c r="M35" s="13" t="s">
        <v>48</v>
      </c>
      <c r="N35" s="13" t="s">
        <v>329</v>
      </c>
      <c r="O35" s="13" t="s">
        <v>333</v>
      </c>
      <c r="P35" s="13">
        <v>2024.0</v>
      </c>
      <c r="Q35" s="13" t="s">
        <v>55</v>
      </c>
      <c r="R35" s="13" t="s">
        <v>56</v>
      </c>
      <c r="S35" s="13" t="s">
        <v>57</v>
      </c>
      <c r="T35" s="13" t="s">
        <v>250</v>
      </c>
      <c r="U35" s="13" t="s">
        <v>59</v>
      </c>
      <c r="V35" s="13">
        <v>7.0</v>
      </c>
      <c r="Z35" s="24" t="s">
        <v>60</v>
      </c>
      <c r="AA35" s="24" t="s">
        <v>61</v>
      </c>
      <c r="AB35" s="24" t="s">
        <v>62</v>
      </c>
      <c r="AC35" s="24" t="s">
        <v>63</v>
      </c>
      <c r="AD35" s="24" t="s">
        <v>64</v>
      </c>
      <c r="AE35" s="24"/>
      <c r="AF35" s="24" t="s">
        <v>65</v>
      </c>
      <c r="AG35" s="26" t="s">
        <v>258</v>
      </c>
      <c r="AH35" s="13" t="s">
        <v>334</v>
      </c>
      <c r="AI35" s="38">
        <v>45261.0</v>
      </c>
      <c r="AJ35" s="38">
        <v>45281.0</v>
      </c>
      <c r="AK35" s="13" t="s">
        <v>70</v>
      </c>
    </row>
    <row r="36" ht="15.75" customHeight="1">
      <c r="A36" s="36">
        <v>34.0</v>
      </c>
      <c r="B36" s="31" t="s">
        <v>335</v>
      </c>
      <c r="C36" s="12" t="s">
        <v>336</v>
      </c>
      <c r="D36" s="12" t="s">
        <v>55</v>
      </c>
      <c r="E36" s="12" t="s">
        <v>48</v>
      </c>
      <c r="F36" s="12" t="s">
        <v>73</v>
      </c>
      <c r="G36" s="37" t="s">
        <v>315</v>
      </c>
      <c r="H36" s="11"/>
      <c r="I36" s="11"/>
      <c r="J36" s="13" t="s">
        <v>337</v>
      </c>
      <c r="K36" s="13" t="s">
        <v>338</v>
      </c>
      <c r="L36" s="32" t="s">
        <v>339</v>
      </c>
      <c r="M36" s="13" t="s">
        <v>48</v>
      </c>
      <c r="N36" s="13" t="s">
        <v>336</v>
      </c>
      <c r="O36" s="13" t="s">
        <v>340</v>
      </c>
      <c r="P36" s="13">
        <v>2026.0</v>
      </c>
      <c r="Q36" s="13" t="s">
        <v>55</v>
      </c>
      <c r="R36" s="13" t="s">
        <v>56</v>
      </c>
      <c r="S36" s="13" t="s">
        <v>57</v>
      </c>
      <c r="T36" s="13" t="s">
        <v>250</v>
      </c>
      <c r="U36" s="13" t="s">
        <v>59</v>
      </c>
      <c r="V36" s="13">
        <v>7.0</v>
      </c>
      <c r="Z36" s="24" t="s">
        <v>60</v>
      </c>
      <c r="AA36" s="24" t="s">
        <v>61</v>
      </c>
      <c r="AB36" s="24" t="s">
        <v>62</v>
      </c>
      <c r="AC36" s="24" t="s">
        <v>63</v>
      </c>
      <c r="AD36" s="24" t="s">
        <v>64</v>
      </c>
      <c r="AE36" s="24"/>
      <c r="AF36" s="24" t="s">
        <v>65</v>
      </c>
      <c r="AG36" s="26" t="s">
        <v>258</v>
      </c>
      <c r="AI36" s="38">
        <v>45980.0</v>
      </c>
      <c r="AJ36" s="38">
        <v>46000.0</v>
      </c>
      <c r="AK36" s="13" t="s">
        <v>70</v>
      </c>
    </row>
    <row r="37" ht="15.75" customHeight="1">
      <c r="A37" s="36">
        <v>35.0</v>
      </c>
      <c r="B37" s="31" t="s">
        <v>341</v>
      </c>
      <c r="C37" s="12" t="s">
        <v>342</v>
      </c>
      <c r="D37" s="12" t="s">
        <v>55</v>
      </c>
      <c r="E37" s="12" t="s">
        <v>48</v>
      </c>
      <c r="F37" s="12" t="s">
        <v>73</v>
      </c>
      <c r="G37" s="37" t="s">
        <v>315</v>
      </c>
      <c r="H37" s="11"/>
      <c r="I37" s="11"/>
      <c r="J37" s="13" t="s">
        <v>343</v>
      </c>
      <c r="K37" s="13" t="s">
        <v>344</v>
      </c>
      <c r="L37" s="32" t="s">
        <v>345</v>
      </c>
      <c r="M37" s="13" t="s">
        <v>48</v>
      </c>
      <c r="N37" s="13" t="s">
        <v>342</v>
      </c>
      <c r="O37" s="13" t="s">
        <v>346</v>
      </c>
      <c r="P37" s="13">
        <v>2024.0</v>
      </c>
      <c r="Q37" s="13" t="s">
        <v>55</v>
      </c>
      <c r="R37" s="13" t="s">
        <v>56</v>
      </c>
      <c r="S37" s="13" t="s">
        <v>57</v>
      </c>
      <c r="T37" s="13" t="s">
        <v>250</v>
      </c>
      <c r="U37" s="13" t="s">
        <v>59</v>
      </c>
      <c r="V37" s="13">
        <v>7.0</v>
      </c>
      <c r="Z37" s="24" t="s">
        <v>60</v>
      </c>
      <c r="AA37" s="24" t="s">
        <v>61</v>
      </c>
      <c r="AB37" s="24" t="s">
        <v>62</v>
      </c>
      <c r="AC37" s="24" t="s">
        <v>63</v>
      </c>
      <c r="AD37" s="24" t="s">
        <v>64</v>
      </c>
      <c r="AE37" s="24"/>
      <c r="AF37" s="24" t="s">
        <v>65</v>
      </c>
      <c r="AG37" s="26" t="s">
        <v>258</v>
      </c>
      <c r="AK37" s="13" t="s">
        <v>70</v>
      </c>
    </row>
    <row r="38" ht="15.75" customHeight="1">
      <c r="A38" s="36">
        <v>36.0</v>
      </c>
      <c r="B38" s="31" t="s">
        <v>347</v>
      </c>
      <c r="C38" s="12" t="s">
        <v>348</v>
      </c>
      <c r="D38" s="12" t="s">
        <v>55</v>
      </c>
      <c r="E38" s="12" t="s">
        <v>48</v>
      </c>
      <c r="F38" s="12" t="s">
        <v>73</v>
      </c>
      <c r="G38" s="12" t="s">
        <v>315</v>
      </c>
      <c r="H38" s="11"/>
      <c r="I38" s="11"/>
      <c r="J38" s="13" t="s">
        <v>349</v>
      </c>
      <c r="K38" s="13" t="s">
        <v>350</v>
      </c>
      <c r="L38" s="32" t="s">
        <v>351</v>
      </c>
      <c r="M38" s="13" t="s">
        <v>48</v>
      </c>
      <c r="N38" s="13" t="s">
        <v>348</v>
      </c>
      <c r="O38" s="13" t="s">
        <v>352</v>
      </c>
      <c r="P38" s="13">
        <v>2024.0</v>
      </c>
      <c r="Q38" s="13" t="s">
        <v>55</v>
      </c>
      <c r="R38" s="13" t="s">
        <v>56</v>
      </c>
      <c r="S38" s="13" t="s">
        <v>57</v>
      </c>
      <c r="T38" s="13" t="s">
        <v>250</v>
      </c>
      <c r="U38" s="13" t="s">
        <v>59</v>
      </c>
      <c r="V38" s="13">
        <v>7.0</v>
      </c>
      <c r="Z38" s="24" t="s">
        <v>60</v>
      </c>
      <c r="AA38" s="24" t="s">
        <v>61</v>
      </c>
      <c r="AB38" s="24" t="s">
        <v>62</v>
      </c>
      <c r="AC38" s="24" t="s">
        <v>63</v>
      </c>
      <c r="AD38" s="24" t="s">
        <v>64</v>
      </c>
      <c r="AE38" s="24"/>
      <c r="AF38" s="24" t="s">
        <v>65</v>
      </c>
      <c r="AG38" s="26" t="s">
        <v>258</v>
      </c>
      <c r="AH38" s="13" t="s">
        <v>353</v>
      </c>
      <c r="AI38" s="39">
        <v>45261.0</v>
      </c>
      <c r="AJ38" s="39">
        <v>45281.0</v>
      </c>
      <c r="AK38" s="13" t="s">
        <v>70</v>
      </c>
    </row>
    <row r="39" ht="15.75" customHeight="1">
      <c r="A39" s="36">
        <v>37.0</v>
      </c>
      <c r="B39" s="31" t="s">
        <v>354</v>
      </c>
      <c r="C39" s="12" t="s">
        <v>355</v>
      </c>
      <c r="D39" s="12" t="s">
        <v>55</v>
      </c>
      <c r="E39" s="12" t="s">
        <v>48</v>
      </c>
      <c r="F39" s="12" t="s">
        <v>73</v>
      </c>
      <c r="G39" s="12" t="s">
        <v>315</v>
      </c>
      <c r="H39" s="11"/>
      <c r="I39" s="11"/>
      <c r="J39" s="13" t="s">
        <v>356</v>
      </c>
      <c r="K39" s="13" t="s">
        <v>357</v>
      </c>
      <c r="L39" s="32" t="s">
        <v>358</v>
      </c>
      <c r="M39" s="13" t="s">
        <v>48</v>
      </c>
      <c r="N39" s="13" t="s">
        <v>355</v>
      </c>
      <c r="O39" s="13" t="s">
        <v>359</v>
      </c>
      <c r="P39" s="13">
        <v>2026.0</v>
      </c>
      <c r="Q39" s="13" t="s">
        <v>55</v>
      </c>
      <c r="R39" s="13" t="s">
        <v>56</v>
      </c>
      <c r="S39" s="13" t="s">
        <v>57</v>
      </c>
      <c r="T39" s="13" t="s">
        <v>250</v>
      </c>
      <c r="U39" s="13" t="s">
        <v>59</v>
      </c>
      <c r="V39" s="13">
        <v>7.0</v>
      </c>
      <c r="Z39" s="24" t="s">
        <v>60</v>
      </c>
      <c r="AA39" s="24" t="s">
        <v>61</v>
      </c>
      <c r="AB39" s="24" t="s">
        <v>62</v>
      </c>
      <c r="AC39" s="24" t="s">
        <v>63</v>
      </c>
      <c r="AD39" s="24" t="s">
        <v>64</v>
      </c>
      <c r="AE39" s="24"/>
      <c r="AF39" s="24" t="s">
        <v>65</v>
      </c>
      <c r="AG39" s="26" t="s">
        <v>258</v>
      </c>
      <c r="AH39" s="13" t="s">
        <v>360</v>
      </c>
      <c r="AI39" s="39">
        <v>45757.0</v>
      </c>
      <c r="AJ39" s="39">
        <v>45777.0</v>
      </c>
      <c r="AK39" s="13" t="s">
        <v>70</v>
      </c>
    </row>
    <row r="40" ht="15.75" customHeight="1">
      <c r="A40" s="36">
        <v>38.0</v>
      </c>
      <c r="B40" s="31" t="s">
        <v>361</v>
      </c>
      <c r="C40" s="12" t="s">
        <v>362</v>
      </c>
      <c r="D40" s="12" t="s">
        <v>55</v>
      </c>
      <c r="E40" s="12" t="s">
        <v>48</v>
      </c>
      <c r="F40" s="12" t="s">
        <v>73</v>
      </c>
      <c r="G40" s="12" t="s">
        <v>315</v>
      </c>
      <c r="H40" s="11"/>
      <c r="I40" s="11"/>
      <c r="J40" s="13" t="s">
        <v>363</v>
      </c>
      <c r="K40" s="13" t="s">
        <v>364</v>
      </c>
      <c r="L40" s="32" t="s">
        <v>365</v>
      </c>
      <c r="M40" s="13" t="s">
        <v>48</v>
      </c>
      <c r="N40" s="13" t="s">
        <v>362</v>
      </c>
      <c r="O40" s="13" t="s">
        <v>366</v>
      </c>
      <c r="P40" s="13">
        <v>2025.0</v>
      </c>
      <c r="Q40" s="13" t="s">
        <v>55</v>
      </c>
      <c r="R40" s="13" t="s">
        <v>56</v>
      </c>
      <c r="S40" s="13" t="s">
        <v>57</v>
      </c>
      <c r="T40" s="13" t="s">
        <v>250</v>
      </c>
      <c r="U40" s="13" t="s">
        <v>59</v>
      </c>
      <c r="V40" s="13">
        <v>7.0</v>
      </c>
      <c r="Z40" s="24" t="s">
        <v>60</v>
      </c>
      <c r="AA40" s="24" t="s">
        <v>61</v>
      </c>
      <c r="AB40" s="24" t="s">
        <v>62</v>
      </c>
      <c r="AC40" s="24" t="s">
        <v>63</v>
      </c>
      <c r="AD40" s="24" t="s">
        <v>64</v>
      </c>
      <c r="AE40" s="24"/>
      <c r="AF40" s="24" t="s">
        <v>65</v>
      </c>
      <c r="AG40" s="26" t="s">
        <v>258</v>
      </c>
      <c r="AH40" s="13" t="s">
        <v>367</v>
      </c>
      <c r="AI40" s="39">
        <v>45404.0</v>
      </c>
      <c r="AJ40" s="39">
        <v>45424.0</v>
      </c>
      <c r="AK40" s="13" t="s">
        <v>70</v>
      </c>
    </row>
    <row r="41" ht="15.75" customHeight="1">
      <c r="A41" s="36">
        <v>39.0</v>
      </c>
      <c r="B41" s="31" t="s">
        <v>368</v>
      </c>
      <c r="C41" s="12" t="s">
        <v>369</v>
      </c>
      <c r="D41" s="12" t="s">
        <v>55</v>
      </c>
      <c r="E41" s="12" t="s">
        <v>48</v>
      </c>
      <c r="F41" s="12" t="s">
        <v>73</v>
      </c>
      <c r="G41" s="12" t="s">
        <v>315</v>
      </c>
      <c r="H41" s="11"/>
      <c r="I41" s="11"/>
      <c r="J41" s="13" t="s">
        <v>370</v>
      </c>
      <c r="K41" s="13" t="s">
        <v>371</v>
      </c>
      <c r="L41" s="32" t="s">
        <v>372</v>
      </c>
      <c r="M41" s="13" t="s">
        <v>48</v>
      </c>
      <c r="N41" s="13" t="s">
        <v>369</v>
      </c>
      <c r="O41" s="13" t="s">
        <v>373</v>
      </c>
      <c r="P41" s="13">
        <v>2023.0</v>
      </c>
      <c r="Q41" s="13" t="s">
        <v>55</v>
      </c>
      <c r="R41" s="13" t="s">
        <v>56</v>
      </c>
      <c r="S41" s="13" t="s">
        <v>57</v>
      </c>
      <c r="T41" s="13" t="s">
        <v>250</v>
      </c>
      <c r="U41" s="13" t="s">
        <v>59</v>
      </c>
      <c r="V41" s="13">
        <v>7.0</v>
      </c>
      <c r="Z41" s="24" t="s">
        <v>60</v>
      </c>
      <c r="AA41" s="24" t="s">
        <v>61</v>
      </c>
      <c r="AB41" s="24" t="s">
        <v>62</v>
      </c>
      <c r="AC41" s="24" t="s">
        <v>63</v>
      </c>
      <c r="AD41" s="24" t="s">
        <v>64</v>
      </c>
      <c r="AE41" s="24"/>
      <c r="AF41" s="24" t="s">
        <v>65</v>
      </c>
      <c r="AG41" s="26" t="s">
        <v>258</v>
      </c>
      <c r="AH41" s="13" t="s">
        <v>374</v>
      </c>
      <c r="AI41" s="39">
        <v>44640.0</v>
      </c>
      <c r="AJ41" s="39">
        <v>44660.0</v>
      </c>
      <c r="AK41" s="13" t="s">
        <v>70</v>
      </c>
    </row>
    <row r="42" ht="15.75" customHeight="1">
      <c r="A42" s="36">
        <v>40.0</v>
      </c>
      <c r="B42" s="31" t="s">
        <v>375</v>
      </c>
      <c r="C42" s="12" t="s">
        <v>376</v>
      </c>
      <c r="D42" s="12" t="s">
        <v>377</v>
      </c>
      <c r="E42" s="12" t="s">
        <v>48</v>
      </c>
      <c r="F42" s="12" t="s">
        <v>73</v>
      </c>
      <c r="G42" s="12" t="s">
        <v>315</v>
      </c>
      <c r="H42" s="11"/>
      <c r="I42" s="11"/>
      <c r="J42" s="13" t="s">
        <v>378</v>
      </c>
      <c r="K42" s="13" t="s">
        <v>379</v>
      </c>
      <c r="L42" s="32" t="s">
        <v>380</v>
      </c>
      <c r="M42" s="13" t="s">
        <v>48</v>
      </c>
      <c r="N42" s="13" t="s">
        <v>376</v>
      </c>
      <c r="O42" s="13" t="s">
        <v>381</v>
      </c>
      <c r="P42" s="13">
        <v>2024.0</v>
      </c>
      <c r="Q42" s="13" t="s">
        <v>55</v>
      </c>
      <c r="R42" s="13" t="s">
        <v>56</v>
      </c>
      <c r="S42" s="13" t="s">
        <v>57</v>
      </c>
      <c r="T42" s="13" t="s">
        <v>250</v>
      </c>
      <c r="U42" s="13" t="s">
        <v>59</v>
      </c>
      <c r="V42" s="13">
        <v>7.0</v>
      </c>
      <c r="Z42" s="24" t="s">
        <v>60</v>
      </c>
      <c r="AA42" s="24" t="s">
        <v>61</v>
      </c>
      <c r="AB42" s="24" t="s">
        <v>62</v>
      </c>
      <c r="AC42" s="24" t="s">
        <v>63</v>
      </c>
      <c r="AD42" s="24" t="s">
        <v>64</v>
      </c>
      <c r="AE42" s="24"/>
      <c r="AF42" s="24" t="s">
        <v>65</v>
      </c>
      <c r="AG42" s="26" t="s">
        <v>258</v>
      </c>
      <c r="AH42" s="13" t="s">
        <v>382</v>
      </c>
      <c r="AI42" s="39">
        <v>45039.0</v>
      </c>
      <c r="AJ42" s="39">
        <v>45059.0</v>
      </c>
      <c r="AK42" s="13" t="s">
        <v>70</v>
      </c>
    </row>
    <row r="43" ht="15.75" customHeight="1">
      <c r="A43" s="36">
        <v>41.0</v>
      </c>
      <c r="B43" s="31" t="s">
        <v>383</v>
      </c>
      <c r="C43" s="12" t="s">
        <v>384</v>
      </c>
      <c r="D43" s="12" t="s">
        <v>377</v>
      </c>
      <c r="E43" s="12" t="s">
        <v>48</v>
      </c>
      <c r="F43" s="12" t="s">
        <v>73</v>
      </c>
      <c r="G43" s="12" t="s">
        <v>315</v>
      </c>
      <c r="H43" s="11"/>
      <c r="I43" s="11"/>
      <c r="J43" s="13" t="s">
        <v>385</v>
      </c>
      <c r="K43" s="12" t="s">
        <v>386</v>
      </c>
      <c r="L43" s="32" t="s">
        <v>387</v>
      </c>
      <c r="M43" s="13" t="s">
        <v>48</v>
      </c>
      <c r="N43" s="12" t="s">
        <v>384</v>
      </c>
      <c r="O43" s="13" t="s">
        <v>388</v>
      </c>
      <c r="P43" s="13">
        <v>2026.0</v>
      </c>
      <c r="Q43" s="13" t="s">
        <v>55</v>
      </c>
      <c r="R43" s="13" t="s">
        <v>56</v>
      </c>
      <c r="S43" s="13" t="s">
        <v>57</v>
      </c>
      <c r="T43" s="13" t="s">
        <v>250</v>
      </c>
      <c r="U43" s="13" t="s">
        <v>59</v>
      </c>
      <c r="V43" s="13">
        <v>7.0</v>
      </c>
      <c r="Z43" s="24" t="s">
        <v>60</v>
      </c>
      <c r="AA43" s="24" t="s">
        <v>61</v>
      </c>
      <c r="AB43" s="24" t="s">
        <v>62</v>
      </c>
      <c r="AC43" s="24" t="s">
        <v>63</v>
      </c>
      <c r="AD43" s="24" t="s">
        <v>64</v>
      </c>
      <c r="AE43" s="24"/>
      <c r="AF43" s="24" t="s">
        <v>65</v>
      </c>
      <c r="AG43" s="26" t="s">
        <v>258</v>
      </c>
    </row>
    <row r="44" ht="15.75" customHeight="1">
      <c r="A44" s="36">
        <v>42.0</v>
      </c>
      <c r="B44" s="31" t="s">
        <v>389</v>
      </c>
      <c r="C44" s="12" t="s">
        <v>390</v>
      </c>
      <c r="D44" s="12" t="s">
        <v>377</v>
      </c>
      <c r="E44" s="12" t="s">
        <v>48</v>
      </c>
      <c r="F44" s="12" t="s">
        <v>73</v>
      </c>
      <c r="G44" s="12" t="s">
        <v>315</v>
      </c>
      <c r="H44" s="11"/>
      <c r="I44" s="11"/>
      <c r="J44" s="13" t="s">
        <v>391</v>
      </c>
      <c r="K44" s="12" t="s">
        <v>392</v>
      </c>
      <c r="L44" s="32" t="s">
        <v>393</v>
      </c>
      <c r="M44" s="13" t="s">
        <v>48</v>
      </c>
      <c r="N44" s="12" t="s">
        <v>390</v>
      </c>
      <c r="O44" s="13" t="s">
        <v>394</v>
      </c>
      <c r="P44" s="13">
        <v>2026.0</v>
      </c>
      <c r="Q44" s="13" t="s">
        <v>55</v>
      </c>
      <c r="R44" s="13" t="s">
        <v>56</v>
      </c>
      <c r="S44" s="13" t="s">
        <v>57</v>
      </c>
      <c r="T44" s="13" t="s">
        <v>250</v>
      </c>
      <c r="U44" s="13" t="s">
        <v>59</v>
      </c>
      <c r="V44" s="13">
        <v>7.0</v>
      </c>
      <c r="Z44" s="24" t="s">
        <v>60</v>
      </c>
      <c r="AA44" s="24" t="s">
        <v>61</v>
      </c>
      <c r="AB44" s="24" t="s">
        <v>62</v>
      </c>
      <c r="AC44" s="24" t="s">
        <v>63</v>
      </c>
      <c r="AD44" s="24" t="s">
        <v>64</v>
      </c>
      <c r="AE44" s="24"/>
      <c r="AF44" s="24" t="s">
        <v>65</v>
      </c>
      <c r="AG44" s="26" t="s">
        <v>258</v>
      </c>
    </row>
    <row r="45" ht="15.75" customHeight="1">
      <c r="A45" s="36">
        <v>43.0</v>
      </c>
      <c r="B45" s="31" t="s">
        <v>395</v>
      </c>
      <c r="C45" s="12" t="s">
        <v>396</v>
      </c>
      <c r="D45" s="12" t="s">
        <v>377</v>
      </c>
      <c r="E45" s="12" t="s">
        <v>48</v>
      </c>
      <c r="F45" s="12" t="s">
        <v>73</v>
      </c>
      <c r="G45" s="12" t="s">
        <v>315</v>
      </c>
      <c r="H45" s="11"/>
      <c r="I45" s="11"/>
      <c r="J45" s="13" t="s">
        <v>397</v>
      </c>
      <c r="K45" s="12" t="s">
        <v>398</v>
      </c>
      <c r="L45" s="32" t="s">
        <v>399</v>
      </c>
      <c r="M45" s="13" t="s">
        <v>48</v>
      </c>
      <c r="N45" s="12" t="s">
        <v>396</v>
      </c>
      <c r="O45" s="13" t="s">
        <v>400</v>
      </c>
      <c r="P45" s="13">
        <v>2024.0</v>
      </c>
      <c r="Q45" s="13" t="s">
        <v>55</v>
      </c>
      <c r="R45" s="13" t="s">
        <v>56</v>
      </c>
      <c r="S45" s="13" t="s">
        <v>57</v>
      </c>
      <c r="T45" s="13" t="s">
        <v>250</v>
      </c>
      <c r="U45" s="13" t="s">
        <v>59</v>
      </c>
      <c r="V45" s="13">
        <v>7.0</v>
      </c>
      <c r="Z45" s="24" t="s">
        <v>60</v>
      </c>
      <c r="AA45" s="24" t="s">
        <v>61</v>
      </c>
      <c r="AB45" s="24" t="s">
        <v>62</v>
      </c>
      <c r="AC45" s="24" t="s">
        <v>63</v>
      </c>
      <c r="AD45" s="24" t="s">
        <v>64</v>
      </c>
      <c r="AE45" s="24"/>
      <c r="AF45" s="24" t="s">
        <v>65</v>
      </c>
      <c r="AG45" s="26" t="s">
        <v>258</v>
      </c>
    </row>
    <row r="46" ht="15.75" customHeight="1">
      <c r="A46" s="36">
        <v>44.0</v>
      </c>
      <c r="B46" s="31" t="s">
        <v>401</v>
      </c>
      <c r="C46" s="12" t="s">
        <v>402</v>
      </c>
      <c r="D46" s="12" t="s">
        <v>377</v>
      </c>
      <c r="E46" s="12" t="s">
        <v>48</v>
      </c>
      <c r="F46" s="12" t="s">
        <v>73</v>
      </c>
      <c r="G46" s="12" t="s">
        <v>315</v>
      </c>
      <c r="H46" s="11"/>
      <c r="I46" s="11"/>
      <c r="J46" s="13" t="s">
        <v>403</v>
      </c>
      <c r="K46" s="12" t="s">
        <v>404</v>
      </c>
      <c r="L46" s="32" t="s">
        <v>405</v>
      </c>
      <c r="M46" s="13" t="s">
        <v>48</v>
      </c>
      <c r="N46" s="12" t="s">
        <v>402</v>
      </c>
      <c r="O46" s="13" t="s">
        <v>406</v>
      </c>
      <c r="P46" s="13">
        <v>2023.0</v>
      </c>
      <c r="Q46" s="13" t="s">
        <v>55</v>
      </c>
      <c r="R46" s="13" t="s">
        <v>56</v>
      </c>
      <c r="S46" s="13" t="s">
        <v>57</v>
      </c>
      <c r="T46" s="13" t="s">
        <v>250</v>
      </c>
      <c r="U46" s="13" t="s">
        <v>59</v>
      </c>
      <c r="V46" s="13">
        <v>7.0</v>
      </c>
      <c r="Z46" s="24" t="s">
        <v>60</v>
      </c>
      <c r="AA46" s="24" t="s">
        <v>61</v>
      </c>
      <c r="AB46" s="24" t="s">
        <v>62</v>
      </c>
      <c r="AC46" s="24" t="s">
        <v>63</v>
      </c>
      <c r="AD46" s="24" t="s">
        <v>64</v>
      </c>
      <c r="AE46" s="24"/>
      <c r="AF46" s="24" t="s">
        <v>65</v>
      </c>
      <c r="AG46" s="26" t="s">
        <v>258</v>
      </c>
    </row>
    <row r="47" ht="15.75" customHeight="1">
      <c r="A47" s="36">
        <v>45.0</v>
      </c>
      <c r="B47" s="31" t="s">
        <v>407</v>
      </c>
      <c r="C47" s="12" t="s">
        <v>408</v>
      </c>
      <c r="D47" s="12" t="s">
        <v>377</v>
      </c>
      <c r="E47" s="12" t="s">
        <v>48</v>
      </c>
      <c r="F47" s="12" t="s">
        <v>73</v>
      </c>
      <c r="G47" s="12" t="s">
        <v>315</v>
      </c>
      <c r="H47" s="11"/>
      <c r="I47" s="11"/>
      <c r="J47" s="13" t="s">
        <v>409</v>
      </c>
      <c r="K47" s="12" t="s">
        <v>410</v>
      </c>
      <c r="L47" s="32" t="s">
        <v>411</v>
      </c>
      <c r="M47" s="13" t="s">
        <v>48</v>
      </c>
      <c r="N47" s="12" t="s">
        <v>408</v>
      </c>
      <c r="O47" s="13" t="s">
        <v>412</v>
      </c>
      <c r="P47" s="13">
        <v>2023.0</v>
      </c>
      <c r="Q47" s="13" t="s">
        <v>55</v>
      </c>
      <c r="R47" s="13" t="s">
        <v>56</v>
      </c>
      <c r="S47" s="13" t="s">
        <v>57</v>
      </c>
      <c r="T47" s="13" t="s">
        <v>250</v>
      </c>
      <c r="U47" s="13" t="s">
        <v>59</v>
      </c>
      <c r="V47" s="13">
        <v>7.0</v>
      </c>
      <c r="Z47" s="24" t="s">
        <v>60</v>
      </c>
      <c r="AA47" s="24" t="s">
        <v>61</v>
      </c>
      <c r="AB47" s="24" t="s">
        <v>62</v>
      </c>
      <c r="AC47" s="24" t="s">
        <v>63</v>
      </c>
      <c r="AD47" s="24" t="s">
        <v>64</v>
      </c>
      <c r="AE47" s="24"/>
      <c r="AF47" s="24" t="s">
        <v>65</v>
      </c>
      <c r="AG47" s="26" t="s">
        <v>258</v>
      </c>
    </row>
    <row r="48" ht="15.75" customHeight="1">
      <c r="A48" s="9"/>
      <c r="B48" s="40"/>
      <c r="C48" s="11"/>
      <c r="D48" s="11"/>
      <c r="E48" s="11"/>
      <c r="F48" s="11"/>
      <c r="G48" s="11"/>
      <c r="H48" s="11"/>
      <c r="I48" s="11"/>
      <c r="L48" s="15"/>
    </row>
    <row r="49" ht="15.75" customHeight="1">
      <c r="A49" s="9"/>
      <c r="B49" s="40"/>
      <c r="C49" s="11"/>
      <c r="D49" s="11"/>
      <c r="E49" s="11"/>
      <c r="F49" s="11"/>
      <c r="G49" s="11"/>
      <c r="H49" s="11"/>
      <c r="I49" s="11"/>
      <c r="L49" s="15"/>
    </row>
    <row r="50" ht="15.75" customHeight="1">
      <c r="A50" s="9"/>
      <c r="B50" s="40"/>
      <c r="C50" s="11"/>
      <c r="D50" s="11"/>
      <c r="E50" s="11"/>
      <c r="F50" s="11"/>
      <c r="G50" s="11"/>
      <c r="H50" s="11"/>
      <c r="I50" s="11"/>
      <c r="L50" s="15"/>
    </row>
    <row r="51" ht="15.75" customHeight="1">
      <c r="A51" s="9"/>
      <c r="B51" s="40"/>
      <c r="C51" s="11"/>
      <c r="D51" s="11"/>
      <c r="E51" s="11"/>
      <c r="F51" s="11"/>
      <c r="G51" s="11"/>
      <c r="H51" s="11"/>
      <c r="I51" s="11"/>
      <c r="L51" s="15"/>
    </row>
    <row r="52" ht="15.75" customHeight="1">
      <c r="A52" s="9"/>
      <c r="B52" s="40"/>
      <c r="C52" s="11"/>
      <c r="D52" s="11"/>
      <c r="E52" s="11"/>
      <c r="F52" s="11"/>
      <c r="G52" s="11"/>
      <c r="H52" s="11"/>
      <c r="I52" s="11"/>
      <c r="L52" s="15"/>
    </row>
    <row r="53" ht="15.75" customHeight="1">
      <c r="A53" s="9"/>
      <c r="B53" s="40"/>
      <c r="C53" s="11"/>
      <c r="D53" s="11"/>
      <c r="E53" s="11"/>
      <c r="F53" s="11"/>
      <c r="G53" s="11"/>
      <c r="H53" s="11"/>
      <c r="I53" s="11"/>
      <c r="L53" s="15"/>
    </row>
    <row r="54" ht="15.75" customHeight="1">
      <c r="A54" s="9"/>
      <c r="B54" s="40"/>
      <c r="C54" s="11"/>
      <c r="D54" s="11"/>
      <c r="E54" s="11"/>
      <c r="F54" s="11"/>
      <c r="G54" s="11"/>
      <c r="H54" s="11"/>
      <c r="I54" s="11"/>
      <c r="L54" s="15"/>
    </row>
    <row r="55" ht="15.75" customHeight="1">
      <c r="A55" s="9"/>
      <c r="B55" s="40"/>
      <c r="C55" s="11"/>
      <c r="D55" s="11"/>
      <c r="E55" s="11"/>
      <c r="F55" s="11"/>
      <c r="G55" s="11"/>
      <c r="H55" s="11"/>
      <c r="I55" s="11"/>
      <c r="L55" s="15"/>
    </row>
    <row r="56" ht="15.75" customHeight="1">
      <c r="A56" s="9"/>
      <c r="B56" s="40"/>
      <c r="C56" s="11"/>
      <c r="D56" s="11"/>
      <c r="E56" s="11"/>
      <c r="F56" s="11"/>
      <c r="G56" s="11"/>
      <c r="H56" s="11"/>
      <c r="I56" s="11"/>
      <c r="L56" s="15"/>
    </row>
    <row r="57" ht="15.75" customHeight="1">
      <c r="A57" s="9"/>
      <c r="B57" s="40"/>
      <c r="C57" s="11"/>
      <c r="D57" s="11"/>
      <c r="E57" s="11"/>
      <c r="F57" s="11"/>
      <c r="G57" s="11"/>
      <c r="H57" s="11"/>
      <c r="I57" s="11"/>
      <c r="L57" s="15"/>
    </row>
    <row r="58" ht="15.75" customHeight="1">
      <c r="A58" s="9"/>
      <c r="B58" s="40"/>
      <c r="C58" s="11"/>
      <c r="D58" s="11"/>
      <c r="E58" s="11"/>
      <c r="F58" s="11"/>
      <c r="G58" s="11"/>
      <c r="H58" s="11"/>
      <c r="I58" s="11"/>
      <c r="L58" s="15"/>
    </row>
    <row r="59" ht="15.75" customHeight="1">
      <c r="A59" s="9"/>
      <c r="B59" s="40"/>
      <c r="C59" s="11"/>
      <c r="D59" s="11"/>
      <c r="E59" s="11"/>
      <c r="F59" s="11"/>
      <c r="G59" s="11"/>
      <c r="H59" s="11"/>
      <c r="I59" s="11"/>
      <c r="L59" s="15"/>
    </row>
    <row r="60" ht="15.75" customHeight="1">
      <c r="A60" s="9"/>
      <c r="B60" s="40"/>
      <c r="C60" s="11"/>
      <c r="D60" s="11"/>
      <c r="E60" s="11"/>
      <c r="F60" s="11"/>
      <c r="G60" s="11"/>
      <c r="H60" s="11"/>
      <c r="I60" s="11"/>
      <c r="L60" s="15"/>
    </row>
    <row r="61" ht="15.75" customHeight="1">
      <c r="A61" s="9"/>
      <c r="B61" s="40"/>
      <c r="C61" s="11"/>
      <c r="D61" s="11"/>
      <c r="E61" s="11"/>
      <c r="F61" s="11"/>
      <c r="G61" s="11"/>
      <c r="H61" s="11"/>
      <c r="I61" s="11"/>
      <c r="L61" s="15"/>
    </row>
    <row r="62" ht="15.75" customHeight="1">
      <c r="A62" s="9"/>
      <c r="B62" s="40"/>
      <c r="C62" s="11"/>
      <c r="D62" s="11"/>
      <c r="E62" s="11"/>
      <c r="F62" s="11"/>
      <c r="G62" s="11"/>
      <c r="H62" s="11"/>
      <c r="I62" s="11"/>
      <c r="L62" s="15"/>
    </row>
    <row r="63" ht="15.75" customHeight="1">
      <c r="A63" s="9"/>
      <c r="B63" s="40"/>
      <c r="C63" s="11"/>
      <c r="D63" s="11"/>
      <c r="E63" s="11"/>
      <c r="F63" s="11"/>
      <c r="G63" s="11"/>
      <c r="H63" s="11"/>
      <c r="I63" s="11"/>
      <c r="L63" s="15"/>
    </row>
    <row r="64" ht="15.75" customHeight="1">
      <c r="A64" s="9"/>
      <c r="B64" s="40"/>
      <c r="C64" s="11"/>
      <c r="D64" s="11"/>
      <c r="E64" s="11"/>
      <c r="F64" s="11"/>
      <c r="G64" s="11"/>
      <c r="H64" s="11"/>
      <c r="I64" s="11"/>
      <c r="L64" s="15"/>
    </row>
    <row r="65" ht="15.75" customHeight="1">
      <c r="A65" s="9"/>
      <c r="B65" s="40"/>
      <c r="C65" s="11"/>
      <c r="D65" s="11"/>
      <c r="E65" s="11"/>
      <c r="F65" s="11"/>
      <c r="G65" s="11"/>
      <c r="H65" s="11"/>
      <c r="I65" s="11"/>
      <c r="L65" s="15"/>
    </row>
    <row r="66" ht="15.75" customHeight="1">
      <c r="A66" s="9"/>
      <c r="B66" s="40"/>
      <c r="C66" s="11"/>
      <c r="D66" s="11"/>
      <c r="E66" s="11"/>
      <c r="F66" s="11"/>
      <c r="G66" s="11"/>
      <c r="H66" s="11"/>
      <c r="I66" s="11"/>
      <c r="L66" s="15"/>
    </row>
    <row r="67" ht="15.75" customHeight="1">
      <c r="A67" s="9"/>
      <c r="B67" s="40"/>
      <c r="C67" s="11"/>
      <c r="D67" s="11"/>
      <c r="E67" s="11"/>
      <c r="F67" s="11"/>
      <c r="G67" s="11"/>
      <c r="H67" s="11"/>
      <c r="I67" s="11"/>
      <c r="L67" s="15"/>
    </row>
    <row r="68" ht="15.75" customHeight="1">
      <c r="A68" s="9"/>
      <c r="B68" s="40"/>
      <c r="C68" s="11"/>
      <c r="D68" s="11"/>
      <c r="E68" s="11"/>
      <c r="F68" s="11"/>
      <c r="G68" s="11"/>
      <c r="H68" s="11"/>
      <c r="I68" s="11"/>
      <c r="L68" s="15"/>
    </row>
    <row r="69" ht="15.75" customHeight="1">
      <c r="A69" s="9"/>
      <c r="B69" s="40"/>
      <c r="C69" s="11"/>
      <c r="D69" s="11"/>
      <c r="E69" s="11"/>
      <c r="F69" s="11"/>
      <c r="G69" s="11"/>
      <c r="H69" s="11"/>
      <c r="I69" s="11"/>
      <c r="L69" s="15"/>
    </row>
    <row r="70" ht="15.75" customHeight="1">
      <c r="A70" s="9"/>
      <c r="B70" s="40"/>
      <c r="C70" s="11"/>
      <c r="D70" s="11"/>
      <c r="E70" s="11"/>
      <c r="F70" s="11"/>
      <c r="G70" s="11"/>
      <c r="H70" s="11"/>
      <c r="I70" s="11"/>
      <c r="L70" s="15"/>
    </row>
    <row r="71" ht="15.75" customHeight="1">
      <c r="A71" s="9"/>
      <c r="B71" s="40"/>
      <c r="C71" s="11"/>
      <c r="D71" s="11"/>
      <c r="E71" s="11"/>
      <c r="F71" s="11"/>
      <c r="G71" s="11"/>
      <c r="H71" s="11"/>
      <c r="I71" s="11"/>
      <c r="L71" s="15"/>
    </row>
    <row r="72" ht="15.75" customHeight="1">
      <c r="A72" s="9"/>
      <c r="B72" s="40"/>
      <c r="C72" s="11"/>
      <c r="D72" s="11"/>
      <c r="E72" s="11"/>
      <c r="F72" s="11"/>
      <c r="G72" s="11"/>
      <c r="H72" s="11"/>
      <c r="I72" s="11"/>
      <c r="L72" s="15"/>
    </row>
    <row r="73" ht="15.75" customHeight="1">
      <c r="A73" s="9"/>
      <c r="B73" s="40"/>
      <c r="C73" s="11"/>
      <c r="D73" s="11"/>
      <c r="E73" s="11"/>
      <c r="F73" s="11"/>
      <c r="G73" s="11"/>
      <c r="H73" s="11"/>
      <c r="I73" s="11"/>
      <c r="L73" s="15"/>
    </row>
    <row r="74" ht="15.75" customHeight="1">
      <c r="A74" s="9"/>
      <c r="B74" s="40"/>
      <c r="C74" s="11"/>
      <c r="D74" s="11"/>
      <c r="E74" s="11"/>
      <c r="F74" s="11"/>
      <c r="G74" s="11"/>
      <c r="H74" s="11"/>
      <c r="I74" s="11"/>
      <c r="L74" s="15"/>
    </row>
    <row r="75" ht="15.75" customHeight="1">
      <c r="A75" s="9"/>
      <c r="B75" s="40"/>
      <c r="C75" s="11"/>
      <c r="D75" s="11"/>
      <c r="E75" s="11"/>
      <c r="F75" s="11"/>
      <c r="G75" s="11"/>
      <c r="H75" s="11"/>
      <c r="I75" s="11"/>
      <c r="L75" s="15"/>
    </row>
    <row r="76" ht="15.75" customHeight="1">
      <c r="A76" s="9"/>
      <c r="B76" s="40"/>
      <c r="C76" s="11"/>
      <c r="D76" s="11"/>
      <c r="E76" s="11"/>
      <c r="F76" s="11"/>
      <c r="G76" s="11"/>
      <c r="H76" s="11"/>
      <c r="I76" s="11"/>
      <c r="L76" s="15"/>
    </row>
    <row r="77" ht="15.75" customHeight="1">
      <c r="A77" s="9"/>
      <c r="B77" s="40"/>
      <c r="C77" s="11"/>
      <c r="D77" s="11"/>
      <c r="E77" s="11"/>
      <c r="F77" s="11"/>
      <c r="G77" s="11"/>
      <c r="H77" s="11"/>
      <c r="I77" s="11"/>
      <c r="L77" s="15"/>
    </row>
    <row r="78" ht="15.75" customHeight="1">
      <c r="A78" s="9"/>
      <c r="B78" s="40"/>
      <c r="C78" s="11"/>
      <c r="D78" s="11"/>
      <c r="E78" s="11"/>
      <c r="F78" s="11"/>
      <c r="G78" s="11"/>
      <c r="H78" s="11"/>
      <c r="I78" s="11"/>
      <c r="L78" s="15"/>
    </row>
    <row r="79" ht="15.75" customHeight="1">
      <c r="A79" s="9"/>
      <c r="B79" s="40"/>
      <c r="C79" s="11"/>
      <c r="D79" s="11"/>
      <c r="E79" s="11"/>
      <c r="F79" s="11"/>
      <c r="G79" s="11"/>
      <c r="H79" s="11"/>
      <c r="I79" s="11"/>
      <c r="L79" s="15"/>
    </row>
    <row r="80" ht="15.75" customHeight="1">
      <c r="A80" s="9"/>
      <c r="B80" s="40"/>
      <c r="C80" s="11"/>
      <c r="D80" s="11"/>
      <c r="E80" s="11"/>
      <c r="F80" s="11"/>
      <c r="G80" s="11"/>
      <c r="H80" s="11"/>
      <c r="I80" s="11"/>
      <c r="L80" s="15"/>
    </row>
    <row r="81" ht="15.75" customHeight="1">
      <c r="A81" s="9"/>
      <c r="B81" s="40"/>
      <c r="C81" s="11"/>
      <c r="D81" s="11"/>
      <c r="E81" s="11"/>
      <c r="F81" s="11"/>
      <c r="G81" s="11"/>
      <c r="H81" s="11"/>
      <c r="I81" s="11"/>
      <c r="L81" s="15"/>
    </row>
    <row r="82" ht="15.75" customHeight="1">
      <c r="A82" s="9"/>
      <c r="B82" s="40"/>
      <c r="C82" s="11"/>
      <c r="D82" s="11"/>
      <c r="E82" s="11"/>
      <c r="F82" s="11"/>
      <c r="G82" s="11"/>
      <c r="H82" s="11"/>
      <c r="I82" s="11"/>
      <c r="L82" s="15"/>
    </row>
    <row r="83" ht="15.75" customHeight="1">
      <c r="A83" s="9"/>
      <c r="B83" s="40"/>
      <c r="C83" s="11"/>
      <c r="D83" s="11"/>
      <c r="E83" s="11"/>
      <c r="F83" s="11"/>
      <c r="G83" s="11"/>
      <c r="H83" s="11"/>
      <c r="I83" s="11"/>
      <c r="L83" s="15"/>
    </row>
    <row r="84" ht="15.75" customHeight="1">
      <c r="A84" s="9"/>
      <c r="B84" s="40"/>
      <c r="C84" s="11"/>
      <c r="D84" s="11"/>
      <c r="E84" s="11"/>
      <c r="F84" s="11"/>
      <c r="G84" s="11"/>
      <c r="H84" s="11"/>
      <c r="I84" s="11"/>
      <c r="L84" s="15"/>
    </row>
    <row r="85" ht="15.75" customHeight="1">
      <c r="A85" s="9"/>
      <c r="B85" s="40"/>
      <c r="C85" s="11"/>
      <c r="D85" s="11"/>
      <c r="E85" s="11"/>
      <c r="F85" s="11"/>
      <c r="G85" s="11"/>
      <c r="H85" s="11"/>
      <c r="I85" s="11"/>
      <c r="L85" s="15"/>
    </row>
    <row r="86" ht="15.75" customHeight="1">
      <c r="A86" s="9"/>
      <c r="B86" s="40"/>
      <c r="C86" s="11"/>
      <c r="D86" s="11"/>
      <c r="E86" s="11"/>
      <c r="F86" s="11"/>
      <c r="G86" s="11"/>
      <c r="H86" s="11"/>
      <c r="I86" s="11"/>
      <c r="L86" s="15"/>
    </row>
    <row r="87" ht="15.75" customHeight="1">
      <c r="A87" s="9"/>
      <c r="B87" s="40"/>
      <c r="C87" s="11"/>
      <c r="D87" s="11"/>
      <c r="E87" s="11"/>
      <c r="F87" s="11"/>
      <c r="G87" s="11"/>
      <c r="H87" s="11"/>
      <c r="I87" s="11"/>
      <c r="L87" s="15"/>
    </row>
    <row r="88" ht="15.75" customHeight="1">
      <c r="A88" s="9"/>
      <c r="B88" s="40"/>
      <c r="C88" s="11"/>
      <c r="D88" s="11"/>
      <c r="E88" s="11"/>
      <c r="F88" s="11"/>
      <c r="G88" s="11"/>
      <c r="H88" s="11"/>
      <c r="I88" s="11"/>
      <c r="L88" s="15"/>
    </row>
    <row r="89" ht="15.75" customHeight="1">
      <c r="A89" s="9"/>
      <c r="B89" s="40"/>
      <c r="C89" s="11"/>
      <c r="D89" s="11"/>
      <c r="E89" s="11"/>
      <c r="F89" s="11"/>
      <c r="G89" s="11"/>
      <c r="H89" s="11"/>
      <c r="I89" s="11"/>
      <c r="L89" s="15"/>
    </row>
    <row r="90" ht="15.75" customHeight="1">
      <c r="A90" s="9"/>
      <c r="B90" s="40"/>
      <c r="C90" s="11"/>
      <c r="D90" s="11"/>
      <c r="E90" s="11"/>
      <c r="F90" s="11"/>
      <c r="G90" s="11"/>
      <c r="H90" s="11"/>
      <c r="I90" s="11"/>
      <c r="L90" s="15"/>
    </row>
    <row r="91" ht="15.75" customHeight="1">
      <c r="A91" s="9"/>
      <c r="B91" s="40"/>
      <c r="C91" s="11"/>
      <c r="D91" s="11"/>
      <c r="E91" s="11"/>
      <c r="F91" s="11"/>
      <c r="G91" s="11"/>
      <c r="H91" s="11"/>
      <c r="I91" s="11"/>
      <c r="L91" s="15"/>
    </row>
    <row r="92" ht="15.75" customHeight="1">
      <c r="A92" s="9"/>
      <c r="B92" s="40"/>
      <c r="C92" s="11"/>
      <c r="D92" s="11"/>
      <c r="E92" s="11"/>
      <c r="F92" s="11"/>
      <c r="G92" s="11"/>
      <c r="H92" s="11"/>
      <c r="I92" s="11"/>
      <c r="L92" s="15"/>
    </row>
    <row r="93" ht="15.75" customHeight="1">
      <c r="A93" s="9"/>
      <c r="B93" s="40"/>
      <c r="C93" s="11"/>
      <c r="D93" s="11"/>
      <c r="E93" s="11"/>
      <c r="F93" s="11"/>
      <c r="G93" s="11"/>
      <c r="H93" s="11"/>
      <c r="I93" s="11"/>
      <c r="L93" s="15"/>
    </row>
    <row r="94" ht="15.75" customHeight="1">
      <c r="A94" s="9"/>
      <c r="B94" s="40"/>
      <c r="C94" s="11"/>
      <c r="D94" s="11"/>
      <c r="E94" s="11"/>
      <c r="F94" s="11"/>
      <c r="G94" s="11"/>
      <c r="H94" s="11"/>
      <c r="I94" s="11"/>
      <c r="L94" s="15"/>
    </row>
    <row r="95" ht="15.75" customHeight="1">
      <c r="A95" s="9"/>
      <c r="B95" s="40"/>
      <c r="C95" s="11"/>
      <c r="D95" s="11"/>
      <c r="E95" s="11"/>
      <c r="F95" s="11"/>
      <c r="G95" s="11"/>
      <c r="H95" s="11"/>
      <c r="I95" s="11"/>
      <c r="L95" s="15"/>
    </row>
    <row r="96" ht="15.75" customHeight="1">
      <c r="A96" s="9"/>
      <c r="B96" s="40"/>
      <c r="C96" s="11"/>
      <c r="D96" s="11"/>
      <c r="E96" s="11"/>
      <c r="F96" s="11"/>
      <c r="G96" s="11"/>
      <c r="H96" s="11"/>
      <c r="I96" s="11"/>
      <c r="L96" s="15"/>
    </row>
    <row r="97" ht="15.75" customHeight="1">
      <c r="A97" s="9"/>
      <c r="B97" s="40"/>
      <c r="C97" s="11"/>
      <c r="D97" s="11"/>
      <c r="E97" s="11"/>
      <c r="F97" s="11"/>
      <c r="G97" s="11"/>
      <c r="H97" s="11"/>
      <c r="I97" s="11"/>
      <c r="L97" s="15"/>
    </row>
    <row r="98" ht="15.75" customHeight="1">
      <c r="A98" s="9"/>
      <c r="B98" s="40"/>
      <c r="C98" s="11"/>
      <c r="D98" s="11"/>
      <c r="E98" s="11"/>
      <c r="F98" s="11"/>
      <c r="G98" s="11"/>
      <c r="H98" s="11"/>
      <c r="I98" s="11"/>
      <c r="L98" s="15"/>
    </row>
    <row r="99" ht="15.75" customHeight="1">
      <c r="A99" s="9"/>
      <c r="B99" s="40"/>
      <c r="C99" s="11"/>
      <c r="D99" s="11"/>
      <c r="E99" s="11"/>
      <c r="F99" s="11"/>
      <c r="G99" s="11"/>
      <c r="H99" s="11"/>
      <c r="I99" s="11"/>
      <c r="L99" s="15"/>
    </row>
    <row r="100" ht="15.75" customHeight="1">
      <c r="A100" s="9"/>
      <c r="B100" s="40"/>
      <c r="C100" s="11"/>
      <c r="D100" s="11"/>
      <c r="E100" s="11"/>
      <c r="F100" s="11"/>
      <c r="G100" s="11"/>
      <c r="H100" s="11"/>
      <c r="I100" s="11"/>
      <c r="L100" s="15"/>
    </row>
    <row r="101" ht="15.75" customHeight="1">
      <c r="A101" s="9"/>
      <c r="B101" s="40"/>
      <c r="C101" s="11"/>
      <c r="D101" s="11"/>
      <c r="E101" s="11"/>
      <c r="F101" s="11"/>
      <c r="G101" s="11"/>
      <c r="H101" s="11"/>
      <c r="I101" s="11"/>
      <c r="L101" s="15"/>
    </row>
    <row r="102" ht="15.75" customHeight="1">
      <c r="A102" s="9"/>
      <c r="B102" s="40"/>
      <c r="C102" s="11"/>
      <c r="D102" s="11"/>
      <c r="E102" s="11"/>
      <c r="F102" s="11"/>
      <c r="G102" s="11"/>
      <c r="H102" s="11"/>
      <c r="I102" s="11"/>
      <c r="L102" s="15"/>
    </row>
    <row r="103" ht="15.75" customHeight="1">
      <c r="A103" s="9"/>
      <c r="B103" s="40"/>
      <c r="C103" s="11"/>
      <c r="D103" s="11"/>
      <c r="E103" s="11"/>
      <c r="F103" s="11"/>
      <c r="G103" s="11"/>
      <c r="H103" s="11"/>
      <c r="I103" s="11"/>
      <c r="L103" s="15"/>
    </row>
    <row r="104" ht="15.75" customHeight="1">
      <c r="A104" s="9"/>
      <c r="B104" s="40"/>
      <c r="C104" s="11"/>
      <c r="D104" s="11"/>
      <c r="E104" s="11"/>
      <c r="F104" s="11"/>
      <c r="G104" s="11"/>
      <c r="H104" s="11"/>
      <c r="I104" s="11"/>
      <c r="L104" s="15"/>
    </row>
    <row r="105" ht="15.75" customHeight="1">
      <c r="A105" s="9"/>
      <c r="B105" s="40"/>
      <c r="C105" s="11"/>
      <c r="D105" s="11"/>
      <c r="E105" s="11"/>
      <c r="F105" s="11"/>
      <c r="G105" s="11"/>
      <c r="H105" s="11"/>
      <c r="I105" s="11"/>
      <c r="L105" s="15"/>
    </row>
    <row r="106" ht="15.75" customHeight="1">
      <c r="A106" s="9"/>
      <c r="B106" s="40"/>
      <c r="C106" s="11"/>
      <c r="D106" s="11"/>
      <c r="E106" s="11"/>
      <c r="F106" s="11"/>
      <c r="G106" s="11"/>
      <c r="H106" s="11"/>
      <c r="I106" s="11"/>
      <c r="L106" s="15"/>
    </row>
    <row r="107" ht="15.75" customHeight="1">
      <c r="A107" s="9"/>
      <c r="B107" s="40"/>
      <c r="C107" s="11"/>
      <c r="D107" s="11"/>
      <c r="E107" s="11"/>
      <c r="F107" s="11"/>
      <c r="G107" s="11"/>
      <c r="H107" s="11"/>
      <c r="I107" s="11"/>
      <c r="L107" s="15"/>
    </row>
    <row r="108" ht="15.75" customHeight="1">
      <c r="A108" s="9"/>
      <c r="B108" s="40"/>
      <c r="C108" s="11"/>
      <c r="D108" s="11"/>
      <c r="E108" s="11"/>
      <c r="F108" s="11"/>
      <c r="G108" s="11"/>
      <c r="H108" s="11"/>
      <c r="I108" s="11"/>
      <c r="L108" s="15"/>
    </row>
    <row r="109" ht="15.75" customHeight="1">
      <c r="A109" s="9"/>
      <c r="B109" s="40"/>
      <c r="C109" s="11"/>
      <c r="D109" s="11"/>
      <c r="E109" s="11"/>
      <c r="F109" s="11"/>
      <c r="G109" s="11"/>
      <c r="H109" s="11"/>
      <c r="I109" s="11"/>
      <c r="L109" s="15"/>
    </row>
    <row r="110" ht="15.75" customHeight="1">
      <c r="A110" s="9"/>
      <c r="B110" s="40"/>
      <c r="C110" s="11"/>
      <c r="D110" s="11"/>
      <c r="E110" s="11"/>
      <c r="F110" s="11"/>
      <c r="G110" s="11"/>
      <c r="H110" s="11"/>
      <c r="I110" s="11"/>
      <c r="L110" s="15"/>
    </row>
    <row r="111" ht="15.75" customHeight="1">
      <c r="A111" s="9"/>
      <c r="B111" s="40"/>
      <c r="C111" s="11"/>
      <c r="D111" s="11"/>
      <c r="E111" s="11"/>
      <c r="F111" s="11"/>
      <c r="G111" s="11"/>
      <c r="H111" s="11"/>
      <c r="I111" s="11"/>
      <c r="L111" s="15"/>
    </row>
    <row r="112" ht="15.75" customHeight="1">
      <c r="A112" s="9"/>
      <c r="B112" s="40"/>
      <c r="C112" s="11"/>
      <c r="D112" s="11"/>
      <c r="E112" s="11"/>
      <c r="F112" s="11"/>
      <c r="G112" s="11"/>
      <c r="H112" s="11"/>
      <c r="I112" s="11"/>
      <c r="L112" s="15"/>
    </row>
    <row r="113" ht="15.75" customHeight="1">
      <c r="A113" s="9"/>
      <c r="B113" s="40"/>
      <c r="C113" s="11"/>
      <c r="D113" s="11"/>
      <c r="E113" s="11"/>
      <c r="F113" s="11"/>
      <c r="G113" s="11"/>
      <c r="H113" s="11"/>
      <c r="I113" s="11"/>
      <c r="L113" s="15"/>
    </row>
    <row r="114" ht="15.75" customHeight="1">
      <c r="A114" s="9"/>
      <c r="B114" s="40"/>
      <c r="C114" s="11"/>
      <c r="D114" s="11"/>
      <c r="E114" s="11"/>
      <c r="F114" s="11"/>
      <c r="G114" s="11"/>
      <c r="H114" s="11"/>
      <c r="I114" s="11"/>
      <c r="L114" s="15"/>
    </row>
    <row r="115" ht="15.75" customHeight="1">
      <c r="A115" s="9"/>
      <c r="B115" s="40"/>
      <c r="C115" s="11"/>
      <c r="D115" s="11"/>
      <c r="E115" s="11"/>
      <c r="F115" s="11"/>
      <c r="G115" s="11"/>
      <c r="H115" s="11"/>
      <c r="I115" s="11"/>
      <c r="L115" s="15"/>
    </row>
    <row r="116" ht="15.75" customHeight="1">
      <c r="A116" s="9"/>
      <c r="B116" s="40"/>
      <c r="C116" s="11"/>
      <c r="D116" s="11"/>
      <c r="E116" s="11"/>
      <c r="F116" s="11"/>
      <c r="G116" s="11"/>
      <c r="H116" s="11"/>
      <c r="I116" s="11"/>
      <c r="L116" s="15"/>
    </row>
    <row r="117" ht="15.75" customHeight="1">
      <c r="A117" s="9"/>
      <c r="B117" s="40"/>
      <c r="C117" s="11"/>
      <c r="D117" s="11"/>
      <c r="E117" s="11"/>
      <c r="F117" s="11"/>
      <c r="G117" s="11"/>
      <c r="H117" s="11"/>
      <c r="I117" s="11"/>
      <c r="L117" s="15"/>
    </row>
    <row r="118" ht="15.75" customHeight="1">
      <c r="A118" s="9"/>
      <c r="B118" s="40"/>
      <c r="C118" s="11"/>
      <c r="D118" s="11"/>
      <c r="E118" s="11"/>
      <c r="F118" s="11"/>
      <c r="G118" s="11"/>
      <c r="H118" s="11"/>
      <c r="I118" s="11"/>
      <c r="L118" s="15"/>
    </row>
    <row r="119" ht="15.75" customHeight="1">
      <c r="A119" s="9"/>
      <c r="B119" s="40"/>
      <c r="C119" s="11"/>
      <c r="D119" s="11"/>
      <c r="E119" s="11"/>
      <c r="F119" s="11"/>
      <c r="G119" s="11"/>
      <c r="H119" s="11"/>
      <c r="I119" s="11"/>
      <c r="L119" s="15"/>
    </row>
    <row r="120" ht="15.75" customHeight="1">
      <c r="A120" s="9"/>
      <c r="B120" s="40"/>
      <c r="C120" s="11"/>
      <c r="D120" s="11"/>
      <c r="E120" s="11"/>
      <c r="F120" s="11"/>
      <c r="G120" s="11"/>
      <c r="H120" s="11"/>
      <c r="I120" s="11"/>
      <c r="L120" s="15"/>
    </row>
    <row r="121" ht="15.75" customHeight="1">
      <c r="A121" s="9"/>
      <c r="B121" s="40"/>
      <c r="C121" s="11"/>
      <c r="D121" s="11"/>
      <c r="E121" s="11"/>
      <c r="F121" s="11"/>
      <c r="G121" s="11"/>
      <c r="H121" s="11"/>
      <c r="I121" s="11"/>
      <c r="L121" s="15"/>
    </row>
    <row r="122" ht="15.75" customHeight="1">
      <c r="A122" s="9"/>
      <c r="B122" s="40"/>
      <c r="C122" s="11"/>
      <c r="D122" s="11"/>
      <c r="E122" s="11"/>
      <c r="F122" s="11"/>
      <c r="G122" s="11"/>
      <c r="H122" s="11"/>
      <c r="I122" s="11"/>
      <c r="L122" s="15"/>
    </row>
    <row r="123" ht="15.75" customHeight="1">
      <c r="A123" s="9"/>
      <c r="B123" s="40"/>
      <c r="C123" s="11"/>
      <c r="D123" s="11"/>
      <c r="E123" s="11"/>
      <c r="F123" s="11"/>
      <c r="G123" s="11"/>
      <c r="H123" s="11"/>
      <c r="I123" s="11"/>
      <c r="L123" s="15"/>
    </row>
    <row r="124" ht="15.75" customHeight="1">
      <c r="A124" s="9"/>
      <c r="B124" s="40"/>
      <c r="C124" s="11"/>
      <c r="D124" s="11"/>
      <c r="E124" s="11"/>
      <c r="F124" s="11"/>
      <c r="G124" s="11"/>
      <c r="H124" s="11"/>
      <c r="I124" s="11"/>
      <c r="L124" s="15"/>
    </row>
    <row r="125" ht="15.75" customHeight="1">
      <c r="A125" s="9"/>
      <c r="B125" s="40"/>
      <c r="C125" s="11"/>
      <c r="D125" s="11"/>
      <c r="E125" s="11"/>
      <c r="F125" s="11"/>
      <c r="G125" s="11"/>
      <c r="H125" s="11"/>
      <c r="I125" s="11"/>
      <c r="L125" s="15"/>
    </row>
    <row r="126" ht="15.75" customHeight="1">
      <c r="A126" s="9"/>
      <c r="B126" s="40"/>
      <c r="C126" s="11"/>
      <c r="D126" s="11"/>
      <c r="E126" s="11"/>
      <c r="F126" s="11"/>
      <c r="G126" s="11"/>
      <c r="H126" s="11"/>
      <c r="I126" s="11"/>
      <c r="L126" s="15"/>
    </row>
    <row r="127" ht="15.75" customHeight="1">
      <c r="A127" s="9"/>
      <c r="B127" s="40"/>
      <c r="C127" s="11"/>
      <c r="D127" s="11"/>
      <c r="E127" s="11"/>
      <c r="F127" s="11"/>
      <c r="G127" s="11"/>
      <c r="H127" s="11"/>
      <c r="I127" s="11"/>
      <c r="L127" s="15"/>
    </row>
    <row r="128" ht="15.75" customHeight="1">
      <c r="A128" s="9"/>
      <c r="B128" s="40"/>
      <c r="C128" s="11"/>
      <c r="D128" s="11"/>
      <c r="E128" s="11"/>
      <c r="F128" s="11"/>
      <c r="G128" s="11"/>
      <c r="H128" s="11"/>
      <c r="I128" s="11"/>
      <c r="L128" s="15"/>
    </row>
    <row r="129" ht="15.75" customHeight="1">
      <c r="A129" s="9"/>
      <c r="B129" s="40"/>
      <c r="C129" s="11"/>
      <c r="D129" s="11"/>
      <c r="E129" s="11"/>
      <c r="F129" s="11"/>
      <c r="G129" s="11"/>
      <c r="H129" s="11"/>
      <c r="I129" s="11"/>
      <c r="L129" s="15"/>
    </row>
    <row r="130" ht="15.75" customHeight="1">
      <c r="A130" s="9"/>
      <c r="B130" s="40"/>
      <c r="C130" s="11"/>
      <c r="D130" s="11"/>
      <c r="E130" s="11"/>
      <c r="F130" s="11"/>
      <c r="G130" s="11"/>
      <c r="H130" s="11"/>
      <c r="I130" s="11"/>
      <c r="L130" s="15"/>
    </row>
    <row r="131" ht="15.75" customHeight="1">
      <c r="A131" s="9"/>
      <c r="B131" s="40"/>
      <c r="C131" s="11"/>
      <c r="D131" s="11"/>
      <c r="E131" s="11"/>
      <c r="F131" s="11"/>
      <c r="G131" s="11"/>
      <c r="H131" s="11"/>
      <c r="I131" s="11"/>
      <c r="L131" s="15"/>
    </row>
    <row r="132" ht="15.75" customHeight="1">
      <c r="A132" s="9"/>
      <c r="B132" s="40"/>
      <c r="C132" s="11"/>
      <c r="D132" s="11"/>
      <c r="E132" s="11"/>
      <c r="F132" s="11"/>
      <c r="G132" s="11"/>
      <c r="H132" s="11"/>
      <c r="I132" s="11"/>
      <c r="L132" s="15"/>
    </row>
    <row r="133" ht="15.75" customHeight="1">
      <c r="A133" s="9"/>
      <c r="B133" s="40"/>
      <c r="C133" s="11"/>
      <c r="D133" s="11"/>
      <c r="E133" s="11"/>
      <c r="F133" s="11"/>
      <c r="G133" s="11"/>
      <c r="H133" s="11"/>
      <c r="I133" s="11"/>
      <c r="L133" s="15"/>
    </row>
    <row r="134" ht="15.75" customHeight="1">
      <c r="A134" s="9"/>
      <c r="B134" s="40"/>
      <c r="C134" s="11"/>
      <c r="D134" s="11"/>
      <c r="E134" s="11"/>
      <c r="F134" s="11"/>
      <c r="G134" s="11"/>
      <c r="H134" s="11"/>
      <c r="I134" s="11"/>
      <c r="L134" s="15"/>
    </row>
    <row r="135" ht="15.75" customHeight="1">
      <c r="A135" s="9"/>
      <c r="B135" s="40"/>
      <c r="C135" s="11"/>
      <c r="D135" s="11"/>
      <c r="E135" s="11"/>
      <c r="F135" s="11"/>
      <c r="G135" s="11"/>
      <c r="H135" s="11"/>
      <c r="I135" s="11"/>
      <c r="L135" s="15"/>
    </row>
    <row r="136" ht="15.75" customHeight="1">
      <c r="A136" s="9"/>
      <c r="B136" s="40"/>
      <c r="C136" s="11"/>
      <c r="D136" s="11"/>
      <c r="E136" s="11"/>
      <c r="F136" s="11"/>
      <c r="G136" s="11"/>
      <c r="H136" s="11"/>
      <c r="I136" s="11"/>
      <c r="L136" s="15"/>
    </row>
    <row r="137" ht="15.75" customHeight="1">
      <c r="A137" s="9"/>
      <c r="B137" s="40"/>
      <c r="C137" s="11"/>
      <c r="D137" s="11"/>
      <c r="E137" s="11"/>
      <c r="F137" s="11"/>
      <c r="G137" s="11"/>
      <c r="H137" s="11"/>
      <c r="I137" s="11"/>
      <c r="L137" s="15"/>
    </row>
    <row r="138" ht="15.75" customHeight="1">
      <c r="A138" s="9"/>
      <c r="B138" s="40"/>
      <c r="C138" s="11"/>
      <c r="D138" s="11"/>
      <c r="E138" s="11"/>
      <c r="F138" s="11"/>
      <c r="G138" s="11"/>
      <c r="H138" s="11"/>
      <c r="I138" s="11"/>
      <c r="L138" s="15"/>
    </row>
    <row r="139" ht="15.75" customHeight="1">
      <c r="A139" s="9"/>
      <c r="B139" s="40"/>
      <c r="C139" s="11"/>
      <c r="D139" s="11"/>
      <c r="E139" s="11"/>
      <c r="F139" s="11"/>
      <c r="G139" s="11"/>
      <c r="H139" s="11"/>
      <c r="I139" s="11"/>
      <c r="L139" s="15"/>
    </row>
    <row r="140" ht="15.75" customHeight="1">
      <c r="A140" s="9"/>
      <c r="B140" s="40"/>
      <c r="C140" s="11"/>
      <c r="D140" s="11"/>
      <c r="E140" s="11"/>
      <c r="F140" s="11"/>
      <c r="G140" s="11"/>
      <c r="H140" s="11"/>
      <c r="I140" s="11"/>
      <c r="L140" s="15"/>
    </row>
    <row r="141" ht="15.75" customHeight="1">
      <c r="A141" s="9"/>
      <c r="B141" s="40"/>
      <c r="C141" s="11"/>
      <c r="D141" s="11"/>
      <c r="E141" s="11"/>
      <c r="F141" s="11"/>
      <c r="G141" s="11"/>
      <c r="H141" s="11"/>
      <c r="I141" s="11"/>
      <c r="L141" s="15"/>
    </row>
    <row r="142" ht="15.75" customHeight="1">
      <c r="A142" s="9"/>
      <c r="B142" s="40"/>
      <c r="C142" s="11"/>
      <c r="D142" s="11"/>
      <c r="E142" s="11"/>
      <c r="F142" s="11"/>
      <c r="G142" s="11"/>
      <c r="H142" s="11"/>
      <c r="I142" s="11"/>
      <c r="L142" s="15"/>
    </row>
    <row r="143" ht="15.75" customHeight="1">
      <c r="A143" s="9"/>
      <c r="B143" s="40"/>
      <c r="C143" s="11"/>
      <c r="D143" s="11"/>
      <c r="E143" s="11"/>
      <c r="F143" s="11"/>
      <c r="G143" s="11"/>
      <c r="H143" s="11"/>
      <c r="I143" s="11"/>
      <c r="L143" s="15"/>
    </row>
    <row r="144" ht="15.75" customHeight="1">
      <c r="A144" s="9"/>
      <c r="B144" s="40"/>
      <c r="C144" s="11"/>
      <c r="D144" s="11"/>
      <c r="E144" s="11"/>
      <c r="F144" s="11"/>
      <c r="G144" s="11"/>
      <c r="H144" s="11"/>
      <c r="I144" s="11"/>
      <c r="L144" s="15"/>
    </row>
    <row r="145" ht="15.75" customHeight="1">
      <c r="A145" s="9"/>
      <c r="B145" s="40"/>
      <c r="C145" s="11"/>
      <c r="D145" s="11"/>
      <c r="E145" s="11"/>
      <c r="F145" s="11"/>
      <c r="G145" s="11"/>
      <c r="H145" s="11"/>
      <c r="I145" s="11"/>
      <c r="L145" s="15"/>
    </row>
    <row r="146" ht="15.75" customHeight="1">
      <c r="A146" s="9"/>
      <c r="B146" s="40"/>
      <c r="C146" s="11"/>
      <c r="D146" s="11"/>
      <c r="E146" s="11"/>
      <c r="F146" s="11"/>
      <c r="G146" s="11"/>
      <c r="H146" s="11"/>
      <c r="I146" s="11"/>
      <c r="L146" s="15"/>
    </row>
    <row r="147" ht="15.75" customHeight="1">
      <c r="A147" s="9"/>
      <c r="B147" s="40"/>
      <c r="C147" s="11"/>
      <c r="D147" s="11"/>
      <c r="E147" s="11"/>
      <c r="F147" s="11"/>
      <c r="G147" s="11"/>
      <c r="H147" s="11"/>
      <c r="I147" s="11"/>
      <c r="L147" s="15"/>
    </row>
    <row r="148" ht="15.75" customHeight="1">
      <c r="A148" s="9"/>
      <c r="B148" s="40"/>
      <c r="C148" s="11"/>
      <c r="D148" s="11"/>
      <c r="E148" s="11"/>
      <c r="F148" s="11"/>
      <c r="G148" s="11"/>
      <c r="H148" s="11"/>
      <c r="I148" s="11"/>
      <c r="L148" s="15"/>
    </row>
    <row r="149" ht="15.75" customHeight="1">
      <c r="A149" s="9"/>
      <c r="B149" s="40"/>
      <c r="C149" s="11"/>
      <c r="D149" s="11"/>
      <c r="E149" s="11"/>
      <c r="F149" s="11"/>
      <c r="G149" s="11"/>
      <c r="H149" s="11"/>
      <c r="I149" s="11"/>
      <c r="L149" s="15"/>
    </row>
    <row r="150" ht="15.75" customHeight="1">
      <c r="A150" s="9"/>
      <c r="B150" s="40"/>
      <c r="C150" s="11"/>
      <c r="D150" s="11"/>
      <c r="E150" s="11"/>
      <c r="F150" s="11"/>
      <c r="G150" s="11"/>
      <c r="H150" s="11"/>
      <c r="I150" s="11"/>
      <c r="L150" s="15"/>
    </row>
    <row r="151" ht="15.75" customHeight="1">
      <c r="A151" s="9"/>
      <c r="B151" s="40"/>
      <c r="C151" s="11"/>
      <c r="D151" s="11"/>
      <c r="E151" s="11"/>
      <c r="F151" s="11"/>
      <c r="G151" s="11"/>
      <c r="H151" s="11"/>
      <c r="I151" s="11"/>
      <c r="L151" s="15"/>
    </row>
    <row r="152" ht="15.75" customHeight="1">
      <c r="A152" s="9"/>
      <c r="B152" s="40"/>
      <c r="C152" s="11"/>
      <c r="D152" s="11"/>
      <c r="E152" s="11"/>
      <c r="F152" s="11"/>
      <c r="G152" s="11"/>
      <c r="H152" s="11"/>
      <c r="I152" s="11"/>
      <c r="L152" s="15"/>
    </row>
    <row r="153" ht="15.75" customHeight="1">
      <c r="A153" s="9"/>
      <c r="B153" s="40"/>
      <c r="C153" s="11"/>
      <c r="D153" s="11"/>
      <c r="E153" s="11"/>
      <c r="F153" s="11"/>
      <c r="G153" s="11"/>
      <c r="H153" s="11"/>
      <c r="I153" s="11"/>
      <c r="L153" s="15"/>
    </row>
    <row r="154" ht="15.75" customHeight="1">
      <c r="A154" s="9"/>
      <c r="B154" s="40"/>
      <c r="C154" s="11"/>
      <c r="D154" s="11"/>
      <c r="E154" s="11"/>
      <c r="F154" s="11"/>
      <c r="G154" s="11"/>
      <c r="H154" s="11"/>
      <c r="I154" s="11"/>
      <c r="L154" s="15"/>
    </row>
    <row r="155" ht="15.75" customHeight="1">
      <c r="A155" s="9"/>
      <c r="B155" s="40"/>
      <c r="C155" s="11"/>
      <c r="D155" s="11"/>
      <c r="E155" s="11"/>
      <c r="F155" s="11"/>
      <c r="G155" s="11"/>
      <c r="H155" s="11"/>
      <c r="I155" s="11"/>
      <c r="L155" s="15"/>
    </row>
    <row r="156" ht="15.75" customHeight="1">
      <c r="A156" s="9"/>
      <c r="B156" s="40"/>
      <c r="C156" s="11"/>
      <c r="D156" s="11"/>
      <c r="E156" s="11"/>
      <c r="F156" s="11"/>
      <c r="G156" s="11"/>
      <c r="H156" s="11"/>
      <c r="I156" s="11"/>
      <c r="L156" s="15"/>
    </row>
    <row r="157" ht="15.75" customHeight="1">
      <c r="A157" s="9"/>
      <c r="B157" s="40"/>
      <c r="C157" s="11"/>
      <c r="D157" s="11"/>
      <c r="E157" s="11"/>
      <c r="F157" s="11"/>
      <c r="G157" s="11"/>
      <c r="H157" s="11"/>
      <c r="I157" s="11"/>
      <c r="L157" s="15"/>
    </row>
    <row r="158" ht="15.75" customHeight="1">
      <c r="A158" s="9"/>
      <c r="B158" s="40"/>
      <c r="C158" s="11"/>
      <c r="D158" s="11"/>
      <c r="E158" s="11"/>
      <c r="F158" s="11"/>
      <c r="G158" s="11"/>
      <c r="H158" s="11"/>
      <c r="I158" s="11"/>
      <c r="L158" s="15"/>
    </row>
    <row r="159" ht="15.75" customHeight="1">
      <c r="A159" s="9"/>
      <c r="B159" s="40"/>
      <c r="C159" s="11"/>
      <c r="D159" s="11"/>
      <c r="E159" s="11"/>
      <c r="F159" s="11"/>
      <c r="G159" s="11"/>
      <c r="H159" s="11"/>
      <c r="I159" s="11"/>
      <c r="L159" s="15"/>
    </row>
    <row r="160" ht="15.75" customHeight="1">
      <c r="A160" s="9"/>
      <c r="B160" s="40"/>
      <c r="C160" s="11"/>
      <c r="D160" s="11"/>
      <c r="E160" s="11"/>
      <c r="F160" s="11"/>
      <c r="G160" s="11"/>
      <c r="H160" s="11"/>
      <c r="I160" s="11"/>
      <c r="L160" s="15"/>
    </row>
    <row r="161" ht="15.75" customHeight="1">
      <c r="A161" s="9"/>
      <c r="B161" s="40"/>
      <c r="C161" s="11"/>
      <c r="D161" s="11"/>
      <c r="E161" s="11"/>
      <c r="F161" s="11"/>
      <c r="G161" s="11"/>
      <c r="H161" s="11"/>
      <c r="I161" s="11"/>
      <c r="L161" s="15"/>
    </row>
    <row r="162" ht="15.75" customHeight="1">
      <c r="A162" s="9"/>
      <c r="B162" s="40"/>
      <c r="C162" s="11"/>
      <c r="D162" s="11"/>
      <c r="E162" s="11"/>
      <c r="F162" s="11"/>
      <c r="G162" s="11"/>
      <c r="H162" s="11"/>
      <c r="I162" s="11"/>
      <c r="L162" s="15"/>
    </row>
    <row r="163" ht="15.75" customHeight="1">
      <c r="A163" s="9"/>
      <c r="B163" s="40"/>
      <c r="C163" s="11"/>
      <c r="D163" s="11"/>
      <c r="E163" s="11"/>
      <c r="F163" s="11"/>
      <c r="G163" s="11"/>
      <c r="H163" s="11"/>
      <c r="I163" s="11"/>
      <c r="L163" s="15"/>
    </row>
    <row r="164" ht="15.75" customHeight="1">
      <c r="A164" s="9"/>
      <c r="B164" s="40"/>
      <c r="C164" s="11"/>
      <c r="D164" s="11"/>
      <c r="E164" s="11"/>
      <c r="F164" s="11"/>
      <c r="G164" s="11"/>
      <c r="H164" s="11"/>
      <c r="I164" s="11"/>
      <c r="L164" s="15"/>
    </row>
    <row r="165" ht="15.75" customHeight="1">
      <c r="A165" s="9"/>
      <c r="B165" s="40"/>
      <c r="C165" s="11"/>
      <c r="D165" s="11"/>
      <c r="E165" s="11"/>
      <c r="F165" s="11"/>
      <c r="G165" s="11"/>
      <c r="H165" s="11"/>
      <c r="I165" s="11"/>
      <c r="L165" s="15"/>
    </row>
    <row r="166" ht="15.75" customHeight="1">
      <c r="A166" s="9"/>
      <c r="B166" s="40"/>
      <c r="C166" s="11"/>
      <c r="D166" s="11"/>
      <c r="E166" s="11"/>
      <c r="F166" s="11"/>
      <c r="G166" s="11"/>
      <c r="H166" s="11"/>
      <c r="I166" s="11"/>
      <c r="L166" s="15"/>
    </row>
    <row r="167" ht="15.75" customHeight="1">
      <c r="A167" s="9"/>
      <c r="B167" s="40"/>
      <c r="C167" s="11"/>
      <c r="D167" s="11"/>
      <c r="E167" s="11"/>
      <c r="F167" s="11"/>
      <c r="G167" s="11"/>
      <c r="H167" s="11"/>
      <c r="I167" s="11"/>
      <c r="L167" s="15"/>
    </row>
    <row r="168" ht="15.75" customHeight="1">
      <c r="A168" s="9"/>
      <c r="B168" s="40"/>
      <c r="C168" s="11"/>
      <c r="D168" s="11"/>
      <c r="E168" s="11"/>
      <c r="F168" s="11"/>
      <c r="G168" s="11"/>
      <c r="H168" s="11"/>
      <c r="I168" s="11"/>
      <c r="L168" s="15"/>
    </row>
    <row r="169" ht="15.75" customHeight="1">
      <c r="A169" s="9"/>
      <c r="B169" s="40"/>
      <c r="C169" s="11"/>
      <c r="D169" s="11"/>
      <c r="E169" s="11"/>
      <c r="F169" s="11"/>
      <c r="G169" s="11"/>
      <c r="H169" s="11"/>
      <c r="I169" s="11"/>
      <c r="L169" s="15"/>
    </row>
    <row r="170" ht="15.75" customHeight="1">
      <c r="A170" s="9"/>
      <c r="B170" s="40"/>
      <c r="C170" s="11"/>
      <c r="D170" s="11"/>
      <c r="E170" s="11"/>
      <c r="F170" s="11"/>
      <c r="G170" s="11"/>
      <c r="H170" s="11"/>
      <c r="I170" s="11"/>
      <c r="L170" s="15"/>
    </row>
    <row r="171" ht="15.75" customHeight="1">
      <c r="A171" s="9"/>
      <c r="B171" s="40"/>
      <c r="C171" s="11"/>
      <c r="D171" s="11"/>
      <c r="E171" s="11"/>
      <c r="F171" s="11"/>
      <c r="G171" s="11"/>
      <c r="H171" s="11"/>
      <c r="I171" s="11"/>
      <c r="L171" s="15"/>
    </row>
    <row r="172" ht="15.75" customHeight="1">
      <c r="A172" s="9"/>
      <c r="B172" s="40"/>
      <c r="C172" s="11"/>
      <c r="D172" s="11"/>
      <c r="E172" s="11"/>
      <c r="F172" s="11"/>
      <c r="G172" s="11"/>
      <c r="H172" s="11"/>
      <c r="I172" s="11"/>
      <c r="L172" s="15"/>
    </row>
    <row r="173" ht="15.75" customHeight="1">
      <c r="A173" s="9"/>
      <c r="B173" s="40"/>
      <c r="C173" s="11"/>
      <c r="D173" s="11"/>
      <c r="E173" s="11"/>
      <c r="F173" s="11"/>
      <c r="G173" s="11"/>
      <c r="H173" s="11"/>
      <c r="I173" s="11"/>
      <c r="L173" s="15"/>
    </row>
    <row r="174" ht="15.75" customHeight="1">
      <c r="A174" s="9"/>
      <c r="B174" s="40"/>
      <c r="C174" s="11"/>
      <c r="D174" s="11"/>
      <c r="E174" s="11"/>
      <c r="F174" s="11"/>
      <c r="G174" s="11"/>
      <c r="H174" s="11"/>
      <c r="I174" s="11"/>
      <c r="L174" s="15"/>
    </row>
    <row r="175" ht="15.75" customHeight="1">
      <c r="A175" s="9"/>
      <c r="B175" s="40"/>
      <c r="C175" s="11"/>
      <c r="D175" s="11"/>
      <c r="E175" s="11"/>
      <c r="F175" s="11"/>
      <c r="G175" s="11"/>
      <c r="H175" s="11"/>
      <c r="I175" s="11"/>
      <c r="L175" s="15"/>
    </row>
    <row r="176" ht="15.75" customHeight="1">
      <c r="A176" s="9"/>
      <c r="B176" s="40"/>
      <c r="C176" s="11"/>
      <c r="D176" s="11"/>
      <c r="E176" s="11"/>
      <c r="F176" s="11"/>
      <c r="G176" s="11"/>
      <c r="H176" s="11"/>
      <c r="I176" s="11"/>
      <c r="L176" s="15"/>
    </row>
    <row r="177" ht="15.75" customHeight="1">
      <c r="A177" s="9"/>
      <c r="B177" s="40"/>
      <c r="C177" s="11"/>
      <c r="D177" s="11"/>
      <c r="E177" s="11"/>
      <c r="F177" s="11"/>
      <c r="G177" s="11"/>
      <c r="H177" s="11"/>
      <c r="I177" s="11"/>
      <c r="L177" s="15"/>
    </row>
    <row r="178" ht="15.75" customHeight="1">
      <c r="A178" s="9"/>
      <c r="B178" s="40"/>
      <c r="C178" s="11"/>
      <c r="D178" s="11"/>
      <c r="E178" s="11"/>
      <c r="F178" s="11"/>
      <c r="G178" s="11"/>
      <c r="H178" s="11"/>
      <c r="I178" s="11"/>
      <c r="L178" s="15"/>
    </row>
    <row r="179" ht="15.75" customHeight="1">
      <c r="A179" s="9"/>
      <c r="B179" s="40"/>
      <c r="C179" s="11"/>
      <c r="D179" s="11"/>
      <c r="E179" s="11"/>
      <c r="F179" s="11"/>
      <c r="G179" s="11"/>
      <c r="H179" s="11"/>
      <c r="I179" s="11"/>
      <c r="L179" s="15"/>
    </row>
    <row r="180" ht="15.75" customHeight="1">
      <c r="A180" s="9"/>
      <c r="B180" s="40"/>
      <c r="C180" s="11"/>
      <c r="D180" s="11"/>
      <c r="E180" s="11"/>
      <c r="F180" s="11"/>
      <c r="G180" s="11"/>
      <c r="H180" s="11"/>
      <c r="I180" s="11"/>
      <c r="L180" s="15"/>
    </row>
    <row r="181" ht="15.75" customHeight="1">
      <c r="A181" s="9"/>
      <c r="B181" s="40"/>
      <c r="C181" s="11"/>
      <c r="D181" s="11"/>
      <c r="E181" s="11"/>
      <c r="F181" s="11"/>
      <c r="G181" s="11"/>
      <c r="H181" s="11"/>
      <c r="I181" s="11"/>
      <c r="L181" s="15"/>
    </row>
    <row r="182" ht="15.75" customHeight="1">
      <c r="A182" s="9"/>
      <c r="B182" s="40"/>
      <c r="C182" s="11"/>
      <c r="D182" s="11"/>
      <c r="E182" s="11"/>
      <c r="F182" s="11"/>
      <c r="G182" s="11"/>
      <c r="H182" s="11"/>
      <c r="I182" s="11"/>
      <c r="L182" s="15"/>
    </row>
    <row r="183" ht="15.75" customHeight="1">
      <c r="A183" s="9"/>
      <c r="B183" s="40"/>
      <c r="C183" s="11"/>
      <c r="D183" s="11"/>
      <c r="E183" s="11"/>
      <c r="F183" s="11"/>
      <c r="G183" s="11"/>
      <c r="H183" s="11"/>
      <c r="I183" s="11"/>
      <c r="L183" s="15"/>
    </row>
    <row r="184" ht="15.75" customHeight="1">
      <c r="A184" s="9"/>
      <c r="B184" s="40"/>
      <c r="C184" s="11"/>
      <c r="D184" s="11"/>
      <c r="E184" s="11"/>
      <c r="F184" s="11"/>
      <c r="G184" s="11"/>
      <c r="H184" s="11"/>
      <c r="I184" s="11"/>
      <c r="L184" s="15"/>
    </row>
    <row r="185" ht="15.75" customHeight="1">
      <c r="A185" s="9"/>
      <c r="B185" s="40"/>
      <c r="C185" s="11"/>
      <c r="D185" s="11"/>
      <c r="E185" s="11"/>
      <c r="F185" s="11"/>
      <c r="G185" s="11"/>
      <c r="H185" s="11"/>
      <c r="I185" s="11"/>
      <c r="L185" s="15"/>
    </row>
    <row r="186" ht="15.75" customHeight="1">
      <c r="A186" s="9"/>
      <c r="B186" s="40"/>
      <c r="C186" s="11"/>
      <c r="D186" s="11"/>
      <c r="E186" s="11"/>
      <c r="F186" s="11"/>
      <c r="G186" s="11"/>
      <c r="H186" s="11"/>
      <c r="I186" s="11"/>
      <c r="L186" s="15"/>
    </row>
    <row r="187" ht="15.75" customHeight="1">
      <c r="A187" s="9"/>
      <c r="B187" s="40"/>
      <c r="C187" s="11"/>
      <c r="D187" s="11"/>
      <c r="E187" s="11"/>
      <c r="F187" s="11"/>
      <c r="G187" s="11"/>
      <c r="H187" s="11"/>
      <c r="I187" s="11"/>
      <c r="L187" s="15"/>
    </row>
    <row r="188" ht="15.75" customHeight="1">
      <c r="A188" s="9"/>
      <c r="B188" s="40"/>
      <c r="C188" s="11"/>
      <c r="D188" s="11"/>
      <c r="E188" s="11"/>
      <c r="F188" s="11"/>
      <c r="G188" s="11"/>
      <c r="H188" s="11"/>
      <c r="I188" s="11"/>
      <c r="L188" s="15"/>
    </row>
    <row r="189" ht="15.75" customHeight="1">
      <c r="A189" s="9"/>
      <c r="B189" s="40"/>
      <c r="C189" s="11"/>
      <c r="D189" s="11"/>
      <c r="E189" s="11"/>
      <c r="F189" s="11"/>
      <c r="G189" s="11"/>
      <c r="H189" s="11"/>
      <c r="I189" s="11"/>
      <c r="L189" s="15"/>
    </row>
    <row r="190" ht="15.75" customHeight="1">
      <c r="A190" s="9"/>
      <c r="B190" s="40"/>
      <c r="C190" s="11"/>
      <c r="D190" s="11"/>
      <c r="E190" s="11"/>
      <c r="F190" s="11"/>
      <c r="G190" s="11"/>
      <c r="H190" s="11"/>
      <c r="I190" s="11"/>
      <c r="L190" s="15"/>
    </row>
    <row r="191" ht="15.75" customHeight="1">
      <c r="A191" s="9"/>
      <c r="B191" s="40"/>
      <c r="C191" s="11"/>
      <c r="D191" s="11"/>
      <c r="E191" s="11"/>
      <c r="F191" s="11"/>
      <c r="G191" s="11"/>
      <c r="H191" s="11"/>
      <c r="I191" s="11"/>
      <c r="L191" s="15"/>
    </row>
    <row r="192" ht="15.75" customHeight="1">
      <c r="A192" s="9"/>
      <c r="B192" s="40"/>
      <c r="C192" s="11"/>
      <c r="D192" s="11"/>
      <c r="E192" s="11"/>
      <c r="F192" s="11"/>
      <c r="G192" s="11"/>
      <c r="H192" s="11"/>
      <c r="I192" s="11"/>
      <c r="L192" s="15"/>
    </row>
    <row r="193" ht="15.75" customHeight="1">
      <c r="A193" s="9"/>
      <c r="B193" s="40"/>
      <c r="C193" s="11"/>
      <c r="D193" s="11"/>
      <c r="E193" s="11"/>
      <c r="F193" s="11"/>
      <c r="G193" s="11"/>
      <c r="H193" s="11"/>
      <c r="I193" s="11"/>
      <c r="L193" s="15"/>
    </row>
    <row r="194" ht="15.75" customHeight="1">
      <c r="A194" s="9"/>
      <c r="B194" s="40"/>
      <c r="C194" s="11"/>
      <c r="D194" s="11"/>
      <c r="E194" s="11"/>
      <c r="F194" s="11"/>
      <c r="G194" s="11"/>
      <c r="H194" s="11"/>
      <c r="I194" s="11"/>
      <c r="L194" s="15"/>
    </row>
    <row r="195" ht="15.75" customHeight="1">
      <c r="A195" s="9"/>
      <c r="B195" s="40"/>
      <c r="C195" s="11"/>
      <c r="D195" s="11"/>
      <c r="E195" s="11"/>
      <c r="F195" s="11"/>
      <c r="G195" s="11"/>
      <c r="H195" s="11"/>
      <c r="I195" s="11"/>
      <c r="L195" s="15"/>
    </row>
    <row r="196" ht="15.75" customHeight="1">
      <c r="A196" s="9"/>
      <c r="B196" s="40"/>
      <c r="C196" s="11"/>
      <c r="D196" s="11"/>
      <c r="E196" s="11"/>
      <c r="F196" s="11"/>
      <c r="G196" s="11"/>
      <c r="H196" s="11"/>
      <c r="I196" s="11"/>
      <c r="L196" s="15"/>
    </row>
    <row r="197" ht="15.75" customHeight="1">
      <c r="A197" s="9"/>
      <c r="B197" s="40"/>
      <c r="C197" s="11"/>
      <c r="D197" s="11"/>
      <c r="E197" s="11"/>
      <c r="F197" s="11"/>
      <c r="G197" s="11"/>
      <c r="H197" s="11"/>
      <c r="I197" s="11"/>
      <c r="L197" s="15"/>
    </row>
    <row r="198" ht="15.75" customHeight="1">
      <c r="A198" s="9"/>
      <c r="B198" s="40"/>
      <c r="C198" s="11"/>
      <c r="D198" s="11"/>
      <c r="E198" s="11"/>
      <c r="F198" s="11"/>
      <c r="G198" s="11"/>
      <c r="H198" s="11"/>
      <c r="I198" s="11"/>
      <c r="L198" s="15"/>
    </row>
    <row r="199" ht="15.75" customHeight="1">
      <c r="A199" s="9"/>
      <c r="B199" s="40"/>
      <c r="C199" s="11"/>
      <c r="D199" s="11"/>
      <c r="E199" s="11"/>
      <c r="F199" s="11"/>
      <c r="G199" s="11"/>
      <c r="H199" s="11"/>
      <c r="I199" s="11"/>
      <c r="L199" s="15"/>
    </row>
    <row r="200" ht="15.75" customHeight="1">
      <c r="A200" s="9"/>
      <c r="B200" s="40"/>
      <c r="C200" s="11"/>
      <c r="D200" s="11"/>
      <c r="E200" s="11"/>
      <c r="F200" s="11"/>
      <c r="G200" s="11"/>
      <c r="H200" s="11"/>
      <c r="I200" s="11"/>
      <c r="L200" s="15"/>
    </row>
    <row r="201" ht="15.75" customHeight="1">
      <c r="A201" s="9"/>
      <c r="B201" s="40"/>
      <c r="C201" s="11"/>
      <c r="D201" s="11"/>
      <c r="E201" s="11"/>
      <c r="F201" s="11"/>
      <c r="G201" s="11"/>
      <c r="H201" s="11"/>
      <c r="I201" s="11"/>
      <c r="L201" s="15"/>
    </row>
    <row r="202" ht="15.75" customHeight="1">
      <c r="A202" s="9"/>
      <c r="B202" s="40"/>
      <c r="C202" s="11"/>
      <c r="D202" s="11"/>
      <c r="E202" s="11"/>
      <c r="F202" s="11"/>
      <c r="G202" s="11"/>
      <c r="H202" s="11"/>
      <c r="I202" s="11"/>
      <c r="L202" s="15"/>
    </row>
    <row r="203" ht="15.75" customHeight="1">
      <c r="A203" s="9"/>
      <c r="B203" s="40"/>
      <c r="C203" s="11"/>
      <c r="D203" s="11"/>
      <c r="E203" s="11"/>
      <c r="F203" s="11"/>
      <c r="G203" s="11"/>
      <c r="H203" s="11"/>
      <c r="I203" s="11"/>
      <c r="L203" s="15"/>
    </row>
    <row r="204" ht="15.75" customHeight="1">
      <c r="A204" s="9"/>
      <c r="B204" s="40"/>
      <c r="C204" s="11"/>
      <c r="D204" s="11"/>
      <c r="E204" s="11"/>
      <c r="F204" s="11"/>
      <c r="G204" s="11"/>
      <c r="H204" s="11"/>
      <c r="I204" s="11"/>
      <c r="L204" s="15"/>
    </row>
    <row r="205" ht="15.75" customHeight="1">
      <c r="A205" s="9"/>
      <c r="B205" s="40"/>
      <c r="C205" s="11"/>
      <c r="D205" s="11"/>
      <c r="E205" s="11"/>
      <c r="F205" s="11"/>
      <c r="G205" s="11"/>
      <c r="H205" s="11"/>
      <c r="I205" s="11"/>
      <c r="L205" s="15"/>
    </row>
    <row r="206" ht="15.75" customHeight="1">
      <c r="A206" s="9"/>
      <c r="B206" s="40"/>
      <c r="C206" s="11"/>
      <c r="D206" s="11"/>
      <c r="E206" s="11"/>
      <c r="F206" s="11"/>
      <c r="G206" s="11"/>
      <c r="H206" s="11"/>
      <c r="I206" s="11"/>
      <c r="L206" s="15"/>
    </row>
    <row r="207" ht="15.75" customHeight="1">
      <c r="A207" s="9"/>
      <c r="B207" s="40"/>
      <c r="C207" s="11"/>
      <c r="D207" s="11"/>
      <c r="E207" s="11"/>
      <c r="F207" s="11"/>
      <c r="G207" s="11"/>
      <c r="H207" s="11"/>
      <c r="I207" s="11"/>
      <c r="L207" s="15"/>
    </row>
    <row r="208" ht="15.75" customHeight="1">
      <c r="A208" s="9"/>
      <c r="B208" s="40"/>
      <c r="C208" s="11"/>
      <c r="D208" s="11"/>
      <c r="E208" s="11"/>
      <c r="F208" s="11"/>
      <c r="G208" s="11"/>
      <c r="H208" s="11"/>
      <c r="I208" s="11"/>
      <c r="L208" s="15"/>
    </row>
    <row r="209" ht="15.75" customHeight="1">
      <c r="A209" s="9"/>
      <c r="B209" s="40"/>
      <c r="C209" s="11"/>
      <c r="D209" s="11"/>
      <c r="E209" s="11"/>
      <c r="F209" s="11"/>
      <c r="G209" s="11"/>
      <c r="H209" s="11"/>
      <c r="I209" s="11"/>
      <c r="L209" s="15"/>
    </row>
    <row r="210" ht="15.75" customHeight="1">
      <c r="A210" s="9"/>
      <c r="B210" s="40"/>
      <c r="C210" s="11"/>
      <c r="D210" s="11"/>
      <c r="E210" s="11"/>
      <c r="F210" s="11"/>
      <c r="G210" s="11"/>
      <c r="H210" s="11"/>
      <c r="I210" s="11"/>
      <c r="L210" s="15"/>
    </row>
    <row r="211" ht="15.75" customHeight="1">
      <c r="A211" s="9"/>
      <c r="B211" s="40"/>
      <c r="C211" s="11"/>
      <c r="D211" s="11"/>
      <c r="E211" s="11"/>
      <c r="F211" s="11"/>
      <c r="G211" s="11"/>
      <c r="H211" s="11"/>
      <c r="I211" s="11"/>
      <c r="L211" s="15"/>
    </row>
    <row r="212" ht="15.75" customHeight="1">
      <c r="A212" s="9"/>
      <c r="B212" s="40"/>
      <c r="C212" s="11"/>
      <c r="D212" s="11"/>
      <c r="E212" s="11"/>
      <c r="F212" s="11"/>
      <c r="G212" s="11"/>
      <c r="H212" s="11"/>
      <c r="I212" s="11"/>
      <c r="L212" s="15"/>
    </row>
    <row r="213" ht="15.75" customHeight="1">
      <c r="A213" s="9"/>
      <c r="B213" s="40"/>
      <c r="C213" s="11"/>
      <c r="D213" s="11"/>
      <c r="E213" s="11"/>
      <c r="F213" s="11"/>
      <c r="G213" s="11"/>
      <c r="H213" s="11"/>
      <c r="I213" s="11"/>
      <c r="L213" s="15"/>
    </row>
    <row r="214" ht="15.75" customHeight="1">
      <c r="A214" s="9"/>
      <c r="B214" s="40"/>
      <c r="C214" s="11"/>
      <c r="D214" s="11"/>
      <c r="E214" s="11"/>
      <c r="F214" s="11"/>
      <c r="G214" s="11"/>
      <c r="H214" s="11"/>
      <c r="I214" s="11"/>
      <c r="L214" s="15"/>
    </row>
    <row r="215" ht="15.75" customHeight="1">
      <c r="A215" s="9"/>
      <c r="B215" s="40"/>
      <c r="C215" s="11"/>
      <c r="D215" s="11"/>
      <c r="E215" s="11"/>
      <c r="F215" s="11"/>
      <c r="G215" s="11"/>
      <c r="H215" s="11"/>
      <c r="I215" s="11"/>
      <c r="L215" s="15"/>
    </row>
    <row r="216" ht="15.75" customHeight="1">
      <c r="A216" s="9"/>
      <c r="B216" s="40"/>
      <c r="C216" s="11"/>
      <c r="D216" s="11"/>
      <c r="E216" s="11"/>
      <c r="F216" s="11"/>
      <c r="G216" s="11"/>
      <c r="H216" s="11"/>
      <c r="I216" s="11"/>
      <c r="L216" s="15"/>
    </row>
    <row r="217" ht="15.75" customHeight="1">
      <c r="A217" s="9"/>
      <c r="B217" s="40"/>
      <c r="C217" s="11"/>
      <c r="D217" s="11"/>
      <c r="E217" s="11"/>
      <c r="F217" s="11"/>
      <c r="G217" s="11"/>
      <c r="H217" s="11"/>
      <c r="I217" s="11"/>
      <c r="L217" s="15"/>
    </row>
    <row r="218" ht="15.75" customHeight="1">
      <c r="A218" s="9"/>
      <c r="B218" s="40"/>
      <c r="C218" s="11"/>
      <c r="D218" s="11"/>
      <c r="E218" s="11"/>
      <c r="F218" s="11"/>
      <c r="G218" s="11"/>
      <c r="H218" s="11"/>
      <c r="I218" s="11"/>
      <c r="L218" s="15"/>
    </row>
    <row r="219" ht="15.75" customHeight="1">
      <c r="A219" s="9"/>
      <c r="B219" s="40"/>
      <c r="C219" s="11"/>
      <c r="D219" s="11"/>
      <c r="E219" s="11"/>
      <c r="F219" s="11"/>
      <c r="G219" s="11"/>
      <c r="H219" s="11"/>
      <c r="I219" s="11"/>
      <c r="L219" s="15"/>
    </row>
    <row r="220" ht="15.75" customHeight="1">
      <c r="A220" s="9"/>
      <c r="B220" s="40"/>
      <c r="C220" s="11"/>
      <c r="D220" s="11"/>
      <c r="E220" s="11"/>
      <c r="F220" s="11"/>
      <c r="G220" s="11"/>
      <c r="H220" s="11"/>
      <c r="I220" s="11"/>
      <c r="L220" s="15"/>
    </row>
    <row r="221" ht="15.75" customHeight="1">
      <c r="A221" s="9"/>
      <c r="B221" s="40"/>
      <c r="C221" s="11"/>
      <c r="D221" s="11"/>
      <c r="E221" s="11"/>
      <c r="F221" s="11"/>
      <c r="G221" s="11"/>
      <c r="H221" s="11"/>
      <c r="I221" s="11"/>
      <c r="L221" s="15"/>
    </row>
    <row r="222" ht="15.75" customHeight="1">
      <c r="L222" s="15"/>
    </row>
    <row r="223" ht="15.75" customHeight="1">
      <c r="L223" s="15"/>
    </row>
    <row r="224" ht="15.75" customHeight="1">
      <c r="L224" s="15"/>
    </row>
    <row r="225" ht="15.75" customHeight="1">
      <c r="L225" s="15"/>
    </row>
    <row r="226" ht="15.75" customHeight="1">
      <c r="L226" s="15"/>
    </row>
    <row r="227" ht="15.75" customHeight="1">
      <c r="L227" s="15"/>
    </row>
    <row r="228" ht="15.75" customHeight="1">
      <c r="L228" s="15"/>
    </row>
    <row r="229" ht="15.75" customHeight="1">
      <c r="L229" s="15"/>
    </row>
    <row r="230" ht="15.75" customHeight="1">
      <c r="L230" s="15"/>
    </row>
    <row r="231" ht="15.75" customHeight="1">
      <c r="L231" s="15"/>
    </row>
    <row r="232" ht="15.75" customHeight="1">
      <c r="L232" s="15"/>
    </row>
    <row r="233" ht="15.75" customHeight="1">
      <c r="L233" s="15"/>
    </row>
    <row r="234" ht="15.75" customHeight="1">
      <c r="L234" s="15"/>
    </row>
    <row r="235" ht="15.75" customHeight="1">
      <c r="L235" s="15"/>
    </row>
    <row r="236" ht="15.75" customHeight="1">
      <c r="L236" s="15"/>
    </row>
    <row r="237" ht="15.75" customHeight="1">
      <c r="L237" s="15"/>
    </row>
    <row r="238" ht="15.75" customHeight="1">
      <c r="L238" s="15"/>
    </row>
    <row r="239" ht="15.75" customHeight="1">
      <c r="L239" s="15"/>
    </row>
    <row r="240" ht="15.75" customHeight="1">
      <c r="L240" s="15"/>
    </row>
    <row r="241" ht="15.75" customHeight="1">
      <c r="L241" s="15"/>
    </row>
    <row r="242" ht="15.75" customHeight="1">
      <c r="L242" s="15"/>
    </row>
    <row r="243" ht="15.75" customHeight="1">
      <c r="L243" s="15"/>
    </row>
    <row r="244" ht="15.75" customHeight="1">
      <c r="L244" s="15"/>
    </row>
    <row r="245" ht="15.75" customHeight="1">
      <c r="L245" s="15"/>
    </row>
    <row r="246" ht="15.75" customHeight="1">
      <c r="L246" s="15"/>
    </row>
    <row r="247" ht="15.75" customHeight="1">
      <c r="L247" s="15"/>
    </row>
    <row r="248" ht="15.75" customHeight="1">
      <c r="L248" s="15"/>
    </row>
    <row r="249" ht="15.75" customHeight="1">
      <c r="L249" s="15"/>
    </row>
    <row r="250" ht="15.75" customHeight="1">
      <c r="L250" s="15"/>
    </row>
    <row r="251" ht="15.75" customHeight="1">
      <c r="L251" s="15"/>
    </row>
    <row r="252" ht="15.75" customHeight="1">
      <c r="L252" s="15"/>
    </row>
    <row r="253" ht="15.75" customHeight="1">
      <c r="L253" s="15"/>
    </row>
    <row r="254" ht="15.75" customHeight="1">
      <c r="L254" s="15"/>
    </row>
    <row r="255" ht="15.75" customHeight="1">
      <c r="L255" s="15"/>
    </row>
    <row r="256" ht="15.75" customHeight="1">
      <c r="L256" s="15"/>
    </row>
    <row r="257" ht="15.75" customHeight="1">
      <c r="L257" s="15"/>
    </row>
    <row r="258" ht="15.75" customHeight="1">
      <c r="L258" s="15"/>
    </row>
    <row r="259" ht="15.75" customHeight="1">
      <c r="L259" s="15"/>
    </row>
    <row r="260" ht="15.75" customHeight="1">
      <c r="L260" s="15"/>
    </row>
    <row r="261" ht="15.75" customHeight="1">
      <c r="L261" s="15"/>
    </row>
    <row r="262" ht="15.75" customHeight="1">
      <c r="L262" s="15"/>
    </row>
    <row r="263" ht="15.75" customHeight="1">
      <c r="L263" s="15"/>
    </row>
    <row r="264" ht="15.75" customHeight="1">
      <c r="L264" s="15"/>
    </row>
    <row r="265" ht="15.75" customHeight="1">
      <c r="L265" s="15"/>
    </row>
    <row r="266" ht="15.75" customHeight="1">
      <c r="L266" s="15"/>
    </row>
    <row r="267" ht="15.75" customHeight="1">
      <c r="L267" s="15"/>
    </row>
    <row r="268" ht="15.75" customHeight="1">
      <c r="L268" s="15"/>
    </row>
    <row r="269" ht="15.75" customHeight="1">
      <c r="L269" s="15"/>
    </row>
    <row r="270" ht="15.75" customHeight="1">
      <c r="L270" s="15"/>
    </row>
    <row r="271" ht="15.75" customHeight="1">
      <c r="L271" s="15"/>
    </row>
    <row r="272" ht="15.75" customHeight="1">
      <c r="L272" s="15"/>
    </row>
    <row r="273" ht="15.75" customHeight="1">
      <c r="L273" s="15"/>
    </row>
    <row r="274" ht="15.75" customHeight="1">
      <c r="L274" s="15"/>
    </row>
    <row r="275" ht="15.75" customHeight="1">
      <c r="L275" s="15"/>
    </row>
    <row r="276" ht="15.75" customHeight="1">
      <c r="L276" s="15"/>
    </row>
    <row r="277" ht="15.75" customHeight="1">
      <c r="L277" s="15"/>
    </row>
    <row r="278" ht="15.75" customHeight="1">
      <c r="L278" s="15"/>
    </row>
    <row r="279" ht="15.75" customHeight="1">
      <c r="L279" s="15"/>
    </row>
    <row r="280" ht="15.75" customHeight="1">
      <c r="L280" s="15"/>
    </row>
    <row r="281" ht="15.75" customHeight="1">
      <c r="L281" s="15"/>
    </row>
    <row r="282" ht="15.75" customHeight="1">
      <c r="L282" s="15"/>
    </row>
    <row r="283" ht="15.75" customHeight="1">
      <c r="L283" s="15"/>
    </row>
    <row r="284" ht="15.75" customHeight="1">
      <c r="L284" s="15"/>
    </row>
    <row r="285" ht="15.75" customHeight="1">
      <c r="L285" s="15"/>
    </row>
    <row r="286" ht="15.75" customHeight="1">
      <c r="L286" s="15"/>
    </row>
    <row r="287" ht="15.75" customHeight="1">
      <c r="L287" s="15"/>
    </row>
    <row r="288" ht="15.75" customHeight="1">
      <c r="L288" s="15"/>
    </row>
    <row r="289" ht="15.75" customHeight="1">
      <c r="L289" s="15"/>
    </row>
    <row r="290" ht="15.75" customHeight="1">
      <c r="L290" s="15"/>
    </row>
    <row r="291" ht="15.75" customHeight="1">
      <c r="L291" s="15"/>
    </row>
    <row r="292" ht="15.75" customHeight="1">
      <c r="L292" s="15"/>
    </row>
    <row r="293" ht="15.75" customHeight="1">
      <c r="L293" s="15"/>
    </row>
    <row r="294" ht="15.75" customHeight="1">
      <c r="L294" s="15"/>
    </row>
    <row r="295" ht="15.75" customHeight="1">
      <c r="L295" s="15"/>
    </row>
    <row r="296" ht="15.75" customHeight="1">
      <c r="L296" s="15"/>
    </row>
    <row r="297" ht="15.75" customHeight="1">
      <c r="L297" s="15"/>
    </row>
    <row r="298" ht="15.75" customHeight="1">
      <c r="L298" s="15"/>
    </row>
    <row r="299" ht="15.75" customHeight="1">
      <c r="L299" s="15"/>
    </row>
    <row r="300" ht="15.75" customHeight="1">
      <c r="L300" s="15"/>
    </row>
    <row r="301" ht="15.75" customHeight="1">
      <c r="L301" s="15"/>
    </row>
    <row r="302" ht="15.75" customHeight="1">
      <c r="L302" s="15"/>
    </row>
    <row r="303" ht="15.75" customHeight="1">
      <c r="L303" s="15"/>
    </row>
    <row r="304" ht="15.75" customHeight="1">
      <c r="L304" s="15"/>
    </row>
    <row r="305" ht="15.75" customHeight="1">
      <c r="L305" s="15"/>
    </row>
    <row r="306" ht="15.75" customHeight="1">
      <c r="L306" s="15"/>
    </row>
    <row r="307" ht="15.75" customHeight="1">
      <c r="L307" s="15"/>
    </row>
    <row r="308" ht="15.75" customHeight="1">
      <c r="L308" s="15"/>
    </row>
    <row r="309" ht="15.75" customHeight="1">
      <c r="L309" s="15"/>
    </row>
    <row r="310" ht="15.75" customHeight="1">
      <c r="L310" s="15"/>
    </row>
    <row r="311" ht="15.75" customHeight="1">
      <c r="L311" s="15"/>
    </row>
    <row r="312" ht="15.75" customHeight="1">
      <c r="L312" s="15"/>
    </row>
    <row r="313" ht="15.75" customHeight="1">
      <c r="L313" s="15"/>
    </row>
    <row r="314" ht="15.75" customHeight="1">
      <c r="L314" s="15"/>
    </row>
    <row r="315" ht="15.75" customHeight="1">
      <c r="L315" s="15"/>
    </row>
    <row r="316" ht="15.75" customHeight="1">
      <c r="L316" s="15"/>
    </row>
    <row r="317" ht="15.75" customHeight="1">
      <c r="L317" s="15"/>
    </row>
    <row r="318" ht="15.75" customHeight="1">
      <c r="L318" s="15"/>
    </row>
    <row r="319" ht="15.75" customHeight="1">
      <c r="L319" s="15"/>
    </row>
    <row r="320" ht="15.75" customHeight="1">
      <c r="L320" s="15"/>
    </row>
    <row r="321" ht="15.75" customHeight="1">
      <c r="L321" s="15"/>
    </row>
    <row r="322" ht="15.75" customHeight="1">
      <c r="L322" s="15"/>
    </row>
    <row r="323" ht="15.75" customHeight="1">
      <c r="L323" s="15"/>
    </row>
    <row r="324" ht="15.75" customHeight="1">
      <c r="L324" s="15"/>
    </row>
    <row r="325" ht="15.75" customHeight="1">
      <c r="L325" s="15"/>
    </row>
    <row r="326" ht="15.75" customHeight="1">
      <c r="L326" s="15"/>
    </row>
    <row r="327" ht="15.75" customHeight="1">
      <c r="L327" s="15"/>
    </row>
    <row r="328" ht="15.75" customHeight="1">
      <c r="L328" s="15"/>
    </row>
    <row r="329" ht="15.75" customHeight="1">
      <c r="L329" s="15"/>
    </row>
    <row r="330" ht="15.75" customHeight="1">
      <c r="L330" s="15"/>
    </row>
    <row r="331" ht="15.75" customHeight="1">
      <c r="L331" s="15"/>
    </row>
    <row r="332" ht="15.75" customHeight="1">
      <c r="L332" s="15"/>
    </row>
    <row r="333" ht="15.75" customHeight="1">
      <c r="L333" s="15"/>
    </row>
    <row r="334" ht="15.75" customHeight="1">
      <c r="L334" s="15"/>
    </row>
    <row r="335" ht="15.75" customHeight="1">
      <c r="L335" s="15"/>
    </row>
    <row r="336" ht="15.75" customHeight="1">
      <c r="L336" s="15"/>
    </row>
    <row r="337" ht="15.75" customHeight="1">
      <c r="L337" s="15"/>
    </row>
    <row r="338" ht="15.75" customHeight="1">
      <c r="L338" s="15"/>
    </row>
    <row r="339" ht="15.75" customHeight="1">
      <c r="L339" s="15"/>
    </row>
    <row r="340" ht="15.75" customHeight="1">
      <c r="L340" s="15"/>
    </row>
    <row r="341" ht="15.75" customHeight="1">
      <c r="L341" s="15"/>
    </row>
    <row r="342" ht="15.75" customHeight="1">
      <c r="L342" s="15"/>
    </row>
    <row r="343" ht="15.75" customHeight="1">
      <c r="L343" s="15"/>
    </row>
    <row r="344" ht="15.75" customHeight="1">
      <c r="L344" s="15"/>
    </row>
    <row r="345" ht="15.75" customHeight="1">
      <c r="L345" s="15"/>
    </row>
    <row r="346" ht="15.75" customHeight="1">
      <c r="L346" s="15"/>
    </row>
    <row r="347" ht="15.75" customHeight="1">
      <c r="L347" s="15"/>
    </row>
    <row r="348" ht="15.75" customHeight="1">
      <c r="L348" s="15"/>
    </row>
    <row r="349" ht="15.75" customHeight="1">
      <c r="L349" s="15"/>
    </row>
    <row r="350" ht="15.75" customHeight="1">
      <c r="L350" s="15"/>
    </row>
    <row r="351" ht="15.75" customHeight="1">
      <c r="L351" s="15"/>
    </row>
    <row r="352" ht="15.75" customHeight="1">
      <c r="L352" s="15"/>
    </row>
    <row r="353" ht="15.75" customHeight="1">
      <c r="L353" s="15"/>
    </row>
    <row r="354" ht="15.75" customHeight="1">
      <c r="L354" s="15"/>
    </row>
    <row r="355" ht="15.75" customHeight="1">
      <c r="L355" s="15"/>
    </row>
    <row r="356" ht="15.75" customHeight="1">
      <c r="L356" s="15"/>
    </row>
    <row r="357" ht="15.75" customHeight="1">
      <c r="L357" s="15"/>
    </row>
    <row r="358" ht="15.75" customHeight="1">
      <c r="L358" s="15"/>
    </row>
    <row r="359" ht="15.75" customHeight="1">
      <c r="L359" s="15"/>
    </row>
    <row r="360" ht="15.75" customHeight="1">
      <c r="L360" s="15"/>
    </row>
    <row r="361" ht="15.75" customHeight="1">
      <c r="L361" s="15"/>
    </row>
    <row r="362" ht="15.75" customHeight="1">
      <c r="L362" s="15"/>
    </row>
    <row r="363" ht="15.75" customHeight="1">
      <c r="L363" s="15"/>
    </row>
    <row r="364" ht="15.75" customHeight="1">
      <c r="L364" s="15"/>
    </row>
    <row r="365" ht="15.75" customHeight="1">
      <c r="L365" s="15"/>
    </row>
    <row r="366" ht="15.75" customHeight="1">
      <c r="L366" s="15"/>
    </row>
    <row r="367" ht="15.75" customHeight="1">
      <c r="L367" s="15"/>
    </row>
    <row r="368" ht="15.75" customHeight="1">
      <c r="L368" s="15"/>
    </row>
    <row r="369" ht="15.75" customHeight="1">
      <c r="L369" s="15"/>
    </row>
    <row r="370" ht="15.75" customHeight="1">
      <c r="L370" s="15"/>
    </row>
    <row r="371" ht="15.75" customHeight="1">
      <c r="L371" s="15"/>
    </row>
    <row r="372" ht="15.75" customHeight="1">
      <c r="L372" s="15"/>
    </row>
    <row r="373" ht="15.75" customHeight="1">
      <c r="L373" s="15"/>
    </row>
    <row r="374" ht="15.75" customHeight="1">
      <c r="L374" s="15"/>
    </row>
    <row r="375" ht="15.75" customHeight="1">
      <c r="L375" s="15"/>
    </row>
    <row r="376" ht="15.75" customHeight="1">
      <c r="L376" s="15"/>
    </row>
    <row r="377" ht="15.75" customHeight="1">
      <c r="L377" s="15"/>
    </row>
    <row r="378" ht="15.75" customHeight="1">
      <c r="L378" s="15"/>
    </row>
    <row r="379" ht="15.75" customHeight="1">
      <c r="L379" s="15"/>
    </row>
    <row r="380" ht="15.75" customHeight="1">
      <c r="L380" s="15"/>
    </row>
    <row r="381" ht="15.75" customHeight="1">
      <c r="L381" s="15"/>
    </row>
    <row r="382" ht="15.75" customHeight="1">
      <c r="L382" s="15"/>
    </row>
    <row r="383" ht="15.75" customHeight="1">
      <c r="L383" s="15"/>
    </row>
    <row r="384" ht="15.75" customHeight="1">
      <c r="L384" s="15"/>
    </row>
    <row r="385" ht="15.75" customHeight="1">
      <c r="L385" s="15"/>
    </row>
    <row r="386" ht="15.75" customHeight="1">
      <c r="L386" s="15"/>
    </row>
    <row r="387" ht="15.75" customHeight="1">
      <c r="L387" s="15"/>
    </row>
    <row r="388" ht="15.75" customHeight="1">
      <c r="L388" s="15"/>
    </row>
    <row r="389" ht="15.75" customHeight="1">
      <c r="L389" s="15"/>
    </row>
    <row r="390" ht="15.75" customHeight="1">
      <c r="L390" s="15"/>
    </row>
    <row r="391" ht="15.75" customHeight="1">
      <c r="L391" s="15"/>
    </row>
    <row r="392" ht="15.75" customHeight="1">
      <c r="L392" s="15"/>
    </row>
    <row r="393" ht="15.75" customHeight="1">
      <c r="L393" s="15"/>
    </row>
    <row r="394" ht="15.75" customHeight="1">
      <c r="L394" s="15"/>
    </row>
    <row r="395" ht="15.75" customHeight="1">
      <c r="L395" s="15"/>
    </row>
    <row r="396" ht="15.75" customHeight="1">
      <c r="L396" s="15"/>
    </row>
    <row r="397" ht="15.75" customHeight="1">
      <c r="L397" s="15"/>
    </row>
    <row r="398" ht="15.75" customHeight="1">
      <c r="L398" s="15"/>
    </row>
    <row r="399" ht="15.75" customHeight="1">
      <c r="L399" s="15"/>
    </row>
    <row r="400" ht="15.75" customHeight="1">
      <c r="L400" s="15"/>
    </row>
    <row r="401" ht="15.75" customHeight="1">
      <c r="L401" s="15"/>
    </row>
    <row r="402" ht="15.75" customHeight="1">
      <c r="L402" s="15"/>
    </row>
    <row r="403" ht="15.75" customHeight="1">
      <c r="L403" s="15"/>
    </row>
    <row r="404" ht="15.75" customHeight="1">
      <c r="L404" s="15"/>
    </row>
    <row r="405" ht="15.75" customHeight="1">
      <c r="L405" s="15"/>
    </row>
    <row r="406" ht="15.75" customHeight="1">
      <c r="L406" s="15"/>
    </row>
    <row r="407" ht="15.75" customHeight="1">
      <c r="L407" s="15"/>
    </row>
    <row r="408" ht="15.75" customHeight="1">
      <c r="L408" s="15"/>
    </row>
    <row r="409" ht="15.75" customHeight="1">
      <c r="L409" s="15"/>
    </row>
    <row r="410" ht="15.75" customHeight="1">
      <c r="L410" s="15"/>
    </row>
    <row r="411" ht="15.75" customHeight="1">
      <c r="L411" s="15"/>
    </row>
    <row r="412" ht="15.75" customHeight="1">
      <c r="L412" s="15"/>
    </row>
    <row r="413" ht="15.75" customHeight="1">
      <c r="L413" s="15"/>
    </row>
    <row r="414" ht="15.75" customHeight="1">
      <c r="L414" s="15"/>
    </row>
    <row r="415" ht="15.75" customHeight="1">
      <c r="L415" s="15"/>
    </row>
    <row r="416" ht="15.75" customHeight="1">
      <c r="L416" s="15"/>
    </row>
    <row r="417" ht="15.75" customHeight="1">
      <c r="L417" s="15"/>
    </row>
    <row r="418" ht="15.75" customHeight="1">
      <c r="L418" s="15"/>
    </row>
    <row r="419" ht="15.75" customHeight="1">
      <c r="L419" s="15"/>
    </row>
    <row r="420" ht="15.75" customHeight="1">
      <c r="L420" s="15"/>
    </row>
    <row r="421" ht="15.75" customHeight="1">
      <c r="L421" s="15"/>
    </row>
    <row r="422" ht="15.75" customHeight="1">
      <c r="L422" s="15"/>
    </row>
    <row r="423" ht="15.75" customHeight="1">
      <c r="L423" s="15"/>
    </row>
    <row r="424" ht="15.75" customHeight="1">
      <c r="L424" s="15"/>
    </row>
    <row r="425" ht="15.75" customHeight="1">
      <c r="L425" s="15"/>
    </row>
    <row r="426" ht="15.75" customHeight="1">
      <c r="L426" s="15"/>
    </row>
    <row r="427" ht="15.75" customHeight="1">
      <c r="L427" s="15"/>
    </row>
    <row r="428" ht="15.75" customHeight="1">
      <c r="L428" s="15"/>
    </row>
    <row r="429" ht="15.75" customHeight="1">
      <c r="L429" s="15"/>
    </row>
    <row r="430" ht="15.75" customHeight="1">
      <c r="L430" s="15"/>
    </row>
    <row r="431" ht="15.75" customHeight="1">
      <c r="L431" s="15"/>
    </row>
    <row r="432" ht="15.75" customHeight="1">
      <c r="L432" s="15"/>
    </row>
    <row r="433" ht="15.75" customHeight="1">
      <c r="L433" s="15"/>
    </row>
    <row r="434" ht="15.75" customHeight="1">
      <c r="L434" s="15"/>
    </row>
    <row r="435" ht="15.75" customHeight="1">
      <c r="L435" s="15"/>
    </row>
    <row r="436" ht="15.75" customHeight="1">
      <c r="L436" s="15"/>
    </row>
    <row r="437" ht="15.75" customHeight="1">
      <c r="L437" s="15"/>
    </row>
    <row r="438" ht="15.75" customHeight="1">
      <c r="L438" s="15"/>
    </row>
    <row r="439" ht="15.75" customHeight="1">
      <c r="L439" s="15"/>
    </row>
    <row r="440" ht="15.75" customHeight="1">
      <c r="L440" s="15"/>
    </row>
    <row r="441" ht="15.75" customHeight="1">
      <c r="L441" s="15"/>
    </row>
    <row r="442" ht="15.75" customHeight="1">
      <c r="L442" s="15"/>
    </row>
    <row r="443" ht="15.75" customHeight="1">
      <c r="L443" s="15"/>
    </row>
    <row r="444" ht="15.75" customHeight="1">
      <c r="L444" s="15"/>
    </row>
    <row r="445" ht="15.75" customHeight="1">
      <c r="L445" s="15"/>
    </row>
    <row r="446" ht="15.75" customHeight="1">
      <c r="L446" s="15"/>
    </row>
    <row r="447" ht="15.75" customHeight="1">
      <c r="L447" s="15"/>
    </row>
    <row r="448" ht="15.75" customHeight="1">
      <c r="L448" s="15"/>
    </row>
    <row r="449" ht="15.75" customHeight="1">
      <c r="L449" s="15"/>
    </row>
    <row r="450" ht="15.75" customHeight="1">
      <c r="L450" s="15"/>
    </row>
    <row r="451" ht="15.75" customHeight="1">
      <c r="L451" s="15"/>
    </row>
    <row r="452" ht="15.75" customHeight="1">
      <c r="L452" s="15"/>
    </row>
    <row r="453" ht="15.75" customHeight="1">
      <c r="L453" s="15"/>
    </row>
    <row r="454" ht="15.75" customHeight="1">
      <c r="L454" s="15"/>
    </row>
    <row r="455" ht="15.75" customHeight="1">
      <c r="L455" s="15"/>
    </row>
    <row r="456" ht="15.75" customHeight="1">
      <c r="L456" s="15"/>
    </row>
    <row r="457" ht="15.75" customHeight="1">
      <c r="L457" s="15"/>
    </row>
    <row r="458" ht="15.75" customHeight="1">
      <c r="L458" s="15"/>
    </row>
    <row r="459" ht="15.75" customHeight="1">
      <c r="L459" s="15"/>
    </row>
    <row r="460" ht="15.75" customHeight="1">
      <c r="L460" s="15"/>
    </row>
    <row r="461" ht="15.75" customHeight="1">
      <c r="L461" s="15"/>
    </row>
    <row r="462" ht="15.75" customHeight="1">
      <c r="L462" s="15"/>
    </row>
    <row r="463" ht="15.75" customHeight="1">
      <c r="L463" s="15"/>
    </row>
    <row r="464" ht="15.75" customHeight="1">
      <c r="L464" s="15"/>
    </row>
    <row r="465" ht="15.75" customHeight="1">
      <c r="L465" s="15"/>
    </row>
    <row r="466" ht="15.75" customHeight="1">
      <c r="L466" s="15"/>
    </row>
    <row r="467" ht="15.75" customHeight="1">
      <c r="L467" s="15"/>
    </row>
    <row r="468" ht="15.75" customHeight="1">
      <c r="L468" s="15"/>
    </row>
    <row r="469" ht="15.75" customHeight="1">
      <c r="L469" s="15"/>
    </row>
    <row r="470" ht="15.75" customHeight="1">
      <c r="L470" s="15"/>
    </row>
    <row r="471" ht="15.75" customHeight="1">
      <c r="L471" s="15"/>
    </row>
    <row r="472" ht="15.75" customHeight="1">
      <c r="L472" s="15"/>
    </row>
    <row r="473" ht="15.75" customHeight="1">
      <c r="L473" s="15"/>
    </row>
    <row r="474" ht="15.75" customHeight="1">
      <c r="L474" s="15"/>
    </row>
    <row r="475" ht="15.75" customHeight="1">
      <c r="L475" s="15"/>
    </row>
    <row r="476" ht="15.75" customHeight="1">
      <c r="L476" s="15"/>
    </row>
    <row r="477" ht="15.75" customHeight="1">
      <c r="L477" s="15"/>
    </row>
    <row r="478" ht="15.75" customHeight="1">
      <c r="L478" s="15"/>
    </row>
    <row r="479" ht="15.75" customHeight="1">
      <c r="L479" s="15"/>
    </row>
    <row r="480" ht="15.75" customHeight="1">
      <c r="L480" s="15"/>
    </row>
    <row r="481" ht="15.75" customHeight="1">
      <c r="L481" s="15"/>
    </row>
    <row r="482" ht="15.75" customHeight="1">
      <c r="L482" s="15"/>
    </row>
    <row r="483" ht="15.75" customHeight="1">
      <c r="L483" s="15"/>
    </row>
    <row r="484" ht="15.75" customHeight="1">
      <c r="L484" s="15"/>
    </row>
    <row r="485" ht="15.75" customHeight="1">
      <c r="L485" s="15"/>
    </row>
    <row r="486" ht="15.75" customHeight="1">
      <c r="L486" s="15"/>
    </row>
    <row r="487" ht="15.75" customHeight="1">
      <c r="L487" s="15"/>
    </row>
    <row r="488" ht="15.75" customHeight="1">
      <c r="L488" s="15"/>
    </row>
    <row r="489" ht="15.75" customHeight="1">
      <c r="L489" s="15"/>
    </row>
    <row r="490" ht="15.75" customHeight="1">
      <c r="L490" s="15"/>
    </row>
    <row r="491" ht="15.75" customHeight="1">
      <c r="L491" s="15"/>
    </row>
    <row r="492" ht="15.75" customHeight="1">
      <c r="L492" s="15"/>
    </row>
    <row r="493" ht="15.75" customHeight="1">
      <c r="L493" s="15"/>
    </row>
    <row r="494" ht="15.75" customHeight="1">
      <c r="L494" s="15"/>
    </row>
    <row r="495" ht="15.75" customHeight="1">
      <c r="L495" s="15"/>
    </row>
    <row r="496" ht="15.75" customHeight="1">
      <c r="L496" s="15"/>
    </row>
    <row r="497" ht="15.75" customHeight="1">
      <c r="L497" s="15"/>
    </row>
    <row r="498" ht="15.75" customHeight="1">
      <c r="L498" s="15"/>
    </row>
    <row r="499" ht="15.75" customHeight="1">
      <c r="L499" s="15"/>
    </row>
    <row r="500" ht="15.75" customHeight="1">
      <c r="L500" s="15"/>
    </row>
    <row r="501" ht="15.75" customHeight="1">
      <c r="L501" s="15"/>
    </row>
    <row r="502" ht="15.75" customHeight="1">
      <c r="L502" s="15"/>
    </row>
    <row r="503" ht="15.75" customHeight="1">
      <c r="L503" s="15"/>
    </row>
    <row r="504" ht="15.75" customHeight="1">
      <c r="L504" s="15"/>
    </row>
    <row r="505" ht="15.75" customHeight="1">
      <c r="L505" s="15"/>
    </row>
    <row r="506" ht="15.75" customHeight="1">
      <c r="L506" s="15"/>
    </row>
    <row r="507" ht="15.75" customHeight="1">
      <c r="L507" s="15"/>
    </row>
    <row r="508" ht="15.75" customHeight="1">
      <c r="L508" s="15"/>
    </row>
    <row r="509" ht="15.75" customHeight="1">
      <c r="L509" s="15"/>
    </row>
    <row r="510" ht="15.75" customHeight="1">
      <c r="L510" s="15"/>
    </row>
    <row r="511" ht="15.75" customHeight="1">
      <c r="L511" s="15"/>
    </row>
    <row r="512" ht="15.75" customHeight="1">
      <c r="L512" s="15"/>
    </row>
    <row r="513" ht="15.75" customHeight="1">
      <c r="L513" s="15"/>
    </row>
    <row r="514" ht="15.75" customHeight="1">
      <c r="L514" s="15"/>
    </row>
    <row r="515" ht="15.75" customHeight="1">
      <c r="L515" s="15"/>
    </row>
    <row r="516" ht="15.75" customHeight="1">
      <c r="L516" s="15"/>
    </row>
    <row r="517" ht="15.75" customHeight="1">
      <c r="L517" s="15"/>
    </row>
    <row r="518" ht="15.75" customHeight="1">
      <c r="L518" s="15"/>
    </row>
    <row r="519" ht="15.75" customHeight="1">
      <c r="L519" s="15"/>
    </row>
    <row r="520" ht="15.75" customHeight="1">
      <c r="L520" s="15"/>
    </row>
    <row r="521" ht="15.75" customHeight="1">
      <c r="L521" s="15"/>
    </row>
    <row r="522" ht="15.75" customHeight="1">
      <c r="L522" s="15"/>
    </row>
    <row r="523" ht="15.75" customHeight="1">
      <c r="L523" s="15"/>
    </row>
    <row r="524" ht="15.75" customHeight="1">
      <c r="L524" s="15"/>
    </row>
    <row r="525" ht="15.75" customHeight="1">
      <c r="L525" s="15"/>
    </row>
    <row r="526" ht="15.75" customHeight="1">
      <c r="L526" s="15"/>
    </row>
    <row r="527" ht="15.75" customHeight="1">
      <c r="L527" s="15"/>
    </row>
    <row r="528" ht="15.75" customHeight="1">
      <c r="L528" s="15"/>
    </row>
    <row r="529" ht="15.75" customHeight="1">
      <c r="L529" s="15"/>
    </row>
    <row r="530" ht="15.75" customHeight="1">
      <c r="L530" s="15"/>
    </row>
    <row r="531" ht="15.75" customHeight="1">
      <c r="L531" s="15"/>
    </row>
    <row r="532" ht="15.75" customHeight="1">
      <c r="L532" s="15"/>
    </row>
    <row r="533" ht="15.75" customHeight="1">
      <c r="L533" s="15"/>
    </row>
    <row r="534" ht="15.75" customHeight="1">
      <c r="L534" s="15"/>
    </row>
    <row r="535" ht="15.75" customHeight="1">
      <c r="L535" s="15"/>
    </row>
    <row r="536" ht="15.75" customHeight="1">
      <c r="L536" s="15"/>
    </row>
    <row r="537" ht="15.75" customHeight="1">
      <c r="L537" s="15"/>
    </row>
    <row r="538" ht="15.75" customHeight="1">
      <c r="L538" s="15"/>
    </row>
    <row r="539" ht="15.75" customHeight="1">
      <c r="L539" s="15"/>
    </row>
    <row r="540" ht="15.75" customHeight="1">
      <c r="L540" s="15"/>
    </row>
    <row r="541" ht="15.75" customHeight="1">
      <c r="L541" s="15"/>
    </row>
    <row r="542" ht="15.75" customHeight="1">
      <c r="L542" s="15"/>
    </row>
    <row r="543" ht="15.75" customHeight="1">
      <c r="L543" s="15"/>
    </row>
    <row r="544" ht="15.75" customHeight="1">
      <c r="L544" s="15"/>
    </row>
    <row r="545" ht="15.75" customHeight="1">
      <c r="L545" s="15"/>
    </row>
    <row r="546" ht="15.75" customHeight="1">
      <c r="L546" s="15"/>
    </row>
    <row r="547" ht="15.75" customHeight="1">
      <c r="L547" s="15"/>
    </row>
    <row r="548" ht="15.75" customHeight="1">
      <c r="L548" s="15"/>
    </row>
    <row r="549" ht="15.75" customHeight="1">
      <c r="L549" s="15"/>
    </row>
    <row r="550" ht="15.75" customHeight="1">
      <c r="L550" s="15"/>
    </row>
    <row r="551" ht="15.75" customHeight="1">
      <c r="L551" s="15"/>
    </row>
    <row r="552" ht="15.75" customHeight="1">
      <c r="L552" s="15"/>
    </row>
    <row r="553" ht="15.75" customHeight="1">
      <c r="L553" s="15"/>
    </row>
    <row r="554" ht="15.75" customHeight="1">
      <c r="L554" s="15"/>
    </row>
    <row r="555" ht="15.75" customHeight="1">
      <c r="L555" s="15"/>
    </row>
    <row r="556" ht="15.75" customHeight="1">
      <c r="L556" s="15"/>
    </row>
    <row r="557" ht="15.75" customHeight="1">
      <c r="L557" s="15"/>
    </row>
    <row r="558" ht="15.75" customHeight="1">
      <c r="L558" s="15"/>
    </row>
    <row r="559" ht="15.75" customHeight="1">
      <c r="L559" s="15"/>
    </row>
    <row r="560" ht="15.75" customHeight="1">
      <c r="L560" s="15"/>
    </row>
    <row r="561" ht="15.75" customHeight="1">
      <c r="L561" s="15"/>
    </row>
    <row r="562" ht="15.75" customHeight="1">
      <c r="L562" s="15"/>
    </row>
    <row r="563" ht="15.75" customHeight="1">
      <c r="L563" s="15"/>
    </row>
    <row r="564" ht="15.75" customHeight="1">
      <c r="L564" s="15"/>
    </row>
    <row r="565" ht="15.75" customHeight="1">
      <c r="L565" s="15"/>
    </row>
    <row r="566" ht="15.75" customHeight="1">
      <c r="L566" s="15"/>
    </row>
    <row r="567" ht="15.75" customHeight="1">
      <c r="L567" s="15"/>
    </row>
    <row r="568" ht="15.75" customHeight="1">
      <c r="L568" s="15"/>
    </row>
    <row r="569" ht="15.75" customHeight="1">
      <c r="L569" s="15"/>
    </row>
    <row r="570" ht="15.75" customHeight="1">
      <c r="L570" s="15"/>
    </row>
    <row r="571" ht="15.75" customHeight="1">
      <c r="L571" s="15"/>
    </row>
    <row r="572" ht="15.75" customHeight="1">
      <c r="L572" s="15"/>
    </row>
    <row r="573" ht="15.75" customHeight="1">
      <c r="L573" s="15"/>
    </row>
    <row r="574" ht="15.75" customHeight="1">
      <c r="L574" s="15"/>
    </row>
    <row r="575" ht="15.75" customHeight="1">
      <c r="L575" s="15"/>
    </row>
    <row r="576" ht="15.75" customHeight="1">
      <c r="L576" s="15"/>
    </row>
    <row r="577" ht="15.75" customHeight="1">
      <c r="L577" s="15"/>
    </row>
    <row r="578" ht="15.75" customHeight="1">
      <c r="L578" s="15"/>
    </row>
    <row r="579" ht="15.75" customHeight="1">
      <c r="L579" s="15"/>
    </row>
    <row r="580" ht="15.75" customHeight="1">
      <c r="L580" s="15"/>
    </row>
    <row r="581" ht="15.75" customHeight="1">
      <c r="L581" s="15"/>
    </row>
    <row r="582" ht="15.75" customHeight="1">
      <c r="L582" s="15"/>
    </row>
    <row r="583" ht="15.75" customHeight="1">
      <c r="L583" s="15"/>
    </row>
    <row r="584" ht="15.75" customHeight="1">
      <c r="L584" s="15"/>
    </row>
    <row r="585" ht="15.75" customHeight="1">
      <c r="L585" s="15"/>
    </row>
    <row r="586" ht="15.75" customHeight="1">
      <c r="L586" s="15"/>
    </row>
    <row r="587" ht="15.75" customHeight="1">
      <c r="L587" s="15"/>
    </row>
    <row r="588" ht="15.75" customHeight="1">
      <c r="L588" s="15"/>
    </row>
    <row r="589" ht="15.75" customHeight="1">
      <c r="L589" s="15"/>
    </row>
    <row r="590" ht="15.75" customHeight="1">
      <c r="L590" s="15"/>
    </row>
    <row r="591" ht="15.75" customHeight="1">
      <c r="L591" s="15"/>
    </row>
    <row r="592" ht="15.75" customHeight="1">
      <c r="L592" s="15"/>
    </row>
    <row r="593" ht="15.75" customHeight="1">
      <c r="L593" s="15"/>
    </row>
    <row r="594" ht="15.75" customHeight="1">
      <c r="L594" s="15"/>
    </row>
    <row r="595" ht="15.75" customHeight="1">
      <c r="L595" s="15"/>
    </row>
    <row r="596" ht="15.75" customHeight="1">
      <c r="L596" s="15"/>
    </row>
    <row r="597" ht="15.75" customHeight="1">
      <c r="L597" s="15"/>
    </row>
    <row r="598" ht="15.75" customHeight="1">
      <c r="L598" s="15"/>
    </row>
    <row r="599" ht="15.75" customHeight="1">
      <c r="L599" s="15"/>
    </row>
    <row r="600" ht="15.75" customHeight="1">
      <c r="L600" s="15"/>
    </row>
    <row r="601" ht="15.75" customHeight="1">
      <c r="L601" s="15"/>
    </row>
    <row r="602" ht="15.75" customHeight="1">
      <c r="L602" s="15"/>
    </row>
    <row r="603" ht="15.75" customHeight="1">
      <c r="L603" s="15"/>
    </row>
    <row r="604" ht="15.75" customHeight="1">
      <c r="L604" s="15"/>
    </row>
    <row r="605" ht="15.75" customHeight="1">
      <c r="L605" s="15"/>
    </row>
    <row r="606" ht="15.75" customHeight="1">
      <c r="L606" s="15"/>
    </row>
    <row r="607" ht="15.75" customHeight="1">
      <c r="L607" s="15"/>
    </row>
    <row r="608" ht="15.75" customHeight="1">
      <c r="L608" s="15"/>
    </row>
    <row r="609" ht="15.75" customHeight="1">
      <c r="L609" s="15"/>
    </row>
    <row r="610" ht="15.75" customHeight="1">
      <c r="L610" s="15"/>
    </row>
    <row r="611" ht="15.75" customHeight="1">
      <c r="L611" s="15"/>
    </row>
    <row r="612" ht="15.75" customHeight="1">
      <c r="L612" s="15"/>
    </row>
    <row r="613" ht="15.75" customHeight="1">
      <c r="L613" s="15"/>
    </row>
    <row r="614" ht="15.75" customHeight="1">
      <c r="L614" s="15"/>
    </row>
    <row r="615" ht="15.75" customHeight="1">
      <c r="L615" s="15"/>
    </row>
    <row r="616" ht="15.75" customHeight="1">
      <c r="L616" s="15"/>
    </row>
    <row r="617" ht="15.75" customHeight="1">
      <c r="L617" s="15"/>
    </row>
    <row r="618" ht="15.75" customHeight="1">
      <c r="L618" s="15"/>
    </row>
    <row r="619" ht="15.75" customHeight="1">
      <c r="L619" s="15"/>
    </row>
    <row r="620" ht="15.75" customHeight="1">
      <c r="L620" s="15"/>
    </row>
    <row r="621" ht="15.75" customHeight="1">
      <c r="L621" s="15"/>
    </row>
    <row r="622" ht="15.75" customHeight="1">
      <c r="L622" s="15"/>
    </row>
    <row r="623" ht="15.75" customHeight="1">
      <c r="L623" s="15"/>
    </row>
    <row r="624" ht="15.75" customHeight="1">
      <c r="L624" s="15"/>
    </row>
    <row r="625" ht="15.75" customHeight="1">
      <c r="L625" s="15"/>
    </row>
    <row r="626" ht="15.75" customHeight="1">
      <c r="L626" s="15"/>
    </row>
    <row r="627" ht="15.75" customHeight="1">
      <c r="L627" s="15"/>
    </row>
    <row r="628" ht="15.75" customHeight="1">
      <c r="L628" s="15"/>
    </row>
    <row r="629" ht="15.75" customHeight="1">
      <c r="L629" s="15"/>
    </row>
    <row r="630" ht="15.75" customHeight="1">
      <c r="L630" s="15"/>
    </row>
    <row r="631" ht="15.75" customHeight="1">
      <c r="L631" s="15"/>
    </row>
    <row r="632" ht="15.75" customHeight="1">
      <c r="L632" s="15"/>
    </row>
    <row r="633" ht="15.75" customHeight="1">
      <c r="L633" s="15"/>
    </row>
    <row r="634" ht="15.75" customHeight="1">
      <c r="L634" s="15"/>
    </row>
    <row r="635" ht="15.75" customHeight="1">
      <c r="L635" s="15"/>
    </row>
    <row r="636" ht="15.75" customHeight="1">
      <c r="L636" s="15"/>
    </row>
    <row r="637" ht="15.75" customHeight="1">
      <c r="L637" s="15"/>
    </row>
    <row r="638" ht="15.75" customHeight="1">
      <c r="L638" s="15"/>
    </row>
    <row r="639" ht="15.75" customHeight="1">
      <c r="L639" s="15"/>
    </row>
    <row r="640" ht="15.75" customHeight="1">
      <c r="L640" s="15"/>
    </row>
    <row r="641" ht="15.75" customHeight="1">
      <c r="L641" s="15"/>
    </row>
    <row r="642" ht="15.75" customHeight="1">
      <c r="L642" s="15"/>
    </row>
    <row r="643" ht="15.75" customHeight="1">
      <c r="L643" s="15"/>
    </row>
    <row r="644" ht="15.75" customHeight="1">
      <c r="L644" s="15"/>
    </row>
    <row r="645" ht="15.75" customHeight="1">
      <c r="L645" s="15"/>
    </row>
    <row r="646" ht="15.75" customHeight="1">
      <c r="L646" s="15"/>
    </row>
    <row r="647" ht="15.75" customHeight="1">
      <c r="L647" s="15"/>
    </row>
    <row r="648" ht="15.75" customHeight="1">
      <c r="L648" s="15"/>
    </row>
    <row r="649" ht="15.75" customHeight="1">
      <c r="L649" s="15"/>
    </row>
    <row r="650" ht="15.75" customHeight="1">
      <c r="L650" s="15"/>
    </row>
    <row r="651" ht="15.75" customHeight="1">
      <c r="L651" s="15"/>
    </row>
    <row r="652" ht="15.75" customHeight="1">
      <c r="L652" s="15"/>
    </row>
    <row r="653" ht="15.75" customHeight="1">
      <c r="L653" s="15"/>
    </row>
    <row r="654" ht="15.75" customHeight="1">
      <c r="L654" s="15"/>
    </row>
    <row r="655" ht="15.75" customHeight="1">
      <c r="L655" s="15"/>
    </row>
    <row r="656" ht="15.75" customHeight="1">
      <c r="L656" s="15"/>
    </row>
    <row r="657" ht="15.75" customHeight="1">
      <c r="L657" s="15"/>
    </row>
    <row r="658" ht="15.75" customHeight="1">
      <c r="L658" s="15"/>
    </row>
    <row r="659" ht="15.75" customHeight="1">
      <c r="L659" s="15"/>
    </row>
    <row r="660" ht="15.75" customHeight="1">
      <c r="L660" s="15"/>
    </row>
    <row r="661" ht="15.75" customHeight="1">
      <c r="L661" s="15"/>
    </row>
    <row r="662" ht="15.75" customHeight="1">
      <c r="L662" s="15"/>
    </row>
    <row r="663" ht="15.75" customHeight="1">
      <c r="L663" s="15"/>
    </row>
    <row r="664" ht="15.75" customHeight="1">
      <c r="L664" s="15"/>
    </row>
    <row r="665" ht="15.75" customHeight="1">
      <c r="L665" s="15"/>
    </row>
    <row r="666" ht="15.75" customHeight="1">
      <c r="L666" s="15"/>
    </row>
    <row r="667" ht="15.75" customHeight="1">
      <c r="L667" s="15"/>
    </row>
    <row r="668" ht="15.75" customHeight="1">
      <c r="L668" s="15"/>
    </row>
    <row r="669" ht="15.75" customHeight="1">
      <c r="L669" s="15"/>
    </row>
    <row r="670" ht="15.75" customHeight="1">
      <c r="L670" s="15"/>
    </row>
    <row r="671" ht="15.75" customHeight="1">
      <c r="L671" s="15"/>
    </row>
    <row r="672" ht="15.75" customHeight="1">
      <c r="L672" s="15"/>
    </row>
    <row r="673" ht="15.75" customHeight="1">
      <c r="L673" s="15"/>
    </row>
    <row r="674" ht="15.75" customHeight="1">
      <c r="L674" s="15"/>
    </row>
    <row r="675" ht="15.75" customHeight="1">
      <c r="L675" s="15"/>
    </row>
    <row r="676" ht="15.75" customHeight="1">
      <c r="L676" s="15"/>
    </row>
    <row r="677" ht="15.75" customHeight="1">
      <c r="L677" s="15"/>
    </row>
    <row r="678" ht="15.75" customHeight="1">
      <c r="L678" s="15"/>
    </row>
    <row r="679" ht="15.75" customHeight="1">
      <c r="L679" s="15"/>
    </row>
    <row r="680" ht="15.75" customHeight="1">
      <c r="L680" s="15"/>
    </row>
    <row r="681" ht="15.75" customHeight="1">
      <c r="L681" s="15"/>
    </row>
    <row r="682" ht="15.75" customHeight="1">
      <c r="L682" s="15"/>
    </row>
    <row r="683" ht="15.75" customHeight="1">
      <c r="L683" s="15"/>
    </row>
    <row r="684" ht="15.75" customHeight="1">
      <c r="L684" s="15"/>
    </row>
    <row r="685" ht="15.75" customHeight="1">
      <c r="L685" s="15"/>
    </row>
    <row r="686" ht="15.75" customHeight="1">
      <c r="L686" s="15"/>
    </row>
    <row r="687" ht="15.75" customHeight="1">
      <c r="L687" s="15"/>
    </row>
    <row r="688" ht="15.75" customHeight="1">
      <c r="L688" s="15"/>
    </row>
    <row r="689" ht="15.75" customHeight="1">
      <c r="L689" s="15"/>
    </row>
    <row r="690" ht="15.75" customHeight="1">
      <c r="L690" s="15"/>
    </row>
    <row r="691" ht="15.75" customHeight="1">
      <c r="L691" s="15"/>
    </row>
    <row r="692" ht="15.75" customHeight="1">
      <c r="L692" s="15"/>
    </row>
    <row r="693" ht="15.75" customHeight="1">
      <c r="L693" s="15"/>
    </row>
    <row r="694" ht="15.75" customHeight="1">
      <c r="L694" s="15"/>
    </row>
    <row r="695" ht="15.75" customHeight="1">
      <c r="L695" s="15"/>
    </row>
    <row r="696" ht="15.75" customHeight="1">
      <c r="L696" s="15"/>
    </row>
    <row r="697" ht="15.75" customHeight="1">
      <c r="L697" s="15"/>
    </row>
    <row r="698" ht="15.75" customHeight="1">
      <c r="L698" s="15"/>
    </row>
    <row r="699" ht="15.75" customHeight="1">
      <c r="L699" s="15"/>
    </row>
    <row r="700" ht="15.75" customHeight="1">
      <c r="L700" s="15"/>
    </row>
    <row r="701" ht="15.75" customHeight="1">
      <c r="L701" s="15"/>
    </row>
    <row r="702" ht="15.75" customHeight="1">
      <c r="L702" s="15"/>
    </row>
    <row r="703" ht="15.75" customHeight="1">
      <c r="L703" s="15"/>
    </row>
    <row r="704" ht="15.75" customHeight="1">
      <c r="L704" s="15"/>
    </row>
    <row r="705" ht="15.75" customHeight="1">
      <c r="L705" s="15"/>
    </row>
    <row r="706" ht="15.75" customHeight="1">
      <c r="L706" s="15"/>
    </row>
    <row r="707" ht="15.75" customHeight="1">
      <c r="L707" s="15"/>
    </row>
    <row r="708" ht="15.75" customHeight="1">
      <c r="L708" s="15"/>
    </row>
    <row r="709" ht="15.75" customHeight="1">
      <c r="L709" s="15"/>
    </row>
    <row r="710" ht="15.75" customHeight="1">
      <c r="L710" s="15"/>
    </row>
    <row r="711" ht="15.75" customHeight="1">
      <c r="L711" s="15"/>
    </row>
    <row r="712" ht="15.75" customHeight="1">
      <c r="L712" s="15"/>
    </row>
    <row r="713" ht="15.75" customHeight="1">
      <c r="L713" s="15"/>
    </row>
    <row r="714" ht="15.75" customHeight="1">
      <c r="L714" s="15"/>
    </row>
    <row r="715" ht="15.75" customHeight="1">
      <c r="L715" s="15"/>
    </row>
    <row r="716" ht="15.75" customHeight="1">
      <c r="L716" s="15"/>
    </row>
    <row r="717" ht="15.75" customHeight="1">
      <c r="L717" s="15"/>
    </row>
    <row r="718" ht="15.75" customHeight="1">
      <c r="L718" s="15"/>
    </row>
    <row r="719" ht="15.75" customHeight="1">
      <c r="L719" s="15"/>
    </row>
    <row r="720" ht="15.75" customHeight="1">
      <c r="L720" s="15"/>
    </row>
    <row r="721" ht="15.75" customHeight="1">
      <c r="L721" s="15"/>
    </row>
    <row r="722" ht="15.75" customHeight="1">
      <c r="L722" s="15"/>
    </row>
    <row r="723" ht="15.75" customHeight="1">
      <c r="L723" s="15"/>
    </row>
    <row r="724" ht="15.75" customHeight="1">
      <c r="L724" s="15"/>
    </row>
    <row r="725" ht="15.75" customHeight="1">
      <c r="L725" s="15"/>
    </row>
    <row r="726" ht="15.75" customHeight="1">
      <c r="L726" s="15"/>
    </row>
    <row r="727" ht="15.75" customHeight="1">
      <c r="L727" s="15"/>
    </row>
    <row r="728" ht="15.75" customHeight="1">
      <c r="L728" s="15"/>
    </row>
    <row r="729" ht="15.75" customHeight="1">
      <c r="L729" s="15"/>
    </row>
    <row r="730" ht="15.75" customHeight="1">
      <c r="L730" s="15"/>
    </row>
    <row r="731" ht="15.75" customHeight="1">
      <c r="L731" s="15"/>
    </row>
    <row r="732" ht="15.75" customHeight="1">
      <c r="L732" s="15"/>
    </row>
    <row r="733" ht="15.75" customHeight="1">
      <c r="L733" s="15"/>
    </row>
    <row r="734" ht="15.75" customHeight="1">
      <c r="L734" s="15"/>
    </row>
    <row r="735" ht="15.75" customHeight="1">
      <c r="L735" s="15"/>
    </row>
    <row r="736" ht="15.75" customHeight="1">
      <c r="L736" s="15"/>
    </row>
    <row r="737" ht="15.75" customHeight="1">
      <c r="L737" s="15"/>
    </row>
    <row r="738" ht="15.75" customHeight="1">
      <c r="L738" s="15"/>
    </row>
    <row r="739" ht="15.75" customHeight="1">
      <c r="L739" s="15"/>
    </row>
    <row r="740" ht="15.75" customHeight="1">
      <c r="L740" s="15"/>
    </row>
    <row r="741" ht="15.75" customHeight="1">
      <c r="L741" s="15"/>
    </row>
    <row r="742" ht="15.75" customHeight="1">
      <c r="L742" s="15"/>
    </row>
    <row r="743" ht="15.75" customHeight="1">
      <c r="L743" s="15"/>
    </row>
    <row r="744" ht="15.75" customHeight="1">
      <c r="L744" s="15"/>
    </row>
    <row r="745" ht="15.75" customHeight="1">
      <c r="L745" s="15"/>
    </row>
    <row r="746" ht="15.75" customHeight="1">
      <c r="L746" s="15"/>
    </row>
    <row r="747" ht="15.75" customHeight="1">
      <c r="L747" s="15"/>
    </row>
    <row r="748" ht="15.75" customHeight="1">
      <c r="L748" s="15"/>
    </row>
    <row r="749" ht="15.75" customHeight="1">
      <c r="L749" s="15"/>
    </row>
    <row r="750" ht="15.75" customHeight="1">
      <c r="L750" s="15"/>
    </row>
    <row r="751" ht="15.75" customHeight="1">
      <c r="L751" s="15"/>
    </row>
    <row r="752" ht="15.75" customHeight="1">
      <c r="L752" s="15"/>
    </row>
    <row r="753" ht="15.75" customHeight="1">
      <c r="L753" s="15"/>
    </row>
    <row r="754" ht="15.75" customHeight="1">
      <c r="L754" s="15"/>
    </row>
    <row r="755" ht="15.75" customHeight="1">
      <c r="L755" s="15"/>
    </row>
    <row r="756" ht="15.75" customHeight="1">
      <c r="L756" s="15"/>
    </row>
    <row r="757" ht="15.75" customHeight="1">
      <c r="L757" s="15"/>
    </row>
    <row r="758" ht="15.75" customHeight="1">
      <c r="L758" s="15"/>
    </row>
    <row r="759" ht="15.75" customHeight="1">
      <c r="L759" s="15"/>
    </row>
    <row r="760" ht="15.75" customHeight="1">
      <c r="L760" s="15"/>
    </row>
    <row r="761" ht="15.75" customHeight="1">
      <c r="L761" s="15"/>
    </row>
    <row r="762" ht="15.75" customHeight="1">
      <c r="L762" s="15"/>
    </row>
    <row r="763" ht="15.75" customHeight="1">
      <c r="L763" s="15"/>
    </row>
    <row r="764" ht="15.75" customHeight="1">
      <c r="L764" s="15"/>
    </row>
    <row r="765" ht="15.75" customHeight="1">
      <c r="L765" s="15"/>
    </row>
    <row r="766" ht="15.75" customHeight="1">
      <c r="L766" s="15"/>
    </row>
    <row r="767" ht="15.75" customHeight="1">
      <c r="L767" s="15"/>
    </row>
    <row r="768" ht="15.75" customHeight="1">
      <c r="L768" s="15"/>
    </row>
    <row r="769" ht="15.75" customHeight="1">
      <c r="L769" s="15"/>
    </row>
    <row r="770" ht="15.75" customHeight="1">
      <c r="L770" s="15"/>
    </row>
    <row r="771" ht="15.75" customHeight="1">
      <c r="L771" s="15"/>
    </row>
    <row r="772" ht="15.75" customHeight="1">
      <c r="L772" s="15"/>
    </row>
    <row r="773" ht="15.75" customHeight="1">
      <c r="L773" s="15"/>
    </row>
    <row r="774" ht="15.75" customHeight="1">
      <c r="L774" s="15"/>
    </row>
    <row r="775" ht="15.75" customHeight="1">
      <c r="L775" s="15"/>
    </row>
    <row r="776" ht="15.75" customHeight="1">
      <c r="L776" s="15"/>
    </row>
    <row r="777" ht="15.75" customHeight="1">
      <c r="L777" s="15"/>
    </row>
    <row r="778" ht="15.75" customHeight="1">
      <c r="L778" s="15"/>
    </row>
    <row r="779" ht="15.75" customHeight="1">
      <c r="L779" s="15"/>
    </row>
    <row r="780" ht="15.75" customHeight="1">
      <c r="L780" s="15"/>
    </row>
    <row r="781" ht="15.75" customHeight="1">
      <c r="L781" s="15"/>
    </row>
    <row r="782" ht="15.75" customHeight="1">
      <c r="L782" s="15"/>
    </row>
    <row r="783" ht="15.75" customHeight="1">
      <c r="L783" s="15"/>
    </row>
    <row r="784" ht="15.75" customHeight="1">
      <c r="L784" s="15"/>
    </row>
    <row r="785" ht="15.75" customHeight="1">
      <c r="L785" s="15"/>
    </row>
    <row r="786" ht="15.75" customHeight="1">
      <c r="L786" s="15"/>
    </row>
    <row r="787" ht="15.75" customHeight="1">
      <c r="L787" s="15"/>
    </row>
    <row r="788" ht="15.75" customHeight="1">
      <c r="L788" s="15"/>
    </row>
    <row r="789" ht="15.75" customHeight="1">
      <c r="L789" s="15"/>
    </row>
    <row r="790" ht="15.75" customHeight="1">
      <c r="L790" s="15"/>
    </row>
    <row r="791" ht="15.75" customHeight="1">
      <c r="L791" s="15"/>
    </row>
    <row r="792" ht="15.75" customHeight="1">
      <c r="L792" s="15"/>
    </row>
    <row r="793" ht="15.75" customHeight="1">
      <c r="L793" s="15"/>
    </row>
    <row r="794" ht="15.75" customHeight="1">
      <c r="L794" s="15"/>
    </row>
    <row r="795" ht="15.75" customHeight="1">
      <c r="L795" s="15"/>
    </row>
    <row r="796" ht="15.75" customHeight="1">
      <c r="L796" s="15"/>
    </row>
    <row r="797" ht="15.75" customHeight="1">
      <c r="L797" s="15"/>
    </row>
    <row r="798" ht="15.75" customHeight="1">
      <c r="L798" s="15"/>
    </row>
    <row r="799" ht="15.75" customHeight="1">
      <c r="L799" s="15"/>
    </row>
    <row r="800" ht="15.75" customHeight="1">
      <c r="L800" s="15"/>
    </row>
    <row r="801" ht="15.75" customHeight="1">
      <c r="L801" s="15"/>
    </row>
    <row r="802" ht="15.75" customHeight="1">
      <c r="L802" s="15"/>
    </row>
    <row r="803" ht="15.75" customHeight="1">
      <c r="L803" s="15"/>
    </row>
    <row r="804" ht="15.75" customHeight="1">
      <c r="L804" s="15"/>
    </row>
    <row r="805" ht="15.75" customHeight="1">
      <c r="L805" s="15"/>
    </row>
    <row r="806" ht="15.75" customHeight="1">
      <c r="L806" s="15"/>
    </row>
    <row r="807" ht="15.75" customHeight="1">
      <c r="L807" s="15"/>
    </row>
    <row r="808" ht="15.75" customHeight="1">
      <c r="L808" s="15"/>
    </row>
    <row r="809" ht="15.75" customHeight="1">
      <c r="L809" s="15"/>
    </row>
    <row r="810" ht="15.75" customHeight="1">
      <c r="L810" s="15"/>
    </row>
    <row r="811" ht="15.75" customHeight="1">
      <c r="L811" s="15"/>
    </row>
    <row r="812" ht="15.75" customHeight="1">
      <c r="L812" s="15"/>
    </row>
    <row r="813" ht="15.75" customHeight="1">
      <c r="L813" s="15"/>
    </row>
    <row r="814" ht="15.75" customHeight="1">
      <c r="L814" s="15"/>
    </row>
    <row r="815" ht="15.75" customHeight="1">
      <c r="L815" s="15"/>
    </row>
    <row r="816" ht="15.75" customHeight="1">
      <c r="L816" s="15"/>
    </row>
    <row r="817" ht="15.75" customHeight="1">
      <c r="L817" s="15"/>
    </row>
    <row r="818" ht="15.75" customHeight="1">
      <c r="L818" s="15"/>
    </row>
    <row r="819" ht="15.75" customHeight="1">
      <c r="L819" s="15"/>
    </row>
    <row r="820" ht="15.75" customHeight="1">
      <c r="L820" s="15"/>
    </row>
    <row r="821" ht="15.75" customHeight="1">
      <c r="L821" s="15"/>
    </row>
    <row r="822" ht="15.75" customHeight="1">
      <c r="L822" s="15"/>
    </row>
    <row r="823" ht="15.75" customHeight="1">
      <c r="L823" s="15"/>
    </row>
    <row r="824" ht="15.75" customHeight="1">
      <c r="L824" s="15"/>
    </row>
    <row r="825" ht="15.75" customHeight="1">
      <c r="L825" s="15"/>
    </row>
    <row r="826" ht="15.75" customHeight="1">
      <c r="L826" s="15"/>
    </row>
    <row r="827" ht="15.75" customHeight="1">
      <c r="L827" s="15"/>
    </row>
    <row r="828" ht="15.75" customHeight="1">
      <c r="L828" s="15"/>
    </row>
    <row r="829" ht="15.75" customHeight="1">
      <c r="L829" s="15"/>
    </row>
    <row r="830" ht="15.75" customHeight="1">
      <c r="L830" s="15"/>
    </row>
    <row r="831" ht="15.75" customHeight="1">
      <c r="L831" s="15"/>
    </row>
    <row r="832" ht="15.75" customHeight="1">
      <c r="L832" s="15"/>
    </row>
    <row r="833" ht="15.75" customHeight="1">
      <c r="L833" s="15"/>
    </row>
    <row r="834" ht="15.75" customHeight="1">
      <c r="L834" s="15"/>
    </row>
    <row r="835" ht="15.75" customHeight="1">
      <c r="L835" s="15"/>
    </row>
    <row r="836" ht="15.75" customHeight="1">
      <c r="L836" s="15"/>
    </row>
    <row r="837" ht="15.75" customHeight="1">
      <c r="L837" s="15"/>
    </row>
    <row r="838" ht="15.75" customHeight="1">
      <c r="L838" s="15"/>
    </row>
    <row r="839" ht="15.75" customHeight="1">
      <c r="L839" s="15"/>
    </row>
    <row r="840" ht="15.75" customHeight="1">
      <c r="L840" s="15"/>
    </row>
    <row r="841" ht="15.75" customHeight="1">
      <c r="L841" s="15"/>
    </row>
    <row r="842" ht="15.75" customHeight="1">
      <c r="L842" s="15"/>
    </row>
    <row r="843" ht="15.75" customHeight="1">
      <c r="L843" s="15"/>
    </row>
    <row r="844" ht="15.75" customHeight="1">
      <c r="L844" s="15"/>
    </row>
    <row r="845" ht="15.75" customHeight="1">
      <c r="L845" s="15"/>
    </row>
    <row r="846" ht="15.75" customHeight="1">
      <c r="L846" s="15"/>
    </row>
    <row r="847" ht="15.75" customHeight="1">
      <c r="L847" s="15"/>
    </row>
    <row r="848" ht="15.75" customHeight="1">
      <c r="L848" s="15"/>
    </row>
    <row r="849" ht="15.75" customHeight="1">
      <c r="L849" s="15"/>
    </row>
    <row r="850" ht="15.75" customHeight="1">
      <c r="L850" s="15"/>
    </row>
    <row r="851" ht="15.75" customHeight="1">
      <c r="L851" s="15"/>
    </row>
    <row r="852" ht="15.75" customHeight="1">
      <c r="L852" s="15"/>
    </row>
    <row r="853" ht="15.75" customHeight="1">
      <c r="L853" s="15"/>
    </row>
    <row r="854" ht="15.75" customHeight="1">
      <c r="L854" s="15"/>
    </row>
    <row r="855" ht="15.75" customHeight="1">
      <c r="L855" s="15"/>
    </row>
    <row r="856" ht="15.75" customHeight="1">
      <c r="L856" s="15"/>
    </row>
    <row r="857" ht="15.75" customHeight="1">
      <c r="L857" s="15"/>
    </row>
    <row r="858" ht="15.75" customHeight="1">
      <c r="L858" s="15"/>
    </row>
    <row r="859" ht="15.75" customHeight="1">
      <c r="L859" s="15"/>
    </row>
    <row r="860" ht="15.75" customHeight="1">
      <c r="L860" s="15"/>
    </row>
    <row r="861" ht="15.75" customHeight="1">
      <c r="L861" s="15"/>
    </row>
    <row r="862" ht="15.75" customHeight="1">
      <c r="L862" s="15"/>
    </row>
    <row r="863" ht="15.75" customHeight="1">
      <c r="L863" s="15"/>
    </row>
    <row r="864" ht="15.75" customHeight="1">
      <c r="L864" s="15"/>
    </row>
    <row r="865" ht="15.75" customHeight="1">
      <c r="L865" s="15"/>
    </row>
    <row r="866" ht="15.75" customHeight="1">
      <c r="L866" s="15"/>
    </row>
    <row r="867" ht="15.75" customHeight="1">
      <c r="L867" s="15"/>
    </row>
    <row r="868" ht="15.75" customHeight="1">
      <c r="L868" s="15"/>
    </row>
    <row r="869" ht="15.75" customHeight="1">
      <c r="L869" s="15"/>
    </row>
    <row r="870" ht="15.75" customHeight="1">
      <c r="L870" s="15"/>
    </row>
    <row r="871" ht="15.75" customHeight="1">
      <c r="L871" s="15"/>
    </row>
    <row r="872" ht="15.75" customHeight="1">
      <c r="L872" s="15"/>
    </row>
    <row r="873" ht="15.75" customHeight="1">
      <c r="L873" s="15"/>
    </row>
    <row r="874" ht="15.75" customHeight="1">
      <c r="L874" s="15"/>
    </row>
    <row r="875" ht="15.75" customHeight="1">
      <c r="L875" s="15"/>
    </row>
    <row r="876" ht="15.75" customHeight="1">
      <c r="L876" s="15"/>
    </row>
    <row r="877" ht="15.75" customHeight="1">
      <c r="L877" s="15"/>
    </row>
    <row r="878" ht="15.75" customHeight="1">
      <c r="L878" s="15"/>
    </row>
    <row r="879" ht="15.75" customHeight="1">
      <c r="L879" s="15"/>
    </row>
    <row r="880" ht="15.75" customHeight="1">
      <c r="L880" s="15"/>
    </row>
    <row r="881" ht="15.75" customHeight="1">
      <c r="L881" s="15"/>
    </row>
    <row r="882" ht="15.75" customHeight="1">
      <c r="L882" s="15"/>
    </row>
    <row r="883" ht="15.75" customHeight="1">
      <c r="L883" s="15"/>
    </row>
    <row r="884" ht="15.75" customHeight="1">
      <c r="L884" s="15"/>
    </row>
    <row r="885" ht="15.75" customHeight="1">
      <c r="L885" s="15"/>
    </row>
    <row r="886" ht="15.75" customHeight="1">
      <c r="L886" s="15"/>
    </row>
    <row r="887" ht="15.75" customHeight="1">
      <c r="L887" s="15"/>
    </row>
    <row r="888" ht="15.75" customHeight="1">
      <c r="L888" s="15"/>
    </row>
    <row r="889" ht="15.75" customHeight="1">
      <c r="L889" s="15"/>
    </row>
    <row r="890" ht="15.75" customHeight="1">
      <c r="L890" s="15"/>
    </row>
    <row r="891" ht="15.75" customHeight="1">
      <c r="L891" s="15"/>
    </row>
    <row r="892" ht="15.75" customHeight="1">
      <c r="L892" s="15"/>
    </row>
    <row r="893" ht="15.75" customHeight="1">
      <c r="L893" s="15"/>
    </row>
    <row r="894" ht="15.75" customHeight="1">
      <c r="L894" s="15"/>
    </row>
    <row r="895" ht="15.75" customHeight="1">
      <c r="L895" s="15"/>
    </row>
    <row r="896" ht="15.75" customHeight="1">
      <c r="L896" s="15"/>
    </row>
    <row r="897" ht="15.75" customHeight="1">
      <c r="L897" s="15"/>
    </row>
    <row r="898" ht="15.75" customHeight="1">
      <c r="L898" s="15"/>
    </row>
    <row r="899" ht="15.75" customHeight="1">
      <c r="L899" s="15"/>
    </row>
    <row r="900" ht="15.75" customHeight="1">
      <c r="L900" s="15"/>
    </row>
    <row r="901" ht="15.75" customHeight="1">
      <c r="L901" s="15"/>
    </row>
    <row r="902" ht="15.75" customHeight="1">
      <c r="L902" s="15"/>
    </row>
    <row r="903" ht="15.75" customHeight="1">
      <c r="L903" s="15"/>
    </row>
    <row r="904" ht="15.75" customHeight="1">
      <c r="L904" s="15"/>
    </row>
    <row r="905" ht="15.75" customHeight="1">
      <c r="L905" s="15"/>
    </row>
    <row r="906" ht="15.75" customHeight="1">
      <c r="L906" s="15"/>
    </row>
    <row r="907" ht="15.75" customHeight="1">
      <c r="L907" s="15"/>
    </row>
    <row r="908" ht="15.75" customHeight="1">
      <c r="L908" s="15"/>
    </row>
    <row r="909" ht="15.75" customHeight="1">
      <c r="L909" s="15"/>
    </row>
    <row r="910" ht="15.75" customHeight="1">
      <c r="L910" s="15"/>
    </row>
    <row r="911" ht="15.75" customHeight="1">
      <c r="L911" s="15"/>
    </row>
    <row r="912" ht="15.75" customHeight="1">
      <c r="L912" s="15"/>
    </row>
    <row r="913" ht="15.75" customHeight="1">
      <c r="L913" s="15"/>
    </row>
    <row r="914" ht="15.75" customHeight="1">
      <c r="L914" s="15"/>
    </row>
    <row r="915" ht="15.75" customHeight="1">
      <c r="L915" s="15"/>
    </row>
    <row r="916" ht="15.75" customHeight="1">
      <c r="L916" s="15"/>
    </row>
    <row r="917" ht="15.75" customHeight="1">
      <c r="L917" s="15"/>
    </row>
    <row r="918" ht="15.75" customHeight="1">
      <c r="L918" s="15"/>
    </row>
    <row r="919" ht="15.75" customHeight="1">
      <c r="L919" s="15"/>
    </row>
    <row r="920" ht="15.75" customHeight="1">
      <c r="L920" s="15"/>
    </row>
    <row r="921" ht="15.75" customHeight="1">
      <c r="L921" s="15"/>
    </row>
    <row r="922" ht="15.75" customHeight="1">
      <c r="L922" s="15"/>
    </row>
    <row r="923" ht="15.75" customHeight="1">
      <c r="L923" s="15"/>
    </row>
    <row r="924" ht="15.75" customHeight="1">
      <c r="L924" s="15"/>
    </row>
    <row r="925" ht="15.75" customHeight="1">
      <c r="L925" s="15"/>
    </row>
    <row r="926" ht="15.75" customHeight="1">
      <c r="L926" s="15"/>
    </row>
    <row r="927" ht="15.75" customHeight="1">
      <c r="L927" s="15"/>
    </row>
    <row r="928" ht="15.75" customHeight="1">
      <c r="L928" s="15"/>
    </row>
    <row r="929" ht="15.75" customHeight="1">
      <c r="L929" s="15"/>
    </row>
    <row r="930" ht="15.75" customHeight="1">
      <c r="L930" s="15"/>
    </row>
    <row r="931" ht="15.75" customHeight="1">
      <c r="L931" s="15"/>
    </row>
    <row r="932" ht="15.75" customHeight="1">
      <c r="L932" s="15"/>
    </row>
    <row r="933" ht="15.75" customHeight="1">
      <c r="L933" s="15"/>
    </row>
    <row r="934" ht="15.75" customHeight="1">
      <c r="L934" s="15"/>
    </row>
    <row r="935" ht="15.75" customHeight="1">
      <c r="L935" s="15"/>
    </row>
    <row r="936" ht="15.75" customHeight="1">
      <c r="L936" s="15"/>
    </row>
    <row r="937" ht="15.75" customHeight="1">
      <c r="L937" s="15"/>
    </row>
    <row r="938" ht="15.75" customHeight="1">
      <c r="L938" s="15"/>
    </row>
    <row r="939" ht="15.75" customHeight="1">
      <c r="L939" s="15"/>
    </row>
    <row r="940" ht="15.75" customHeight="1">
      <c r="L940" s="15"/>
    </row>
    <row r="941" ht="15.75" customHeight="1">
      <c r="L941" s="15"/>
    </row>
    <row r="942" ht="15.75" customHeight="1">
      <c r="L942" s="15"/>
    </row>
    <row r="943" ht="15.75" customHeight="1">
      <c r="L943" s="15"/>
    </row>
    <row r="944" ht="15.75" customHeight="1">
      <c r="L944" s="15"/>
    </row>
    <row r="945" ht="15.75" customHeight="1">
      <c r="L945" s="15"/>
    </row>
    <row r="946" ht="15.75" customHeight="1">
      <c r="L946" s="15"/>
    </row>
    <row r="947" ht="15.75" customHeight="1">
      <c r="L947" s="15"/>
    </row>
    <row r="948" ht="15.75" customHeight="1">
      <c r="L948" s="15"/>
    </row>
    <row r="949" ht="15.75" customHeight="1">
      <c r="L949" s="15"/>
    </row>
    <row r="950" ht="15.75" customHeight="1">
      <c r="L950" s="15"/>
    </row>
    <row r="951" ht="15.75" customHeight="1">
      <c r="L951" s="15"/>
    </row>
    <row r="952" ht="15.75" customHeight="1">
      <c r="L952" s="15"/>
    </row>
    <row r="953" ht="15.75" customHeight="1">
      <c r="L953" s="15"/>
    </row>
    <row r="954" ht="15.75" customHeight="1">
      <c r="L954" s="15"/>
    </row>
    <row r="955" ht="15.75" customHeight="1">
      <c r="L955" s="15"/>
    </row>
    <row r="956" ht="15.75" customHeight="1">
      <c r="L956" s="15"/>
    </row>
    <row r="957" ht="15.75" customHeight="1">
      <c r="L957" s="15"/>
    </row>
    <row r="958" ht="15.75" customHeight="1">
      <c r="L958" s="15"/>
    </row>
    <row r="959" ht="15.75" customHeight="1">
      <c r="L959" s="15"/>
    </row>
    <row r="960" ht="15.75" customHeight="1">
      <c r="L960" s="15"/>
    </row>
    <row r="961" ht="15.75" customHeight="1">
      <c r="L961" s="15"/>
    </row>
    <row r="962" ht="15.75" customHeight="1">
      <c r="L962" s="15"/>
    </row>
    <row r="963" ht="15.75" customHeight="1">
      <c r="L963" s="15"/>
    </row>
    <row r="964" ht="15.75" customHeight="1">
      <c r="L964" s="15"/>
    </row>
    <row r="965" ht="15.75" customHeight="1">
      <c r="L965" s="15"/>
    </row>
    <row r="966" ht="15.75" customHeight="1">
      <c r="L966" s="15"/>
    </row>
    <row r="967" ht="15.75" customHeight="1">
      <c r="L967" s="15"/>
    </row>
    <row r="968" ht="15.75" customHeight="1">
      <c r="L968" s="15"/>
    </row>
    <row r="969" ht="15.75" customHeight="1">
      <c r="L969" s="15"/>
    </row>
    <row r="970" ht="15.75" customHeight="1">
      <c r="L970" s="15"/>
    </row>
    <row r="971" ht="15.75" customHeight="1">
      <c r="L971" s="15"/>
    </row>
    <row r="972" ht="15.75" customHeight="1">
      <c r="L972" s="15"/>
    </row>
    <row r="973" ht="15.75" customHeight="1">
      <c r="L973" s="15"/>
    </row>
    <row r="974" ht="15.75" customHeight="1">
      <c r="L974" s="15"/>
    </row>
    <row r="975" ht="15.75" customHeight="1">
      <c r="L975" s="15"/>
    </row>
    <row r="976" ht="15.75" customHeight="1">
      <c r="L976" s="15"/>
    </row>
    <row r="977" ht="15.75" customHeight="1">
      <c r="L977" s="15"/>
    </row>
    <row r="978" ht="15.75" customHeight="1">
      <c r="L978" s="15"/>
    </row>
    <row r="979" ht="15.75" customHeight="1">
      <c r="L979" s="15"/>
    </row>
    <row r="980" ht="15.75" customHeight="1">
      <c r="L980" s="15"/>
    </row>
    <row r="981" ht="15.75" customHeight="1">
      <c r="L981" s="15"/>
    </row>
    <row r="982" ht="15.75" customHeight="1">
      <c r="L982" s="15"/>
    </row>
    <row r="983" ht="15.75" customHeight="1">
      <c r="L983" s="15"/>
    </row>
    <row r="984" ht="15.75" customHeight="1">
      <c r="L984" s="15"/>
    </row>
    <row r="985" ht="15.75" customHeight="1">
      <c r="L985" s="15"/>
    </row>
    <row r="986" ht="15.75" customHeight="1">
      <c r="L986" s="15"/>
    </row>
    <row r="987" ht="15.75" customHeight="1">
      <c r="L987" s="15"/>
    </row>
    <row r="988" ht="15.75" customHeight="1">
      <c r="L988" s="15"/>
    </row>
    <row r="989" ht="15.75" customHeight="1">
      <c r="L989" s="15"/>
    </row>
    <row r="990" ht="15.75" customHeight="1">
      <c r="L990" s="15"/>
    </row>
    <row r="991" ht="15.75" customHeight="1">
      <c r="L991" s="15"/>
    </row>
    <row r="992" ht="15.75" customHeight="1">
      <c r="L992" s="15"/>
    </row>
    <row r="993" ht="15.75" customHeight="1">
      <c r="L993" s="15"/>
    </row>
    <row r="994" ht="15.75" customHeight="1">
      <c r="L994" s="15"/>
    </row>
    <row r="995" ht="15.75" customHeight="1">
      <c r="L995" s="15"/>
    </row>
    <row r="996" ht="15.75" customHeight="1">
      <c r="L996" s="15"/>
    </row>
    <row r="997" ht="15.75" customHeight="1">
      <c r="L997" s="15"/>
    </row>
  </sheetData>
  <autoFilter ref="$A$1:$AQ$2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8.25"/>
    <col customWidth="1" min="3" max="3" width="11.13"/>
    <col customWidth="1" min="4" max="4" width="5.38"/>
    <col customWidth="1" min="5" max="5" width="6.25"/>
    <col customWidth="1" min="6" max="6" width="8.38"/>
    <col customWidth="1" min="7" max="7" width="9.88"/>
    <col customWidth="1" min="8" max="8" width="8.75"/>
    <col customWidth="1" min="9" max="9" width="10.5"/>
    <col customWidth="1" min="10" max="10" width="24.88"/>
    <col customWidth="1" min="11" max="11" width="14.13"/>
    <col customWidth="1" min="12" max="12" width="41.13"/>
    <col customWidth="1" min="13" max="13" width="11.75"/>
    <col customWidth="1" min="14" max="14" width="11.88"/>
    <col customWidth="1" min="15" max="15" width="37.63"/>
    <col customWidth="1" min="16" max="17" width="11.75"/>
    <col customWidth="1" min="18" max="18" width="37.5"/>
    <col customWidth="1" min="19" max="21" width="11.75"/>
    <col customWidth="1" min="22" max="22" width="16.63"/>
    <col customWidth="1" min="23" max="23" width="15.38"/>
    <col customWidth="1" min="24" max="24" width="10.0"/>
    <col customWidth="1" min="25" max="25" width="11.0"/>
    <col customWidth="1" min="26" max="26" width="22.25"/>
    <col customWidth="1" min="27" max="27" width="11.75"/>
    <col customWidth="1" min="28" max="28" width="18.88"/>
    <col customWidth="1" min="29" max="29" width="16.25"/>
    <col customWidth="1" min="30" max="30" width="70.25"/>
    <col customWidth="1" min="31" max="31" width="10.63"/>
    <col customWidth="1" min="32" max="32" width="28.38"/>
    <col customWidth="1" min="33" max="33" width="33.75"/>
    <col customWidth="1" min="34" max="34" width="62.38"/>
    <col customWidth="1" min="35" max="35" width="13.88"/>
    <col customWidth="1" min="36" max="36" width="11.88"/>
    <col customWidth="1" min="37" max="37" width="13.0"/>
    <col customWidth="1" min="38" max="38" width="10.0"/>
    <col customWidth="1" min="39" max="39" width="12.5"/>
    <col customWidth="1" min="40" max="40" width="14.75"/>
    <col customWidth="1" min="41" max="41" width="18.75"/>
    <col customWidth="1" min="42" max="42" width="11.63"/>
    <col customWidth="1" min="43" max="43" width="11.38"/>
  </cols>
  <sheetData>
    <row r="1" ht="15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4" t="s">
        <v>2</v>
      </c>
      <c r="X1" s="4" t="s">
        <v>2</v>
      </c>
      <c r="Y1" s="4" t="s">
        <v>2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4" t="s">
        <v>2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</row>
    <row r="2" ht="15.75" customHeight="1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5" t="s">
        <v>45</v>
      </c>
    </row>
    <row r="3" ht="15.75" customHeight="1">
      <c r="A3" s="41">
        <v>1.0</v>
      </c>
      <c r="B3" s="42" t="s">
        <v>413</v>
      </c>
      <c r="C3" s="42" t="s">
        <v>414</v>
      </c>
      <c r="D3" s="11" t="str">
        <f>IFERROR(__xludf.DUMMYFUNCTION("REGEXEXTRACT(C3,""[A-Z]{2,}"")"),"FMDS")</f>
        <v>FMDS</v>
      </c>
      <c r="E3" s="43" t="s">
        <v>48</v>
      </c>
      <c r="F3" s="43" t="s">
        <v>73</v>
      </c>
      <c r="G3" s="43" t="s">
        <v>50</v>
      </c>
      <c r="H3" s="43">
        <v>0.31</v>
      </c>
      <c r="I3" s="43">
        <v>20.0</v>
      </c>
      <c r="J3" s="14" t="s">
        <v>415</v>
      </c>
      <c r="K3" s="14" t="s">
        <v>416</v>
      </c>
      <c r="L3" s="42" t="s">
        <v>413</v>
      </c>
      <c r="M3" s="43" t="s">
        <v>48</v>
      </c>
      <c r="N3" s="14" t="s">
        <v>417</v>
      </c>
      <c r="O3" s="42" t="s">
        <v>413</v>
      </c>
      <c r="P3" s="14">
        <v>2023.0</v>
      </c>
      <c r="Q3" s="14" t="s">
        <v>418</v>
      </c>
      <c r="R3" s="14" t="s">
        <v>419</v>
      </c>
      <c r="S3" s="44" t="s">
        <v>57</v>
      </c>
      <c r="T3" s="16" t="s">
        <v>250</v>
      </c>
      <c r="U3" s="16" t="s">
        <v>59</v>
      </c>
      <c r="V3" s="45">
        <v>9.0</v>
      </c>
      <c r="Z3" s="46" t="s">
        <v>420</v>
      </c>
      <c r="AA3" s="47" t="s">
        <v>421</v>
      </c>
      <c r="AB3" s="16" t="s">
        <v>422</v>
      </c>
      <c r="AC3" s="47" t="s">
        <v>63</v>
      </c>
      <c r="AD3" s="47" t="s">
        <v>423</v>
      </c>
      <c r="AF3" s="47" t="s">
        <v>150</v>
      </c>
      <c r="AG3" s="16" t="s">
        <v>424</v>
      </c>
      <c r="AH3" s="14" t="s">
        <v>425</v>
      </c>
      <c r="AI3" s="14">
        <v>2023.0</v>
      </c>
      <c r="AJ3" s="14">
        <v>2023.0</v>
      </c>
      <c r="AK3" s="44" t="s">
        <v>70</v>
      </c>
    </row>
    <row r="4" ht="15.75" customHeight="1">
      <c r="A4" s="41">
        <f t="shared" ref="A4:A225" si="1">A3+1</f>
        <v>2</v>
      </c>
      <c r="B4" s="42" t="s">
        <v>426</v>
      </c>
      <c r="C4" s="42" t="s">
        <v>427</v>
      </c>
      <c r="D4" s="11" t="str">
        <f>IFERROR(__xludf.DUMMYFUNCTION("REGEXEXTRACT(C4,""[A-Z]{2,}"")"),"FMDS")</f>
        <v>FMDS</v>
      </c>
      <c r="E4" s="43" t="s">
        <v>48</v>
      </c>
      <c r="F4" s="43" t="s">
        <v>73</v>
      </c>
      <c r="G4" s="43" t="s">
        <v>50</v>
      </c>
      <c r="H4" s="43">
        <v>3.87</v>
      </c>
      <c r="I4" s="43">
        <v>68.0</v>
      </c>
      <c r="J4" s="14" t="s">
        <v>428</v>
      </c>
      <c r="K4" s="14" t="s">
        <v>429</v>
      </c>
      <c r="L4" s="42" t="s">
        <v>426</v>
      </c>
      <c r="M4" s="43" t="s">
        <v>48</v>
      </c>
      <c r="N4" s="14" t="s">
        <v>430</v>
      </c>
      <c r="O4" s="42" t="s">
        <v>426</v>
      </c>
      <c r="P4" s="14">
        <v>2024.0</v>
      </c>
      <c r="Q4" s="14" t="s">
        <v>418</v>
      </c>
      <c r="R4" s="14" t="s">
        <v>419</v>
      </c>
      <c r="S4" s="44" t="s">
        <v>57</v>
      </c>
      <c r="T4" s="16" t="s">
        <v>250</v>
      </c>
      <c r="U4" s="16" t="s">
        <v>59</v>
      </c>
      <c r="V4" s="45">
        <v>9.0</v>
      </c>
      <c r="Z4" s="46" t="s">
        <v>431</v>
      </c>
      <c r="AA4" s="47" t="s">
        <v>421</v>
      </c>
      <c r="AB4" s="16" t="s">
        <v>432</v>
      </c>
      <c r="AC4" s="47" t="s">
        <v>433</v>
      </c>
      <c r="AD4" s="47" t="s">
        <v>434</v>
      </c>
      <c r="AF4" s="14" t="s">
        <v>174</v>
      </c>
      <c r="AG4" s="47" t="s">
        <v>435</v>
      </c>
      <c r="AH4" s="14" t="s">
        <v>436</v>
      </c>
      <c r="AI4" s="14">
        <v>2024.0</v>
      </c>
      <c r="AJ4" s="14">
        <v>2024.0</v>
      </c>
      <c r="AK4" s="44" t="s">
        <v>70</v>
      </c>
    </row>
    <row r="5" ht="15.75" customHeight="1">
      <c r="A5" s="41">
        <f t="shared" si="1"/>
        <v>3</v>
      </c>
      <c r="B5" s="42" t="s">
        <v>437</v>
      </c>
      <c r="C5" s="42" t="s">
        <v>438</v>
      </c>
      <c r="D5" s="11" t="str">
        <f>IFERROR(__xludf.DUMMYFUNCTION("REGEXEXTRACT(C5,""[A-Z]{2,}"")"),"FMDS")</f>
        <v>FMDS</v>
      </c>
      <c r="E5" s="43" t="s">
        <v>48</v>
      </c>
      <c r="F5" s="43" t="s">
        <v>73</v>
      </c>
      <c r="G5" s="43" t="s">
        <v>50</v>
      </c>
      <c r="H5" s="43">
        <v>0.51</v>
      </c>
      <c r="I5" s="43">
        <v>19.0</v>
      </c>
      <c r="J5" s="14" t="s">
        <v>439</v>
      </c>
      <c r="K5" s="14" t="s">
        <v>440</v>
      </c>
      <c r="L5" s="42" t="s">
        <v>437</v>
      </c>
      <c r="M5" s="43" t="s">
        <v>48</v>
      </c>
      <c r="N5" s="14" t="s">
        <v>441</v>
      </c>
      <c r="O5" s="42" t="s">
        <v>437</v>
      </c>
      <c r="P5" s="14">
        <v>2013.0</v>
      </c>
      <c r="Q5" s="14" t="s">
        <v>418</v>
      </c>
      <c r="R5" s="14" t="s">
        <v>419</v>
      </c>
      <c r="S5" s="44" t="s">
        <v>57</v>
      </c>
      <c r="T5" s="16" t="s">
        <v>250</v>
      </c>
      <c r="U5" s="16" t="s">
        <v>59</v>
      </c>
      <c r="V5" s="45">
        <v>9.0</v>
      </c>
      <c r="Z5" s="46" t="s">
        <v>431</v>
      </c>
      <c r="AA5" s="47" t="s">
        <v>421</v>
      </c>
      <c r="AB5" s="16" t="s">
        <v>432</v>
      </c>
      <c r="AC5" s="47" t="s">
        <v>433</v>
      </c>
      <c r="AD5" s="47" t="s">
        <v>434</v>
      </c>
      <c r="AF5" s="14" t="s">
        <v>174</v>
      </c>
      <c r="AG5" s="47" t="s">
        <v>435</v>
      </c>
      <c r="AH5" s="14" t="s">
        <v>442</v>
      </c>
      <c r="AI5" s="14">
        <v>2013.0</v>
      </c>
      <c r="AJ5" s="14">
        <v>2013.0</v>
      </c>
      <c r="AK5" s="44" t="s">
        <v>70</v>
      </c>
    </row>
    <row r="6" ht="15.75" customHeight="1">
      <c r="A6" s="41">
        <f t="shared" si="1"/>
        <v>4</v>
      </c>
      <c r="B6" s="42" t="s">
        <v>443</v>
      </c>
      <c r="C6" s="42" t="s">
        <v>444</v>
      </c>
      <c r="D6" s="11" t="str">
        <f>IFERROR(__xludf.DUMMYFUNCTION("REGEXEXTRACT(C6,""[A-Z]{2,}"")"),"FMDS")</f>
        <v>FMDS</v>
      </c>
      <c r="E6" s="43" t="s">
        <v>48</v>
      </c>
      <c r="F6" s="43" t="s">
        <v>73</v>
      </c>
      <c r="G6" s="43" t="s">
        <v>50</v>
      </c>
      <c r="H6" s="43">
        <v>1.29</v>
      </c>
      <c r="I6" s="43">
        <v>29.0</v>
      </c>
      <c r="J6" s="14" t="s">
        <v>445</v>
      </c>
      <c r="K6" s="14" t="s">
        <v>446</v>
      </c>
      <c r="L6" s="42" t="s">
        <v>443</v>
      </c>
      <c r="M6" s="43" t="s">
        <v>48</v>
      </c>
      <c r="N6" s="14" t="s">
        <v>447</v>
      </c>
      <c r="O6" s="42" t="s">
        <v>443</v>
      </c>
      <c r="P6" s="14">
        <v>2019.0</v>
      </c>
      <c r="Q6" s="14" t="s">
        <v>418</v>
      </c>
      <c r="R6" s="14" t="s">
        <v>419</v>
      </c>
      <c r="S6" s="44" t="s">
        <v>57</v>
      </c>
      <c r="T6" s="16" t="s">
        <v>250</v>
      </c>
      <c r="U6" s="16" t="s">
        <v>59</v>
      </c>
      <c r="V6" s="45">
        <v>9.0</v>
      </c>
      <c r="Z6" s="46" t="s">
        <v>60</v>
      </c>
      <c r="AA6" s="47" t="s">
        <v>421</v>
      </c>
      <c r="AB6" s="16" t="s">
        <v>432</v>
      </c>
      <c r="AC6" s="47" t="s">
        <v>63</v>
      </c>
      <c r="AD6" s="47" t="s">
        <v>423</v>
      </c>
      <c r="AF6" s="47" t="s">
        <v>150</v>
      </c>
      <c r="AG6" s="16" t="s">
        <v>448</v>
      </c>
      <c r="AH6" s="14" t="s">
        <v>449</v>
      </c>
      <c r="AI6" s="14">
        <v>2019.0</v>
      </c>
      <c r="AJ6" s="14">
        <v>2019.0</v>
      </c>
      <c r="AK6" s="44" t="s">
        <v>70</v>
      </c>
    </row>
    <row r="7" ht="15.75" customHeight="1">
      <c r="A7" s="41">
        <f t="shared" si="1"/>
        <v>5</v>
      </c>
      <c r="B7" s="42" t="s">
        <v>450</v>
      </c>
      <c r="C7" s="42" t="s">
        <v>451</v>
      </c>
      <c r="D7" s="11" t="str">
        <f>IFERROR(__xludf.DUMMYFUNCTION("REGEXEXTRACT(C7,""[A-Z]{2,}"")"),"FMDS")</f>
        <v>FMDS</v>
      </c>
      <c r="E7" s="43" t="s">
        <v>48</v>
      </c>
      <c r="F7" s="43" t="s">
        <v>73</v>
      </c>
      <c r="G7" s="43" t="s">
        <v>50</v>
      </c>
      <c r="H7" s="43">
        <v>1.32</v>
      </c>
      <c r="I7" s="43">
        <v>31.0</v>
      </c>
      <c r="J7" s="14" t="s">
        <v>452</v>
      </c>
      <c r="K7" s="14" t="s">
        <v>453</v>
      </c>
      <c r="L7" s="42" t="s">
        <v>450</v>
      </c>
      <c r="M7" s="43" t="s">
        <v>48</v>
      </c>
      <c r="N7" s="14" t="s">
        <v>454</v>
      </c>
      <c r="O7" s="42" t="s">
        <v>450</v>
      </c>
      <c r="P7" s="14">
        <v>2020.0</v>
      </c>
      <c r="Q7" s="14" t="s">
        <v>418</v>
      </c>
      <c r="R7" s="14" t="s">
        <v>419</v>
      </c>
      <c r="S7" s="44" t="s">
        <v>57</v>
      </c>
      <c r="T7" s="16" t="s">
        <v>250</v>
      </c>
      <c r="U7" s="16" t="s">
        <v>59</v>
      </c>
      <c r="V7" s="45">
        <v>9.0</v>
      </c>
      <c r="X7" s="42"/>
      <c r="Z7" s="46" t="s">
        <v>431</v>
      </c>
      <c r="AA7" s="47" t="s">
        <v>421</v>
      </c>
      <c r="AB7" s="16" t="s">
        <v>432</v>
      </c>
      <c r="AC7" s="47" t="s">
        <v>433</v>
      </c>
      <c r="AD7" s="47" t="s">
        <v>434</v>
      </c>
      <c r="AF7" s="14" t="s">
        <v>174</v>
      </c>
      <c r="AG7" s="47" t="s">
        <v>435</v>
      </c>
      <c r="AH7" s="14" t="s">
        <v>455</v>
      </c>
      <c r="AI7" s="14">
        <v>2020.0</v>
      </c>
      <c r="AJ7" s="14">
        <v>2020.0</v>
      </c>
      <c r="AK7" s="44" t="s">
        <v>70</v>
      </c>
    </row>
    <row r="8" ht="15.75" customHeight="1">
      <c r="A8" s="41">
        <f t="shared" si="1"/>
        <v>6</v>
      </c>
      <c r="B8" s="42" t="s">
        <v>456</v>
      </c>
      <c r="C8" s="42" t="s">
        <v>457</v>
      </c>
      <c r="D8" s="11" t="str">
        <f>IFERROR(__xludf.DUMMYFUNCTION("REGEXEXTRACT(C8,""[A-Z]{2,}"")"),"FMDS")</f>
        <v>FMDS</v>
      </c>
      <c r="E8" s="43" t="s">
        <v>48</v>
      </c>
      <c r="F8" s="43" t="s">
        <v>73</v>
      </c>
      <c r="G8" s="43" t="s">
        <v>50</v>
      </c>
      <c r="H8" s="43">
        <v>0.84</v>
      </c>
      <c r="I8" s="43">
        <v>14.0</v>
      </c>
      <c r="J8" s="14" t="s">
        <v>458</v>
      </c>
      <c r="K8" s="14" t="s">
        <v>459</v>
      </c>
      <c r="L8" s="42" t="s">
        <v>456</v>
      </c>
      <c r="M8" s="43" t="s">
        <v>48</v>
      </c>
      <c r="N8" s="14" t="s">
        <v>460</v>
      </c>
      <c r="O8" s="42" t="s">
        <v>456</v>
      </c>
      <c r="P8" s="14">
        <v>2020.0</v>
      </c>
      <c r="Q8" s="14" t="s">
        <v>418</v>
      </c>
      <c r="R8" s="14" t="s">
        <v>419</v>
      </c>
      <c r="S8" s="44" t="s">
        <v>57</v>
      </c>
      <c r="T8" s="16" t="s">
        <v>250</v>
      </c>
      <c r="U8" s="16" t="s">
        <v>59</v>
      </c>
      <c r="V8" s="45">
        <v>9.0</v>
      </c>
      <c r="X8" s="42"/>
      <c r="Z8" s="46" t="s">
        <v>431</v>
      </c>
      <c r="AA8" s="47" t="s">
        <v>421</v>
      </c>
      <c r="AB8" s="16" t="s">
        <v>422</v>
      </c>
      <c r="AC8" s="47" t="s">
        <v>433</v>
      </c>
      <c r="AD8" s="47" t="s">
        <v>434</v>
      </c>
      <c r="AF8" s="14" t="s">
        <v>174</v>
      </c>
      <c r="AG8" s="47" t="s">
        <v>435</v>
      </c>
      <c r="AH8" s="14" t="s">
        <v>461</v>
      </c>
      <c r="AI8" s="14">
        <v>2020.0</v>
      </c>
      <c r="AJ8" s="14">
        <v>2020.0</v>
      </c>
      <c r="AK8" s="44" t="s">
        <v>70</v>
      </c>
    </row>
    <row r="9" ht="15.75" customHeight="1">
      <c r="A9" s="41">
        <f t="shared" si="1"/>
        <v>7</v>
      </c>
      <c r="B9" s="42" t="s">
        <v>462</v>
      </c>
      <c r="C9" s="42" t="s">
        <v>463</v>
      </c>
      <c r="D9" s="11" t="str">
        <f>IFERROR(__xludf.DUMMYFUNCTION("REGEXEXTRACT(C9,""[A-Z]{2,}"")"),"FMDS")</f>
        <v>FMDS</v>
      </c>
      <c r="E9" s="43" t="s">
        <v>48</v>
      </c>
      <c r="F9" s="43" t="s">
        <v>73</v>
      </c>
      <c r="G9" s="43" t="s">
        <v>50</v>
      </c>
      <c r="H9" s="43">
        <v>0.14</v>
      </c>
      <c r="I9" s="43">
        <v>13.0</v>
      </c>
      <c r="J9" s="14" t="s">
        <v>464</v>
      </c>
      <c r="K9" s="14" t="s">
        <v>465</v>
      </c>
      <c r="L9" s="42" t="s">
        <v>462</v>
      </c>
      <c r="M9" s="43" t="s">
        <v>48</v>
      </c>
      <c r="N9" s="14" t="s">
        <v>466</v>
      </c>
      <c r="O9" s="42" t="s">
        <v>462</v>
      </c>
      <c r="P9" s="14">
        <v>2011.0</v>
      </c>
      <c r="Q9" s="14" t="s">
        <v>418</v>
      </c>
      <c r="R9" s="14" t="s">
        <v>419</v>
      </c>
      <c r="S9" s="44" t="s">
        <v>57</v>
      </c>
      <c r="T9" s="16" t="s">
        <v>250</v>
      </c>
      <c r="U9" s="16" t="s">
        <v>59</v>
      </c>
      <c r="V9" s="45">
        <v>9.0</v>
      </c>
      <c r="X9" s="42"/>
      <c r="Z9" s="46" t="s">
        <v>60</v>
      </c>
      <c r="AA9" s="47" t="s">
        <v>421</v>
      </c>
      <c r="AB9" s="16" t="s">
        <v>432</v>
      </c>
      <c r="AC9" s="47" t="s">
        <v>63</v>
      </c>
      <c r="AD9" s="47" t="s">
        <v>423</v>
      </c>
      <c r="AF9" s="47" t="s">
        <v>65</v>
      </c>
      <c r="AG9" s="47" t="s">
        <v>467</v>
      </c>
      <c r="AH9" s="14" t="s">
        <v>468</v>
      </c>
      <c r="AI9" s="14">
        <v>2011.0</v>
      </c>
      <c r="AJ9" s="14">
        <v>2011.0</v>
      </c>
      <c r="AK9" s="44" t="s">
        <v>70</v>
      </c>
    </row>
    <row r="10" ht="15.75" customHeight="1">
      <c r="A10" s="41">
        <f t="shared" si="1"/>
        <v>8</v>
      </c>
      <c r="B10" s="42" t="s">
        <v>469</v>
      </c>
      <c r="C10" s="42" t="s">
        <v>470</v>
      </c>
      <c r="D10" s="11" t="str">
        <f>IFERROR(__xludf.DUMMYFUNCTION("REGEXEXTRACT(C10,""[A-Z]{2,}"")"),"FMDS")</f>
        <v>FMDS</v>
      </c>
      <c r="E10" s="43" t="s">
        <v>48</v>
      </c>
      <c r="F10" s="43" t="s">
        <v>73</v>
      </c>
      <c r="G10" s="43" t="s">
        <v>50</v>
      </c>
      <c r="H10" s="43">
        <v>0.84</v>
      </c>
      <c r="I10" s="43">
        <v>38.0</v>
      </c>
      <c r="J10" s="14" t="s">
        <v>471</v>
      </c>
      <c r="K10" s="14" t="s">
        <v>472</v>
      </c>
      <c r="L10" s="42" t="s">
        <v>469</v>
      </c>
      <c r="M10" s="43" t="s">
        <v>48</v>
      </c>
      <c r="N10" s="14" t="s">
        <v>473</v>
      </c>
      <c r="O10" s="42" t="s">
        <v>469</v>
      </c>
      <c r="P10" s="14">
        <v>2025.0</v>
      </c>
      <c r="Q10" s="14" t="s">
        <v>418</v>
      </c>
      <c r="R10" s="14" t="s">
        <v>419</v>
      </c>
      <c r="S10" s="44" t="s">
        <v>57</v>
      </c>
      <c r="T10" s="16" t="s">
        <v>250</v>
      </c>
      <c r="U10" s="16" t="s">
        <v>59</v>
      </c>
      <c r="V10" s="45">
        <v>9.0</v>
      </c>
      <c r="X10" s="42"/>
      <c r="Z10" s="46" t="s">
        <v>60</v>
      </c>
      <c r="AA10" s="47" t="s">
        <v>421</v>
      </c>
      <c r="AB10" s="16" t="s">
        <v>432</v>
      </c>
      <c r="AC10" s="47" t="s">
        <v>63</v>
      </c>
      <c r="AD10" s="47" t="s">
        <v>423</v>
      </c>
      <c r="AF10" s="47" t="s">
        <v>150</v>
      </c>
      <c r="AG10" s="16" t="s">
        <v>424</v>
      </c>
      <c r="AH10" s="14" t="s">
        <v>474</v>
      </c>
      <c r="AI10" s="14">
        <v>2025.0</v>
      </c>
      <c r="AJ10" s="14">
        <v>2025.0</v>
      </c>
      <c r="AK10" s="44" t="s">
        <v>70</v>
      </c>
    </row>
    <row r="11" ht="15.75" customHeight="1">
      <c r="A11" s="41">
        <f t="shared" si="1"/>
        <v>9</v>
      </c>
      <c r="B11" s="42" t="s">
        <v>475</v>
      </c>
      <c r="C11" s="42" t="s">
        <v>476</v>
      </c>
      <c r="D11" s="11" t="str">
        <f>IFERROR(__xludf.DUMMYFUNCTION("REGEXEXTRACT(C11,""[A-Z]{2,}"")"),"FMDS")</f>
        <v>FMDS</v>
      </c>
      <c r="E11" s="43" t="s">
        <v>48</v>
      </c>
      <c r="F11" s="43" t="s">
        <v>73</v>
      </c>
      <c r="G11" s="43" t="s">
        <v>50</v>
      </c>
      <c r="H11" s="43">
        <v>0.53</v>
      </c>
      <c r="I11" s="43">
        <v>11.0</v>
      </c>
      <c r="J11" s="14" t="s">
        <v>477</v>
      </c>
      <c r="K11" s="14" t="s">
        <v>478</v>
      </c>
      <c r="L11" s="42" t="s">
        <v>475</v>
      </c>
      <c r="M11" s="43" t="s">
        <v>48</v>
      </c>
      <c r="N11" s="14" t="s">
        <v>479</v>
      </c>
      <c r="O11" s="42" t="s">
        <v>475</v>
      </c>
      <c r="P11" s="14">
        <v>2025.0</v>
      </c>
      <c r="Q11" s="14" t="s">
        <v>418</v>
      </c>
      <c r="R11" s="14" t="s">
        <v>419</v>
      </c>
      <c r="S11" s="44" t="s">
        <v>57</v>
      </c>
      <c r="T11" s="16" t="s">
        <v>250</v>
      </c>
      <c r="U11" s="16" t="s">
        <v>59</v>
      </c>
      <c r="V11" s="45">
        <v>9.0</v>
      </c>
      <c r="X11" s="42"/>
      <c r="Z11" s="46" t="s">
        <v>431</v>
      </c>
      <c r="AA11" s="47" t="s">
        <v>421</v>
      </c>
      <c r="AB11" s="16" t="s">
        <v>432</v>
      </c>
      <c r="AC11" s="47" t="s">
        <v>433</v>
      </c>
      <c r="AD11" s="47" t="s">
        <v>434</v>
      </c>
      <c r="AF11" s="14" t="s">
        <v>174</v>
      </c>
      <c r="AG11" s="47" t="s">
        <v>435</v>
      </c>
      <c r="AH11" s="14" t="s">
        <v>480</v>
      </c>
      <c r="AI11" s="14">
        <v>2025.0</v>
      </c>
      <c r="AJ11" s="14">
        <v>2025.0</v>
      </c>
      <c r="AK11" s="44" t="s">
        <v>70</v>
      </c>
    </row>
    <row r="12" ht="15.75" customHeight="1">
      <c r="A12" s="41">
        <f t="shared" si="1"/>
        <v>10</v>
      </c>
      <c r="B12" s="42" t="s">
        <v>481</v>
      </c>
      <c r="C12" s="42" t="s">
        <v>482</v>
      </c>
      <c r="D12" s="11" t="str">
        <f>IFERROR(__xludf.DUMMYFUNCTION("REGEXEXTRACT(C12,""[A-Z]{2,}"")"),"FMDS")</f>
        <v>FMDS</v>
      </c>
      <c r="E12" s="43" t="s">
        <v>48</v>
      </c>
      <c r="F12" s="43" t="s">
        <v>73</v>
      </c>
      <c r="G12" s="43" t="s">
        <v>50</v>
      </c>
      <c r="H12" s="43">
        <v>0.81</v>
      </c>
      <c r="I12" s="43">
        <v>33.0</v>
      </c>
      <c r="J12" s="14" t="s">
        <v>483</v>
      </c>
      <c r="K12" s="14" t="s">
        <v>484</v>
      </c>
      <c r="L12" s="42" t="s">
        <v>481</v>
      </c>
      <c r="M12" s="43" t="s">
        <v>48</v>
      </c>
      <c r="N12" s="14" t="s">
        <v>485</v>
      </c>
      <c r="O12" s="42" t="s">
        <v>481</v>
      </c>
      <c r="P12" s="14">
        <v>2025.0</v>
      </c>
      <c r="Q12" s="14" t="s">
        <v>418</v>
      </c>
      <c r="R12" s="14" t="s">
        <v>419</v>
      </c>
      <c r="S12" s="44" t="s">
        <v>57</v>
      </c>
      <c r="T12" s="16" t="s">
        <v>250</v>
      </c>
      <c r="U12" s="16" t="s">
        <v>59</v>
      </c>
      <c r="V12" s="45">
        <v>9.0</v>
      </c>
      <c r="Z12" s="46" t="s">
        <v>431</v>
      </c>
      <c r="AA12" s="47" t="s">
        <v>421</v>
      </c>
      <c r="AB12" s="16" t="s">
        <v>422</v>
      </c>
      <c r="AC12" s="47" t="s">
        <v>433</v>
      </c>
      <c r="AD12" s="47" t="s">
        <v>434</v>
      </c>
      <c r="AF12" s="14" t="s">
        <v>174</v>
      </c>
      <c r="AG12" s="47" t="s">
        <v>435</v>
      </c>
      <c r="AH12" s="14" t="s">
        <v>486</v>
      </c>
      <c r="AI12" s="14">
        <v>2025.0</v>
      </c>
      <c r="AJ12" s="14">
        <v>2025.0</v>
      </c>
      <c r="AK12" s="44" t="s">
        <v>70</v>
      </c>
    </row>
    <row r="13" ht="15.75" customHeight="1">
      <c r="A13" s="41">
        <f t="shared" si="1"/>
        <v>11</v>
      </c>
      <c r="B13" s="42" t="s">
        <v>487</v>
      </c>
      <c r="C13" s="42" t="s">
        <v>488</v>
      </c>
      <c r="D13" s="11" t="str">
        <f>IFERROR(__xludf.DUMMYFUNCTION("REGEXEXTRACT(C13,""[A-Z]{2,}"")"),"FMDS")</f>
        <v>FMDS</v>
      </c>
      <c r="E13" s="43" t="s">
        <v>48</v>
      </c>
      <c r="F13" s="43" t="s">
        <v>73</v>
      </c>
      <c r="G13" s="43" t="s">
        <v>50</v>
      </c>
      <c r="H13" s="43">
        <v>0.44</v>
      </c>
      <c r="I13" s="43">
        <v>9.0</v>
      </c>
      <c r="J13" s="14" t="s">
        <v>489</v>
      </c>
      <c r="K13" s="14" t="s">
        <v>490</v>
      </c>
      <c r="L13" s="42" t="s">
        <v>487</v>
      </c>
      <c r="M13" s="43" t="s">
        <v>48</v>
      </c>
      <c r="N13" s="14" t="s">
        <v>491</v>
      </c>
      <c r="O13" s="42" t="s">
        <v>487</v>
      </c>
      <c r="P13" s="14">
        <v>2023.0</v>
      </c>
      <c r="Q13" s="14" t="s">
        <v>418</v>
      </c>
      <c r="R13" s="14" t="s">
        <v>419</v>
      </c>
      <c r="S13" s="44" t="s">
        <v>57</v>
      </c>
      <c r="T13" s="16" t="s">
        <v>250</v>
      </c>
      <c r="U13" s="16" t="s">
        <v>59</v>
      </c>
      <c r="V13" s="45">
        <v>9.0</v>
      </c>
      <c r="Z13" s="46" t="s">
        <v>431</v>
      </c>
      <c r="AA13" s="47" t="s">
        <v>421</v>
      </c>
      <c r="AB13" s="16" t="s">
        <v>432</v>
      </c>
      <c r="AC13" s="47" t="s">
        <v>433</v>
      </c>
      <c r="AD13" s="47" t="s">
        <v>434</v>
      </c>
      <c r="AF13" s="14" t="s">
        <v>174</v>
      </c>
      <c r="AG13" s="47" t="s">
        <v>435</v>
      </c>
      <c r="AH13" s="14" t="s">
        <v>492</v>
      </c>
      <c r="AI13" s="14">
        <v>2023.0</v>
      </c>
      <c r="AJ13" s="14">
        <v>2023.0</v>
      </c>
      <c r="AK13" s="44" t="s">
        <v>70</v>
      </c>
    </row>
    <row r="14" ht="15.75" customHeight="1">
      <c r="A14" s="41">
        <f t="shared" si="1"/>
        <v>12</v>
      </c>
      <c r="B14" s="42" t="s">
        <v>493</v>
      </c>
      <c r="C14" s="42" t="s">
        <v>494</v>
      </c>
      <c r="D14" s="11" t="str">
        <f>IFERROR(__xludf.DUMMYFUNCTION("REGEXEXTRACT(C14,""[A-Z]{2,}"")"),"FMDS")</f>
        <v>FMDS</v>
      </c>
      <c r="E14" s="43" t="s">
        <v>48</v>
      </c>
      <c r="F14" s="43" t="s">
        <v>73</v>
      </c>
      <c r="G14" s="43" t="s">
        <v>50</v>
      </c>
      <c r="H14" s="43">
        <v>0.07</v>
      </c>
      <c r="I14" s="43">
        <v>12.0</v>
      </c>
      <c r="J14" s="14" t="s">
        <v>495</v>
      </c>
      <c r="K14" s="14" t="s">
        <v>496</v>
      </c>
      <c r="L14" s="42" t="s">
        <v>493</v>
      </c>
      <c r="M14" s="43" t="s">
        <v>48</v>
      </c>
      <c r="N14" s="14" t="s">
        <v>497</v>
      </c>
      <c r="O14" s="42" t="s">
        <v>493</v>
      </c>
      <c r="P14" s="14">
        <v>2025.0</v>
      </c>
      <c r="Q14" s="14" t="s">
        <v>418</v>
      </c>
      <c r="R14" s="14" t="s">
        <v>419</v>
      </c>
      <c r="S14" s="44" t="s">
        <v>57</v>
      </c>
      <c r="T14" s="16" t="s">
        <v>250</v>
      </c>
      <c r="U14" s="16" t="s">
        <v>59</v>
      </c>
      <c r="V14" s="45">
        <v>9.0</v>
      </c>
      <c r="Z14" s="46" t="s">
        <v>60</v>
      </c>
      <c r="AA14" s="47" t="s">
        <v>421</v>
      </c>
      <c r="AB14" s="16" t="s">
        <v>432</v>
      </c>
      <c r="AC14" s="47" t="s">
        <v>63</v>
      </c>
      <c r="AD14" s="47" t="s">
        <v>423</v>
      </c>
      <c r="AF14" s="47" t="s">
        <v>150</v>
      </c>
      <c r="AG14" s="16" t="s">
        <v>448</v>
      </c>
      <c r="AH14" s="14" t="s">
        <v>498</v>
      </c>
      <c r="AI14" s="14">
        <v>2025.0</v>
      </c>
      <c r="AJ14" s="14">
        <v>2025.0</v>
      </c>
      <c r="AK14" s="44" t="s">
        <v>70</v>
      </c>
    </row>
    <row r="15" ht="15.75" customHeight="1">
      <c r="A15" s="41">
        <f t="shared" si="1"/>
        <v>13</v>
      </c>
      <c r="B15" s="42" t="s">
        <v>499</v>
      </c>
      <c r="C15" s="42" t="s">
        <v>500</v>
      </c>
      <c r="D15" s="11" t="str">
        <f>IFERROR(__xludf.DUMMYFUNCTION("REGEXEXTRACT(C15,""[A-Z]{2,}"")"),"FMDS")</f>
        <v>FMDS</v>
      </c>
      <c r="E15" s="43" t="s">
        <v>48</v>
      </c>
      <c r="F15" s="43" t="s">
        <v>73</v>
      </c>
      <c r="G15" s="43" t="s">
        <v>50</v>
      </c>
      <c r="H15" s="43">
        <v>0.54</v>
      </c>
      <c r="I15" s="43">
        <v>50.0</v>
      </c>
      <c r="J15" s="14" t="s">
        <v>501</v>
      </c>
      <c r="K15" s="14" t="s">
        <v>502</v>
      </c>
      <c r="L15" s="42" t="s">
        <v>499</v>
      </c>
      <c r="M15" s="43" t="s">
        <v>48</v>
      </c>
      <c r="N15" s="14" t="s">
        <v>503</v>
      </c>
      <c r="O15" s="42" t="s">
        <v>499</v>
      </c>
      <c r="P15" s="14">
        <v>2012.0</v>
      </c>
      <c r="Q15" s="14" t="s">
        <v>418</v>
      </c>
      <c r="R15" s="14" t="s">
        <v>419</v>
      </c>
      <c r="S15" s="44" t="s">
        <v>57</v>
      </c>
      <c r="T15" s="16" t="s">
        <v>250</v>
      </c>
      <c r="U15" s="16" t="s">
        <v>59</v>
      </c>
      <c r="V15" s="45">
        <v>9.0</v>
      </c>
      <c r="Z15" s="46" t="s">
        <v>60</v>
      </c>
      <c r="AA15" s="47" t="s">
        <v>421</v>
      </c>
      <c r="AB15" s="16" t="s">
        <v>432</v>
      </c>
      <c r="AC15" s="47" t="s">
        <v>63</v>
      </c>
      <c r="AD15" s="47" t="s">
        <v>423</v>
      </c>
      <c r="AF15" s="47" t="s">
        <v>150</v>
      </c>
      <c r="AG15" s="16" t="s">
        <v>448</v>
      </c>
      <c r="AH15" s="14" t="s">
        <v>504</v>
      </c>
      <c r="AI15" s="14">
        <v>2012.0</v>
      </c>
      <c r="AJ15" s="14">
        <v>2012.0</v>
      </c>
      <c r="AK15" s="44" t="s">
        <v>70</v>
      </c>
    </row>
    <row r="16" ht="15.75" customHeight="1">
      <c r="A16" s="41">
        <f t="shared" si="1"/>
        <v>14</v>
      </c>
      <c r="B16" s="42" t="s">
        <v>505</v>
      </c>
      <c r="C16" s="42" t="s">
        <v>506</v>
      </c>
      <c r="D16" s="11" t="str">
        <f>IFERROR(__xludf.DUMMYFUNCTION("REGEXEXTRACT(C16,""[A-Z]{2,}"")"),"FMDS")</f>
        <v>FMDS</v>
      </c>
      <c r="E16" s="43" t="s">
        <v>48</v>
      </c>
      <c r="F16" s="43" t="s">
        <v>73</v>
      </c>
      <c r="G16" s="43" t="s">
        <v>50</v>
      </c>
      <c r="H16" s="43">
        <v>0.18</v>
      </c>
      <c r="I16" s="43">
        <v>11.0</v>
      </c>
      <c r="J16" s="14" t="s">
        <v>507</v>
      </c>
      <c r="K16" s="14" t="s">
        <v>508</v>
      </c>
      <c r="L16" s="42" t="s">
        <v>505</v>
      </c>
      <c r="M16" s="43" t="s">
        <v>48</v>
      </c>
      <c r="N16" s="14" t="s">
        <v>509</v>
      </c>
      <c r="O16" s="42" t="s">
        <v>505</v>
      </c>
      <c r="P16" s="14">
        <v>2025.0</v>
      </c>
      <c r="Q16" s="14" t="s">
        <v>418</v>
      </c>
      <c r="R16" s="14" t="s">
        <v>419</v>
      </c>
      <c r="S16" s="44" t="s">
        <v>57</v>
      </c>
      <c r="T16" s="16" t="s">
        <v>250</v>
      </c>
      <c r="U16" s="16" t="s">
        <v>59</v>
      </c>
      <c r="V16" s="45">
        <v>9.0</v>
      </c>
      <c r="Z16" s="46" t="s">
        <v>431</v>
      </c>
      <c r="AA16" s="47" t="s">
        <v>421</v>
      </c>
      <c r="AB16" s="16" t="s">
        <v>432</v>
      </c>
      <c r="AC16" s="47" t="s">
        <v>433</v>
      </c>
      <c r="AD16" s="47" t="s">
        <v>434</v>
      </c>
      <c r="AF16" s="14" t="s">
        <v>174</v>
      </c>
      <c r="AG16" s="47" t="s">
        <v>435</v>
      </c>
      <c r="AH16" s="14" t="s">
        <v>510</v>
      </c>
      <c r="AI16" s="14">
        <v>2025.0</v>
      </c>
      <c r="AJ16" s="14">
        <v>2025.0</v>
      </c>
      <c r="AK16" s="44" t="s">
        <v>70</v>
      </c>
    </row>
    <row r="17" ht="15.75" customHeight="1">
      <c r="A17" s="41">
        <f t="shared" si="1"/>
        <v>15</v>
      </c>
      <c r="B17" s="42" t="s">
        <v>511</v>
      </c>
      <c r="C17" s="42" t="s">
        <v>512</v>
      </c>
      <c r="D17" s="11" t="str">
        <f>IFERROR(__xludf.DUMMYFUNCTION("REGEXEXTRACT(C17,""[A-Z]{2,}"")"),"FMDS")</f>
        <v>FMDS</v>
      </c>
      <c r="E17" s="43" t="s">
        <v>48</v>
      </c>
      <c r="F17" s="43" t="s">
        <v>73</v>
      </c>
      <c r="G17" s="43" t="s">
        <v>50</v>
      </c>
      <c r="H17" s="43">
        <v>3.55</v>
      </c>
      <c r="I17" s="43">
        <v>24.0</v>
      </c>
      <c r="J17" s="14" t="s">
        <v>513</v>
      </c>
      <c r="K17" s="14" t="s">
        <v>514</v>
      </c>
      <c r="L17" s="42" t="s">
        <v>511</v>
      </c>
      <c r="M17" s="43" t="s">
        <v>48</v>
      </c>
      <c r="N17" s="14" t="s">
        <v>515</v>
      </c>
      <c r="O17" s="42" t="s">
        <v>511</v>
      </c>
      <c r="P17" s="14">
        <v>2024.0</v>
      </c>
      <c r="Q17" s="14" t="s">
        <v>418</v>
      </c>
      <c r="R17" s="14" t="s">
        <v>419</v>
      </c>
      <c r="S17" s="44" t="s">
        <v>57</v>
      </c>
      <c r="T17" s="16" t="s">
        <v>250</v>
      </c>
      <c r="U17" s="16" t="s">
        <v>59</v>
      </c>
      <c r="V17" s="45">
        <v>9.0</v>
      </c>
      <c r="Z17" s="46" t="s">
        <v>60</v>
      </c>
      <c r="AA17" s="47" t="s">
        <v>421</v>
      </c>
      <c r="AB17" s="16" t="s">
        <v>432</v>
      </c>
      <c r="AC17" s="47" t="s">
        <v>63</v>
      </c>
      <c r="AD17" s="47" t="s">
        <v>423</v>
      </c>
      <c r="AF17" s="47" t="s">
        <v>150</v>
      </c>
      <c r="AG17" s="16" t="s">
        <v>448</v>
      </c>
      <c r="AH17" s="14" t="s">
        <v>516</v>
      </c>
      <c r="AI17" s="14">
        <v>2024.0</v>
      </c>
      <c r="AJ17" s="14">
        <v>2024.0</v>
      </c>
      <c r="AK17" s="44" t="s">
        <v>70</v>
      </c>
    </row>
    <row r="18" ht="15.75" customHeight="1">
      <c r="A18" s="41">
        <f t="shared" si="1"/>
        <v>16</v>
      </c>
      <c r="B18" s="42" t="s">
        <v>517</v>
      </c>
      <c r="C18" s="42" t="s">
        <v>518</v>
      </c>
      <c r="D18" s="11" t="str">
        <f>IFERROR(__xludf.DUMMYFUNCTION("REGEXEXTRACT(C18,""[A-Z]{2,}"")"),"FMDS")</f>
        <v>FMDS</v>
      </c>
      <c r="E18" s="43" t="s">
        <v>48</v>
      </c>
      <c r="F18" s="43" t="s">
        <v>73</v>
      </c>
      <c r="G18" s="43" t="s">
        <v>50</v>
      </c>
      <c r="H18" s="43">
        <v>11.35</v>
      </c>
      <c r="I18" s="43">
        <v>100.0</v>
      </c>
      <c r="J18" s="14" t="s">
        <v>519</v>
      </c>
      <c r="K18" s="14" t="s">
        <v>520</v>
      </c>
      <c r="L18" s="42" t="s">
        <v>517</v>
      </c>
      <c r="M18" s="43" t="s">
        <v>48</v>
      </c>
      <c r="N18" s="14" t="s">
        <v>521</v>
      </c>
      <c r="O18" s="42" t="s">
        <v>517</v>
      </c>
      <c r="P18" s="14">
        <v>2025.0</v>
      </c>
      <c r="Q18" s="14" t="s">
        <v>418</v>
      </c>
      <c r="R18" s="14" t="s">
        <v>419</v>
      </c>
      <c r="S18" s="44" t="s">
        <v>57</v>
      </c>
      <c r="T18" s="16" t="s">
        <v>250</v>
      </c>
      <c r="U18" s="16" t="s">
        <v>59</v>
      </c>
      <c r="V18" s="45">
        <v>9.0</v>
      </c>
      <c r="Z18" s="46" t="s">
        <v>431</v>
      </c>
      <c r="AA18" s="47" t="s">
        <v>421</v>
      </c>
      <c r="AB18" s="16" t="s">
        <v>432</v>
      </c>
      <c r="AC18" s="47" t="s">
        <v>433</v>
      </c>
      <c r="AD18" s="47" t="s">
        <v>434</v>
      </c>
      <c r="AF18" s="14" t="s">
        <v>174</v>
      </c>
      <c r="AG18" s="47" t="s">
        <v>435</v>
      </c>
      <c r="AH18" s="14" t="s">
        <v>522</v>
      </c>
      <c r="AI18" s="14">
        <v>2025.0</v>
      </c>
      <c r="AJ18" s="14">
        <v>2025.0</v>
      </c>
      <c r="AK18" s="44" t="s">
        <v>70</v>
      </c>
    </row>
    <row r="19" ht="15.75" customHeight="1">
      <c r="A19" s="41">
        <f t="shared" si="1"/>
        <v>17</v>
      </c>
      <c r="B19" s="42" t="s">
        <v>523</v>
      </c>
      <c r="C19" s="42" t="s">
        <v>524</v>
      </c>
      <c r="D19" s="11" t="str">
        <f>IFERROR(__xludf.DUMMYFUNCTION("REGEXEXTRACT(C19,""[A-Z]{2,}"")"),"FMDS")</f>
        <v>FMDS</v>
      </c>
      <c r="E19" s="43" t="s">
        <v>48</v>
      </c>
      <c r="F19" s="43" t="s">
        <v>73</v>
      </c>
      <c r="G19" s="43" t="s">
        <v>50</v>
      </c>
      <c r="H19" s="43">
        <v>2.5</v>
      </c>
      <c r="I19" s="43">
        <v>50.0</v>
      </c>
      <c r="J19" s="14" t="s">
        <v>525</v>
      </c>
      <c r="K19" s="14" t="s">
        <v>526</v>
      </c>
      <c r="L19" s="42" t="s">
        <v>523</v>
      </c>
      <c r="M19" s="43" t="s">
        <v>48</v>
      </c>
      <c r="N19" s="14" t="s">
        <v>527</v>
      </c>
      <c r="O19" s="42" t="s">
        <v>523</v>
      </c>
      <c r="P19" s="14">
        <v>2022.0</v>
      </c>
      <c r="Q19" s="14" t="s">
        <v>418</v>
      </c>
      <c r="R19" s="14" t="s">
        <v>419</v>
      </c>
      <c r="S19" s="44" t="s">
        <v>57</v>
      </c>
      <c r="T19" s="16" t="s">
        <v>250</v>
      </c>
      <c r="U19" s="16" t="s">
        <v>59</v>
      </c>
      <c r="V19" s="45">
        <v>9.0</v>
      </c>
      <c r="Z19" s="46" t="s">
        <v>431</v>
      </c>
      <c r="AA19" s="47" t="s">
        <v>421</v>
      </c>
      <c r="AB19" s="16" t="s">
        <v>422</v>
      </c>
      <c r="AC19" s="47" t="s">
        <v>433</v>
      </c>
      <c r="AD19" s="47" t="s">
        <v>434</v>
      </c>
      <c r="AF19" s="14" t="s">
        <v>174</v>
      </c>
      <c r="AG19" s="47" t="s">
        <v>435</v>
      </c>
      <c r="AH19" s="14" t="s">
        <v>528</v>
      </c>
      <c r="AI19" s="14">
        <v>2022.0</v>
      </c>
      <c r="AJ19" s="14">
        <v>2022.0</v>
      </c>
      <c r="AK19" s="44" t="s">
        <v>70</v>
      </c>
    </row>
    <row r="20" ht="15.75" customHeight="1">
      <c r="A20" s="41">
        <f t="shared" si="1"/>
        <v>18</v>
      </c>
      <c r="B20" s="42" t="s">
        <v>529</v>
      </c>
      <c r="C20" s="42" t="s">
        <v>530</v>
      </c>
      <c r="D20" s="11" t="str">
        <f>IFERROR(__xludf.DUMMYFUNCTION("REGEXEXTRACT(C20,""[A-Z]{2,}"")"),"FMDS")</f>
        <v>FMDS</v>
      </c>
      <c r="E20" s="43" t="s">
        <v>48</v>
      </c>
      <c r="F20" s="43" t="s">
        <v>73</v>
      </c>
      <c r="G20" s="43" t="s">
        <v>50</v>
      </c>
      <c r="H20" s="43">
        <v>0.2</v>
      </c>
      <c r="I20" s="43">
        <v>20.0</v>
      </c>
      <c r="J20" s="14" t="s">
        <v>531</v>
      </c>
      <c r="K20" s="14" t="s">
        <v>532</v>
      </c>
      <c r="L20" s="42" t="s">
        <v>529</v>
      </c>
      <c r="M20" s="43" t="s">
        <v>48</v>
      </c>
      <c r="N20" s="14" t="s">
        <v>533</v>
      </c>
      <c r="O20" s="42" t="s">
        <v>529</v>
      </c>
      <c r="P20" s="14">
        <v>2024.0</v>
      </c>
      <c r="Q20" s="14" t="s">
        <v>418</v>
      </c>
      <c r="R20" s="14" t="s">
        <v>419</v>
      </c>
      <c r="S20" s="44" t="s">
        <v>57</v>
      </c>
      <c r="T20" s="16" t="s">
        <v>250</v>
      </c>
      <c r="U20" s="16" t="s">
        <v>59</v>
      </c>
      <c r="V20" s="45">
        <v>9.0</v>
      </c>
      <c r="Z20" s="46" t="s">
        <v>431</v>
      </c>
      <c r="AA20" s="47" t="s">
        <v>421</v>
      </c>
      <c r="AB20" s="16" t="s">
        <v>432</v>
      </c>
      <c r="AC20" s="47" t="s">
        <v>433</v>
      </c>
      <c r="AD20" s="47" t="s">
        <v>434</v>
      </c>
      <c r="AF20" s="14" t="s">
        <v>174</v>
      </c>
      <c r="AG20" s="47" t="s">
        <v>435</v>
      </c>
      <c r="AH20" s="14" t="s">
        <v>534</v>
      </c>
      <c r="AI20" s="14">
        <v>2024.0</v>
      </c>
      <c r="AJ20" s="14">
        <v>2024.0</v>
      </c>
      <c r="AK20" s="44" t="s">
        <v>70</v>
      </c>
    </row>
    <row r="21" ht="15.75" customHeight="1">
      <c r="A21" s="41">
        <f t="shared" si="1"/>
        <v>19</v>
      </c>
      <c r="B21" s="42" t="s">
        <v>535</v>
      </c>
      <c r="C21" s="42" t="s">
        <v>536</v>
      </c>
      <c r="D21" s="11" t="str">
        <f>IFERROR(__xludf.DUMMYFUNCTION("REGEXEXTRACT(C21,""[A-Z]{2,}"")"),"FMDS")</f>
        <v>FMDS</v>
      </c>
      <c r="E21" s="43" t="s">
        <v>48</v>
      </c>
      <c r="F21" s="43" t="s">
        <v>73</v>
      </c>
      <c r="G21" s="43" t="s">
        <v>50</v>
      </c>
      <c r="H21" s="43">
        <v>0.1</v>
      </c>
      <c r="I21" s="43">
        <v>7.0</v>
      </c>
      <c r="J21" s="14" t="s">
        <v>537</v>
      </c>
      <c r="K21" s="14" t="s">
        <v>538</v>
      </c>
      <c r="L21" s="42" t="s">
        <v>535</v>
      </c>
      <c r="M21" s="43" t="s">
        <v>48</v>
      </c>
      <c r="N21" s="14" t="s">
        <v>539</v>
      </c>
      <c r="O21" s="42" t="s">
        <v>535</v>
      </c>
      <c r="P21" s="14">
        <v>2017.0</v>
      </c>
      <c r="Q21" s="14" t="s">
        <v>418</v>
      </c>
      <c r="R21" s="14" t="s">
        <v>419</v>
      </c>
      <c r="S21" s="44" t="s">
        <v>57</v>
      </c>
      <c r="T21" s="16" t="s">
        <v>250</v>
      </c>
      <c r="U21" s="16" t="s">
        <v>59</v>
      </c>
      <c r="V21" s="45">
        <v>9.0</v>
      </c>
      <c r="Z21" s="46" t="s">
        <v>431</v>
      </c>
      <c r="AA21" s="47" t="s">
        <v>421</v>
      </c>
      <c r="AB21" s="16" t="s">
        <v>422</v>
      </c>
      <c r="AC21" s="47" t="s">
        <v>433</v>
      </c>
      <c r="AD21" s="47" t="s">
        <v>434</v>
      </c>
      <c r="AF21" s="14" t="s">
        <v>174</v>
      </c>
      <c r="AG21" s="47" t="s">
        <v>435</v>
      </c>
      <c r="AH21" s="14" t="s">
        <v>540</v>
      </c>
      <c r="AI21" s="14">
        <v>2017.0</v>
      </c>
      <c r="AJ21" s="14">
        <v>2017.0</v>
      </c>
      <c r="AK21" s="44" t="s">
        <v>70</v>
      </c>
    </row>
    <row r="22" ht="15.75" customHeight="1">
      <c r="A22" s="41">
        <f t="shared" si="1"/>
        <v>20</v>
      </c>
      <c r="B22" s="42" t="s">
        <v>541</v>
      </c>
      <c r="C22" s="42" t="s">
        <v>542</v>
      </c>
      <c r="D22" s="11" t="str">
        <f>IFERROR(__xludf.DUMMYFUNCTION("REGEXEXTRACT(C22,""[A-Z]{2,}"")"),"FMDS")</f>
        <v>FMDS</v>
      </c>
      <c r="E22" s="43" t="s">
        <v>48</v>
      </c>
      <c r="F22" s="43" t="s">
        <v>73</v>
      </c>
      <c r="G22" s="43" t="s">
        <v>50</v>
      </c>
      <c r="H22" s="43">
        <v>7.04</v>
      </c>
      <c r="I22" s="43">
        <v>24.0</v>
      </c>
      <c r="J22" s="14" t="s">
        <v>543</v>
      </c>
      <c r="K22" s="14" t="s">
        <v>544</v>
      </c>
      <c r="L22" s="42" t="s">
        <v>541</v>
      </c>
      <c r="M22" s="43" t="s">
        <v>48</v>
      </c>
      <c r="N22" s="14" t="s">
        <v>545</v>
      </c>
      <c r="O22" s="42" t="s">
        <v>541</v>
      </c>
      <c r="P22" s="14">
        <v>2025.0</v>
      </c>
      <c r="Q22" s="14" t="s">
        <v>418</v>
      </c>
      <c r="R22" s="14" t="s">
        <v>419</v>
      </c>
      <c r="S22" s="44" t="s">
        <v>57</v>
      </c>
      <c r="T22" s="16" t="s">
        <v>250</v>
      </c>
      <c r="U22" s="16" t="s">
        <v>59</v>
      </c>
      <c r="V22" s="45">
        <v>9.0</v>
      </c>
      <c r="Z22" s="46" t="s">
        <v>431</v>
      </c>
      <c r="AA22" s="47" t="s">
        <v>421</v>
      </c>
      <c r="AB22" s="16" t="s">
        <v>432</v>
      </c>
      <c r="AC22" s="47" t="s">
        <v>433</v>
      </c>
      <c r="AD22" s="47" t="s">
        <v>434</v>
      </c>
      <c r="AF22" s="14" t="s">
        <v>174</v>
      </c>
      <c r="AG22" s="47" t="s">
        <v>435</v>
      </c>
      <c r="AH22" s="14" t="s">
        <v>546</v>
      </c>
      <c r="AI22" s="14">
        <v>2025.0</v>
      </c>
      <c r="AJ22" s="14">
        <v>2025.0</v>
      </c>
      <c r="AK22" s="44" t="s">
        <v>70</v>
      </c>
    </row>
    <row r="23" ht="15.75" customHeight="1">
      <c r="A23" s="41">
        <f t="shared" si="1"/>
        <v>21</v>
      </c>
      <c r="B23" s="42" t="s">
        <v>547</v>
      </c>
      <c r="C23" s="42" t="s">
        <v>548</v>
      </c>
      <c r="D23" s="11" t="str">
        <f>IFERROR(__xludf.DUMMYFUNCTION("REGEXEXTRACT(C23,""[A-Z]{2,}"")"),"FMDS")</f>
        <v>FMDS</v>
      </c>
      <c r="E23" s="43" t="s">
        <v>48</v>
      </c>
      <c r="F23" s="43" t="s">
        <v>73</v>
      </c>
      <c r="G23" s="43" t="s">
        <v>50</v>
      </c>
      <c r="H23" s="43">
        <v>4.45</v>
      </c>
      <c r="I23" s="43">
        <v>45.0</v>
      </c>
      <c r="J23" s="14" t="s">
        <v>549</v>
      </c>
      <c r="K23" s="14" t="s">
        <v>550</v>
      </c>
      <c r="L23" s="42" t="s">
        <v>547</v>
      </c>
      <c r="M23" s="43" t="s">
        <v>48</v>
      </c>
      <c r="N23" s="14" t="s">
        <v>551</v>
      </c>
      <c r="O23" s="42" t="s">
        <v>547</v>
      </c>
      <c r="P23" s="14">
        <v>2024.0</v>
      </c>
      <c r="Q23" s="14" t="s">
        <v>418</v>
      </c>
      <c r="R23" s="14" t="s">
        <v>419</v>
      </c>
      <c r="S23" s="44" t="s">
        <v>57</v>
      </c>
      <c r="T23" s="16" t="s">
        <v>250</v>
      </c>
      <c r="U23" s="16" t="s">
        <v>59</v>
      </c>
      <c r="V23" s="45">
        <v>9.0</v>
      </c>
      <c r="Z23" s="46" t="s">
        <v>431</v>
      </c>
      <c r="AA23" s="47" t="s">
        <v>421</v>
      </c>
      <c r="AB23" s="16" t="s">
        <v>432</v>
      </c>
      <c r="AC23" s="47" t="s">
        <v>433</v>
      </c>
      <c r="AD23" s="47" t="s">
        <v>434</v>
      </c>
      <c r="AF23" s="14" t="s">
        <v>174</v>
      </c>
      <c r="AG23" s="47" t="s">
        <v>435</v>
      </c>
      <c r="AH23" s="14" t="s">
        <v>552</v>
      </c>
      <c r="AI23" s="14">
        <v>2024.0</v>
      </c>
      <c r="AJ23" s="14">
        <v>2024.0</v>
      </c>
      <c r="AK23" s="44" t="s">
        <v>70</v>
      </c>
    </row>
    <row r="24" ht="15.75" customHeight="1">
      <c r="A24" s="41">
        <f t="shared" si="1"/>
        <v>22</v>
      </c>
      <c r="B24" s="42" t="s">
        <v>553</v>
      </c>
      <c r="C24" s="42" t="s">
        <v>554</v>
      </c>
      <c r="D24" s="11" t="str">
        <f>IFERROR(__xludf.DUMMYFUNCTION("REGEXEXTRACT(C24,""[A-Z]{2,}"")"),"FMDS")</f>
        <v>FMDS</v>
      </c>
      <c r="E24" s="43" t="s">
        <v>48</v>
      </c>
      <c r="F24" s="43" t="s">
        <v>73</v>
      </c>
      <c r="G24" s="43" t="s">
        <v>50</v>
      </c>
      <c r="H24" s="43">
        <v>0.08</v>
      </c>
      <c r="I24" s="43">
        <v>11.0</v>
      </c>
      <c r="J24" s="14" t="s">
        <v>555</v>
      </c>
      <c r="K24" s="14" t="s">
        <v>556</v>
      </c>
      <c r="L24" s="42" t="s">
        <v>553</v>
      </c>
      <c r="M24" s="43" t="s">
        <v>48</v>
      </c>
      <c r="N24" s="14" t="s">
        <v>557</v>
      </c>
      <c r="O24" s="42" t="s">
        <v>553</v>
      </c>
      <c r="P24" s="14">
        <v>2023.0</v>
      </c>
      <c r="Q24" s="14" t="s">
        <v>418</v>
      </c>
      <c r="R24" s="14" t="s">
        <v>419</v>
      </c>
      <c r="S24" s="44" t="s">
        <v>57</v>
      </c>
      <c r="T24" s="16" t="s">
        <v>250</v>
      </c>
      <c r="U24" s="16" t="s">
        <v>59</v>
      </c>
      <c r="V24" s="45">
        <v>9.0</v>
      </c>
      <c r="Z24" s="46" t="s">
        <v>431</v>
      </c>
      <c r="AA24" s="47" t="s">
        <v>421</v>
      </c>
      <c r="AB24" s="16" t="s">
        <v>432</v>
      </c>
      <c r="AC24" s="47" t="s">
        <v>433</v>
      </c>
      <c r="AD24" s="47" t="s">
        <v>434</v>
      </c>
      <c r="AF24" s="14" t="s">
        <v>174</v>
      </c>
      <c r="AG24" s="47" t="s">
        <v>435</v>
      </c>
      <c r="AH24" s="14" t="s">
        <v>558</v>
      </c>
      <c r="AI24" s="14">
        <v>2023.0</v>
      </c>
      <c r="AJ24" s="14">
        <v>2023.0</v>
      </c>
      <c r="AK24" s="44" t="s">
        <v>70</v>
      </c>
    </row>
    <row r="25" ht="15.75" customHeight="1">
      <c r="A25" s="41">
        <f t="shared" si="1"/>
        <v>23</v>
      </c>
      <c r="B25" s="42" t="s">
        <v>559</v>
      </c>
      <c r="C25" s="42" t="s">
        <v>560</v>
      </c>
      <c r="D25" s="11" t="str">
        <f>IFERROR(__xludf.DUMMYFUNCTION("REGEXEXTRACT(C25,""[A-Z]{2,}"")"),"FMDS")</f>
        <v>FMDS</v>
      </c>
      <c r="E25" s="43" t="s">
        <v>48</v>
      </c>
      <c r="F25" s="43" t="s">
        <v>73</v>
      </c>
      <c r="G25" s="43" t="s">
        <v>50</v>
      </c>
      <c r="H25" s="43">
        <v>0.23</v>
      </c>
      <c r="I25" s="43">
        <v>36.0</v>
      </c>
      <c r="J25" s="14" t="s">
        <v>561</v>
      </c>
      <c r="K25" s="14" t="s">
        <v>562</v>
      </c>
      <c r="L25" s="42" t="s">
        <v>559</v>
      </c>
      <c r="M25" s="43" t="s">
        <v>48</v>
      </c>
      <c r="N25" s="14" t="s">
        <v>563</v>
      </c>
      <c r="O25" s="42" t="s">
        <v>559</v>
      </c>
      <c r="P25" s="14">
        <v>2025.0</v>
      </c>
      <c r="Q25" s="14" t="s">
        <v>418</v>
      </c>
      <c r="R25" s="14" t="s">
        <v>419</v>
      </c>
      <c r="S25" s="44" t="s">
        <v>57</v>
      </c>
      <c r="T25" s="16" t="s">
        <v>250</v>
      </c>
      <c r="U25" s="16" t="s">
        <v>59</v>
      </c>
      <c r="V25" s="45">
        <v>9.0</v>
      </c>
      <c r="Z25" s="46" t="s">
        <v>564</v>
      </c>
      <c r="AA25" s="47" t="s">
        <v>421</v>
      </c>
      <c r="AB25" s="16" t="s">
        <v>432</v>
      </c>
      <c r="AC25" s="46" t="s">
        <v>564</v>
      </c>
      <c r="AD25" s="47" t="s">
        <v>565</v>
      </c>
      <c r="AF25" s="16" t="s">
        <v>566</v>
      </c>
      <c r="AG25" s="16" t="s">
        <v>567</v>
      </c>
      <c r="AH25" s="14" t="s">
        <v>568</v>
      </c>
      <c r="AI25" s="14">
        <v>2025.0</v>
      </c>
      <c r="AJ25" s="14">
        <v>2025.0</v>
      </c>
      <c r="AK25" s="44" t="s">
        <v>70</v>
      </c>
    </row>
    <row r="26" ht="15.75" customHeight="1">
      <c r="A26" s="41">
        <f t="shared" si="1"/>
        <v>24</v>
      </c>
      <c r="B26" s="42" t="s">
        <v>569</v>
      </c>
      <c r="C26" s="42" t="s">
        <v>570</v>
      </c>
      <c r="D26" s="11" t="str">
        <f>IFERROR(__xludf.DUMMYFUNCTION("REGEXEXTRACT(C26,""[A-Z]{2,}"")"),"FMDS")</f>
        <v>FMDS</v>
      </c>
      <c r="E26" s="43" t="s">
        <v>48</v>
      </c>
      <c r="F26" s="43" t="s">
        <v>73</v>
      </c>
      <c r="G26" s="43" t="s">
        <v>50</v>
      </c>
      <c r="H26" s="43">
        <v>2.77</v>
      </c>
      <c r="I26" s="43">
        <v>125.0</v>
      </c>
      <c r="J26" s="14" t="s">
        <v>571</v>
      </c>
      <c r="K26" s="14" t="s">
        <v>572</v>
      </c>
      <c r="L26" s="42" t="s">
        <v>569</v>
      </c>
      <c r="M26" s="43" t="s">
        <v>48</v>
      </c>
      <c r="N26" s="14" t="s">
        <v>573</v>
      </c>
      <c r="O26" s="42" t="s">
        <v>569</v>
      </c>
      <c r="P26" s="14">
        <v>2025.0</v>
      </c>
      <c r="Q26" s="14" t="s">
        <v>418</v>
      </c>
      <c r="R26" s="14" t="s">
        <v>419</v>
      </c>
      <c r="S26" s="44" t="s">
        <v>57</v>
      </c>
      <c r="T26" s="16" t="s">
        <v>250</v>
      </c>
      <c r="U26" s="16" t="s">
        <v>59</v>
      </c>
      <c r="V26" s="45">
        <v>9.0</v>
      </c>
      <c r="Z26" s="46" t="s">
        <v>431</v>
      </c>
      <c r="AA26" s="47" t="s">
        <v>421</v>
      </c>
      <c r="AB26" s="16" t="s">
        <v>432</v>
      </c>
      <c r="AC26" s="47" t="s">
        <v>433</v>
      </c>
      <c r="AD26" s="47" t="s">
        <v>434</v>
      </c>
      <c r="AF26" s="14" t="s">
        <v>174</v>
      </c>
      <c r="AG26" s="47" t="s">
        <v>435</v>
      </c>
      <c r="AH26" s="14" t="s">
        <v>574</v>
      </c>
      <c r="AI26" s="14">
        <v>2025.0</v>
      </c>
      <c r="AJ26" s="14">
        <v>2025.0</v>
      </c>
      <c r="AK26" s="44" t="s">
        <v>70</v>
      </c>
    </row>
    <row r="27" ht="15.75" customHeight="1">
      <c r="A27" s="41">
        <f t="shared" si="1"/>
        <v>25</v>
      </c>
      <c r="B27" s="42" t="s">
        <v>575</v>
      </c>
      <c r="C27" s="42" t="s">
        <v>576</v>
      </c>
      <c r="D27" s="11" t="str">
        <f>IFERROR(__xludf.DUMMYFUNCTION("REGEXEXTRACT(C27,""[A-Z]{2,}"")"),"FMDS")</f>
        <v>FMDS</v>
      </c>
      <c r="E27" s="43" t="s">
        <v>48</v>
      </c>
      <c r="F27" s="43" t="s">
        <v>73</v>
      </c>
      <c r="G27" s="43" t="s">
        <v>50</v>
      </c>
      <c r="H27" s="43">
        <v>0.29</v>
      </c>
      <c r="I27" s="43">
        <v>26.0</v>
      </c>
      <c r="J27" s="14" t="s">
        <v>577</v>
      </c>
      <c r="K27" s="14" t="s">
        <v>578</v>
      </c>
      <c r="L27" s="42" t="s">
        <v>575</v>
      </c>
      <c r="M27" s="43" t="s">
        <v>48</v>
      </c>
      <c r="N27" s="14" t="s">
        <v>579</v>
      </c>
      <c r="O27" s="42" t="s">
        <v>575</v>
      </c>
      <c r="P27" s="14">
        <v>2024.0</v>
      </c>
      <c r="Q27" s="14" t="s">
        <v>418</v>
      </c>
      <c r="R27" s="14" t="s">
        <v>419</v>
      </c>
      <c r="S27" s="44" t="s">
        <v>57</v>
      </c>
      <c r="T27" s="16" t="s">
        <v>250</v>
      </c>
      <c r="U27" s="16" t="s">
        <v>59</v>
      </c>
      <c r="V27" s="45">
        <v>9.0</v>
      </c>
      <c r="Z27" s="46" t="s">
        <v>431</v>
      </c>
      <c r="AA27" s="47" t="s">
        <v>421</v>
      </c>
      <c r="AB27" s="16" t="s">
        <v>432</v>
      </c>
      <c r="AC27" s="47" t="s">
        <v>433</v>
      </c>
      <c r="AD27" s="47" t="s">
        <v>434</v>
      </c>
      <c r="AF27" s="14" t="s">
        <v>174</v>
      </c>
      <c r="AG27" s="47" t="s">
        <v>435</v>
      </c>
      <c r="AH27" s="14" t="s">
        <v>580</v>
      </c>
      <c r="AI27" s="14">
        <v>2024.0</v>
      </c>
      <c r="AJ27" s="14">
        <v>2024.0</v>
      </c>
      <c r="AK27" s="44" t="s">
        <v>70</v>
      </c>
    </row>
    <row r="28" ht="15.75" customHeight="1">
      <c r="A28" s="41">
        <f t="shared" si="1"/>
        <v>26</v>
      </c>
      <c r="B28" s="42" t="s">
        <v>581</v>
      </c>
      <c r="C28" s="42" t="s">
        <v>582</v>
      </c>
      <c r="D28" s="11" t="str">
        <f>IFERROR(__xludf.DUMMYFUNCTION("REGEXEXTRACT(C28,""[A-Z]{2,}"")"),"FMDS")</f>
        <v>FMDS</v>
      </c>
      <c r="E28" s="43" t="s">
        <v>48</v>
      </c>
      <c r="F28" s="43" t="s">
        <v>73</v>
      </c>
      <c r="G28" s="43" t="s">
        <v>50</v>
      </c>
      <c r="H28" s="43">
        <v>0.69</v>
      </c>
      <c r="I28" s="43">
        <v>34.0</v>
      </c>
      <c r="J28" s="14" t="s">
        <v>583</v>
      </c>
      <c r="K28" s="14" t="s">
        <v>584</v>
      </c>
      <c r="L28" s="42" t="s">
        <v>581</v>
      </c>
      <c r="M28" s="43" t="s">
        <v>48</v>
      </c>
      <c r="N28" s="14" t="s">
        <v>585</v>
      </c>
      <c r="O28" s="42" t="s">
        <v>581</v>
      </c>
      <c r="P28" s="14">
        <v>2024.0</v>
      </c>
      <c r="Q28" s="14" t="s">
        <v>418</v>
      </c>
      <c r="R28" s="14" t="s">
        <v>419</v>
      </c>
      <c r="S28" s="44" t="s">
        <v>57</v>
      </c>
      <c r="T28" s="16" t="s">
        <v>250</v>
      </c>
      <c r="U28" s="16" t="s">
        <v>59</v>
      </c>
      <c r="V28" s="45">
        <v>9.0</v>
      </c>
      <c r="Z28" s="46" t="s">
        <v>431</v>
      </c>
      <c r="AA28" s="47" t="s">
        <v>421</v>
      </c>
      <c r="AB28" s="16" t="s">
        <v>422</v>
      </c>
      <c r="AC28" s="47" t="s">
        <v>433</v>
      </c>
      <c r="AD28" s="47" t="s">
        <v>434</v>
      </c>
      <c r="AF28" s="14" t="s">
        <v>174</v>
      </c>
      <c r="AG28" s="47" t="s">
        <v>435</v>
      </c>
      <c r="AH28" s="14" t="s">
        <v>586</v>
      </c>
      <c r="AI28" s="14">
        <v>2024.0</v>
      </c>
      <c r="AJ28" s="14">
        <v>2024.0</v>
      </c>
      <c r="AK28" s="44" t="s">
        <v>70</v>
      </c>
    </row>
    <row r="29" ht="15.75" customHeight="1">
      <c r="A29" s="41">
        <f t="shared" si="1"/>
        <v>27</v>
      </c>
      <c r="B29" s="42" t="s">
        <v>587</v>
      </c>
      <c r="C29" s="42" t="s">
        <v>588</v>
      </c>
      <c r="D29" s="11" t="str">
        <f>IFERROR(__xludf.DUMMYFUNCTION("REGEXEXTRACT(C29,""[A-Z]{2,}"")"),"FMDS")</f>
        <v>FMDS</v>
      </c>
      <c r="E29" s="43" t="s">
        <v>48</v>
      </c>
      <c r="F29" s="43" t="s">
        <v>73</v>
      </c>
      <c r="G29" s="43" t="s">
        <v>50</v>
      </c>
      <c r="H29" s="43">
        <v>0.64</v>
      </c>
      <c r="I29" s="43">
        <v>29.0</v>
      </c>
      <c r="J29" s="14" t="s">
        <v>589</v>
      </c>
      <c r="K29" s="14" t="s">
        <v>590</v>
      </c>
      <c r="L29" s="42" t="s">
        <v>587</v>
      </c>
      <c r="M29" s="43" t="s">
        <v>48</v>
      </c>
      <c r="N29" s="14" t="s">
        <v>591</v>
      </c>
      <c r="O29" s="42" t="s">
        <v>587</v>
      </c>
      <c r="P29" s="14">
        <v>2024.0</v>
      </c>
      <c r="Q29" s="14" t="s">
        <v>418</v>
      </c>
      <c r="R29" s="14" t="s">
        <v>419</v>
      </c>
      <c r="S29" s="44" t="s">
        <v>57</v>
      </c>
      <c r="T29" s="16" t="s">
        <v>250</v>
      </c>
      <c r="U29" s="16" t="s">
        <v>59</v>
      </c>
      <c r="V29" s="45">
        <v>9.0</v>
      </c>
      <c r="Z29" s="46" t="s">
        <v>431</v>
      </c>
      <c r="AA29" s="47" t="s">
        <v>421</v>
      </c>
      <c r="AB29" s="16" t="s">
        <v>422</v>
      </c>
      <c r="AC29" s="47" t="s">
        <v>433</v>
      </c>
      <c r="AD29" s="47" t="s">
        <v>434</v>
      </c>
      <c r="AF29" s="14" t="s">
        <v>174</v>
      </c>
      <c r="AG29" s="47" t="s">
        <v>435</v>
      </c>
      <c r="AH29" s="14" t="s">
        <v>592</v>
      </c>
      <c r="AI29" s="14">
        <v>2024.0</v>
      </c>
      <c r="AJ29" s="14">
        <v>2024.0</v>
      </c>
      <c r="AK29" s="44" t="s">
        <v>70</v>
      </c>
    </row>
    <row r="30" ht="15.75" customHeight="1">
      <c r="A30" s="41">
        <f t="shared" si="1"/>
        <v>28</v>
      </c>
      <c r="B30" s="42" t="s">
        <v>593</v>
      </c>
      <c r="C30" s="42" t="s">
        <v>594</v>
      </c>
      <c r="D30" s="11" t="str">
        <f>IFERROR(__xludf.DUMMYFUNCTION("REGEXEXTRACT(C30,""[A-Z]{2,}"")"),"FMDS")</f>
        <v>FMDS</v>
      </c>
      <c r="E30" s="43" t="s">
        <v>48</v>
      </c>
      <c r="F30" s="43" t="s">
        <v>73</v>
      </c>
      <c r="G30" s="43" t="s">
        <v>50</v>
      </c>
      <c r="H30" s="43">
        <v>0.4</v>
      </c>
      <c r="I30" s="43">
        <v>26.0</v>
      </c>
      <c r="J30" s="14" t="s">
        <v>595</v>
      </c>
      <c r="K30" s="14" t="s">
        <v>596</v>
      </c>
      <c r="L30" s="42" t="s">
        <v>593</v>
      </c>
      <c r="M30" s="43" t="s">
        <v>48</v>
      </c>
      <c r="N30" s="14" t="s">
        <v>597</v>
      </c>
      <c r="O30" s="42" t="s">
        <v>593</v>
      </c>
      <c r="P30" s="14">
        <v>2025.0</v>
      </c>
      <c r="Q30" s="14" t="s">
        <v>418</v>
      </c>
      <c r="R30" s="14" t="s">
        <v>419</v>
      </c>
      <c r="S30" s="44" t="s">
        <v>57</v>
      </c>
      <c r="T30" s="16" t="s">
        <v>250</v>
      </c>
      <c r="U30" s="16" t="s">
        <v>59</v>
      </c>
      <c r="V30" s="45">
        <v>9.0</v>
      </c>
      <c r="Z30" s="46" t="s">
        <v>431</v>
      </c>
      <c r="AA30" s="47" t="s">
        <v>421</v>
      </c>
      <c r="AB30" s="16" t="s">
        <v>432</v>
      </c>
      <c r="AC30" s="47" t="s">
        <v>433</v>
      </c>
      <c r="AD30" s="47" t="s">
        <v>434</v>
      </c>
      <c r="AF30" s="47" t="s">
        <v>598</v>
      </c>
      <c r="AG30" s="16" t="s">
        <v>599</v>
      </c>
      <c r="AH30" s="14" t="s">
        <v>600</v>
      </c>
      <c r="AI30" s="14">
        <v>2025.0</v>
      </c>
      <c r="AJ30" s="14">
        <v>2025.0</v>
      </c>
      <c r="AK30" s="44" t="s">
        <v>70</v>
      </c>
    </row>
    <row r="31" ht="15.75" customHeight="1">
      <c r="A31" s="41">
        <f t="shared" si="1"/>
        <v>29</v>
      </c>
      <c r="B31" s="42" t="s">
        <v>601</v>
      </c>
      <c r="C31" s="42" t="s">
        <v>602</v>
      </c>
      <c r="D31" s="11" t="str">
        <f>IFERROR(__xludf.DUMMYFUNCTION("REGEXEXTRACT(C31,""[A-Z]{2,}"")"),"FMDS")</f>
        <v>FMDS</v>
      </c>
      <c r="E31" s="43" t="s">
        <v>48</v>
      </c>
      <c r="F31" s="43" t="s">
        <v>73</v>
      </c>
      <c r="G31" s="43" t="s">
        <v>50</v>
      </c>
      <c r="H31" s="43">
        <v>10.15</v>
      </c>
      <c r="I31" s="43">
        <v>115.0</v>
      </c>
      <c r="J31" s="14" t="s">
        <v>603</v>
      </c>
      <c r="K31" s="14" t="s">
        <v>604</v>
      </c>
      <c r="L31" s="42" t="s">
        <v>601</v>
      </c>
      <c r="M31" s="43" t="s">
        <v>48</v>
      </c>
      <c r="N31" s="14" t="s">
        <v>605</v>
      </c>
      <c r="O31" s="42" t="s">
        <v>601</v>
      </c>
      <c r="P31" s="14">
        <v>2024.0</v>
      </c>
      <c r="Q31" s="14" t="s">
        <v>418</v>
      </c>
      <c r="R31" s="14" t="s">
        <v>419</v>
      </c>
      <c r="S31" s="44" t="s">
        <v>57</v>
      </c>
      <c r="T31" s="16" t="s">
        <v>250</v>
      </c>
      <c r="U31" s="16" t="s">
        <v>59</v>
      </c>
      <c r="V31" s="45">
        <v>9.0</v>
      </c>
      <c r="Z31" s="46" t="s">
        <v>431</v>
      </c>
      <c r="AA31" s="47" t="s">
        <v>421</v>
      </c>
      <c r="AB31" s="16" t="s">
        <v>432</v>
      </c>
      <c r="AC31" s="47" t="s">
        <v>433</v>
      </c>
      <c r="AD31" s="47" t="s">
        <v>434</v>
      </c>
      <c r="AF31" s="14" t="s">
        <v>174</v>
      </c>
      <c r="AG31" s="47" t="s">
        <v>435</v>
      </c>
      <c r="AH31" s="14" t="s">
        <v>606</v>
      </c>
      <c r="AI31" s="14">
        <v>2024.0</v>
      </c>
      <c r="AJ31" s="14">
        <v>2024.0</v>
      </c>
      <c r="AK31" s="44" t="s">
        <v>70</v>
      </c>
    </row>
    <row r="32" ht="15.75" customHeight="1">
      <c r="A32" s="41">
        <f t="shared" si="1"/>
        <v>30</v>
      </c>
      <c r="B32" s="42" t="s">
        <v>607</v>
      </c>
      <c r="C32" s="42" t="s">
        <v>608</v>
      </c>
      <c r="D32" s="11" t="str">
        <f>IFERROR(__xludf.DUMMYFUNCTION("REGEXEXTRACT(C32,""[A-Z]{2,}"")"),"FMDS")</f>
        <v>FMDS</v>
      </c>
      <c r="E32" s="43" t="s">
        <v>48</v>
      </c>
      <c r="F32" s="43" t="s">
        <v>73</v>
      </c>
      <c r="G32" s="43" t="s">
        <v>50</v>
      </c>
      <c r="H32" s="43">
        <v>0.47</v>
      </c>
      <c r="I32" s="43">
        <v>25.0</v>
      </c>
      <c r="J32" s="14" t="s">
        <v>609</v>
      </c>
      <c r="K32" s="14" t="s">
        <v>610</v>
      </c>
      <c r="L32" s="42" t="s">
        <v>607</v>
      </c>
      <c r="M32" s="43" t="s">
        <v>48</v>
      </c>
      <c r="N32" s="14" t="s">
        <v>611</v>
      </c>
      <c r="O32" s="42" t="s">
        <v>607</v>
      </c>
      <c r="P32" s="14">
        <v>2020.0</v>
      </c>
      <c r="Q32" s="14" t="s">
        <v>418</v>
      </c>
      <c r="R32" s="14" t="s">
        <v>419</v>
      </c>
      <c r="S32" s="44" t="s">
        <v>57</v>
      </c>
      <c r="T32" s="16" t="s">
        <v>250</v>
      </c>
      <c r="U32" s="16" t="s">
        <v>59</v>
      </c>
      <c r="V32" s="45">
        <v>9.0</v>
      </c>
      <c r="Z32" s="46" t="s">
        <v>431</v>
      </c>
      <c r="AA32" s="47" t="s">
        <v>421</v>
      </c>
      <c r="AB32" s="16" t="s">
        <v>432</v>
      </c>
      <c r="AC32" s="47" t="s">
        <v>433</v>
      </c>
      <c r="AD32" s="47" t="s">
        <v>434</v>
      </c>
      <c r="AF32" s="47" t="s">
        <v>598</v>
      </c>
      <c r="AG32" s="16" t="s">
        <v>599</v>
      </c>
      <c r="AH32" s="14" t="s">
        <v>612</v>
      </c>
      <c r="AI32" s="14">
        <v>2020.0</v>
      </c>
      <c r="AJ32" s="14">
        <v>2020.0</v>
      </c>
      <c r="AK32" s="44" t="s">
        <v>70</v>
      </c>
    </row>
    <row r="33" ht="15.75" customHeight="1">
      <c r="A33" s="41">
        <f t="shared" si="1"/>
        <v>31</v>
      </c>
      <c r="B33" s="42" t="s">
        <v>613</v>
      </c>
      <c r="C33" s="42" t="s">
        <v>614</v>
      </c>
      <c r="D33" s="11" t="str">
        <f>IFERROR(__xludf.DUMMYFUNCTION("REGEXEXTRACT(C33,""[A-Z]{2,}"")"),"FMDS")</f>
        <v>FMDS</v>
      </c>
      <c r="E33" s="43" t="s">
        <v>48</v>
      </c>
      <c r="F33" s="43" t="s">
        <v>73</v>
      </c>
      <c r="G33" s="43" t="s">
        <v>50</v>
      </c>
      <c r="H33" s="43">
        <v>1.3</v>
      </c>
      <c r="I33" s="43">
        <v>35.0</v>
      </c>
      <c r="J33" s="14" t="s">
        <v>615</v>
      </c>
      <c r="K33" s="14" t="s">
        <v>616</v>
      </c>
      <c r="L33" s="42" t="s">
        <v>613</v>
      </c>
      <c r="M33" s="43" t="s">
        <v>48</v>
      </c>
      <c r="N33" s="14" t="s">
        <v>617</v>
      </c>
      <c r="O33" s="42" t="s">
        <v>613</v>
      </c>
      <c r="P33" s="14">
        <v>2025.0</v>
      </c>
      <c r="Q33" s="14" t="s">
        <v>418</v>
      </c>
      <c r="R33" s="14" t="s">
        <v>419</v>
      </c>
      <c r="S33" s="44" t="s">
        <v>57</v>
      </c>
      <c r="T33" s="16" t="s">
        <v>250</v>
      </c>
      <c r="U33" s="16" t="s">
        <v>59</v>
      </c>
      <c r="V33" s="45">
        <v>9.0</v>
      </c>
      <c r="Z33" s="46" t="s">
        <v>431</v>
      </c>
      <c r="AA33" s="47" t="s">
        <v>421</v>
      </c>
      <c r="AB33" s="16" t="s">
        <v>432</v>
      </c>
      <c r="AC33" s="47" t="s">
        <v>433</v>
      </c>
      <c r="AD33" s="47" t="s">
        <v>434</v>
      </c>
      <c r="AF33" s="14" t="s">
        <v>174</v>
      </c>
      <c r="AG33" s="47" t="s">
        <v>435</v>
      </c>
      <c r="AH33" s="14" t="s">
        <v>618</v>
      </c>
      <c r="AI33" s="14">
        <v>2025.0</v>
      </c>
      <c r="AJ33" s="14">
        <v>2025.0</v>
      </c>
      <c r="AK33" s="44" t="s">
        <v>70</v>
      </c>
    </row>
    <row r="34" ht="15.75" customHeight="1">
      <c r="A34" s="41">
        <f t="shared" si="1"/>
        <v>32</v>
      </c>
      <c r="B34" s="42" t="s">
        <v>619</v>
      </c>
      <c r="C34" s="42" t="s">
        <v>620</v>
      </c>
      <c r="D34" s="11" t="str">
        <f>IFERROR(__xludf.DUMMYFUNCTION("REGEXEXTRACT(C34,""[A-Z]{2,}"")"),"FMDS")</f>
        <v>FMDS</v>
      </c>
      <c r="E34" s="43" t="s">
        <v>48</v>
      </c>
      <c r="F34" s="43" t="s">
        <v>73</v>
      </c>
      <c r="G34" s="43" t="s">
        <v>50</v>
      </c>
      <c r="H34" s="43">
        <v>0.15</v>
      </c>
      <c r="I34" s="43">
        <v>18.0</v>
      </c>
      <c r="J34" s="14" t="s">
        <v>621</v>
      </c>
      <c r="K34" s="14" t="s">
        <v>622</v>
      </c>
      <c r="L34" s="42" t="s">
        <v>619</v>
      </c>
      <c r="M34" s="43" t="s">
        <v>48</v>
      </c>
      <c r="N34" s="14" t="s">
        <v>623</v>
      </c>
      <c r="O34" s="42" t="s">
        <v>619</v>
      </c>
      <c r="P34" s="14">
        <v>2021.0</v>
      </c>
      <c r="Q34" s="14" t="s">
        <v>418</v>
      </c>
      <c r="R34" s="14" t="s">
        <v>419</v>
      </c>
      <c r="S34" s="44" t="s">
        <v>57</v>
      </c>
      <c r="T34" s="16" t="s">
        <v>250</v>
      </c>
      <c r="U34" s="16" t="s">
        <v>59</v>
      </c>
      <c r="V34" s="45">
        <v>9.0</v>
      </c>
      <c r="Z34" s="46" t="s">
        <v>431</v>
      </c>
      <c r="AA34" s="47" t="s">
        <v>421</v>
      </c>
      <c r="AB34" s="16" t="s">
        <v>432</v>
      </c>
      <c r="AC34" s="47" t="s">
        <v>433</v>
      </c>
      <c r="AD34" s="47" t="s">
        <v>434</v>
      </c>
      <c r="AF34" s="14" t="s">
        <v>174</v>
      </c>
      <c r="AG34" s="47" t="s">
        <v>435</v>
      </c>
      <c r="AH34" s="14" t="s">
        <v>624</v>
      </c>
      <c r="AI34" s="14">
        <v>2021.0</v>
      </c>
      <c r="AJ34" s="14">
        <v>2021.0</v>
      </c>
      <c r="AK34" s="44" t="s">
        <v>70</v>
      </c>
    </row>
    <row r="35" ht="15.75" customHeight="1">
      <c r="A35" s="41">
        <f t="shared" si="1"/>
        <v>33</v>
      </c>
      <c r="B35" s="42" t="s">
        <v>625</v>
      </c>
      <c r="C35" s="42" t="s">
        <v>626</v>
      </c>
      <c r="D35" s="11" t="str">
        <f>IFERROR(__xludf.DUMMYFUNCTION("REGEXEXTRACT(C35,""[A-Z]{2,}"")"),"FMDS")</f>
        <v>FMDS</v>
      </c>
      <c r="E35" s="43" t="s">
        <v>48</v>
      </c>
      <c r="F35" s="43" t="s">
        <v>73</v>
      </c>
      <c r="G35" s="43" t="s">
        <v>50</v>
      </c>
      <c r="H35" s="43">
        <v>0.49</v>
      </c>
      <c r="I35" s="43">
        <v>35.0</v>
      </c>
      <c r="J35" s="14" t="s">
        <v>627</v>
      </c>
      <c r="K35" s="14" t="s">
        <v>628</v>
      </c>
      <c r="L35" s="42" t="s">
        <v>625</v>
      </c>
      <c r="M35" s="43" t="s">
        <v>48</v>
      </c>
      <c r="N35" s="14" t="s">
        <v>629</v>
      </c>
      <c r="O35" s="42" t="s">
        <v>625</v>
      </c>
      <c r="P35" s="14">
        <v>2023.0</v>
      </c>
      <c r="Q35" s="14" t="s">
        <v>418</v>
      </c>
      <c r="R35" s="14" t="s">
        <v>419</v>
      </c>
      <c r="S35" s="44" t="s">
        <v>57</v>
      </c>
      <c r="T35" s="16" t="s">
        <v>250</v>
      </c>
      <c r="U35" s="16" t="s">
        <v>59</v>
      </c>
      <c r="V35" s="45">
        <v>9.0</v>
      </c>
      <c r="Z35" s="46" t="s">
        <v>431</v>
      </c>
      <c r="AA35" s="47" t="s">
        <v>421</v>
      </c>
      <c r="AB35" s="16" t="s">
        <v>422</v>
      </c>
      <c r="AC35" s="47" t="s">
        <v>433</v>
      </c>
      <c r="AD35" s="47" t="s">
        <v>434</v>
      </c>
      <c r="AF35" s="47" t="s">
        <v>598</v>
      </c>
      <c r="AG35" s="16" t="s">
        <v>630</v>
      </c>
      <c r="AH35" s="14" t="s">
        <v>631</v>
      </c>
      <c r="AI35" s="14">
        <v>2023.0</v>
      </c>
      <c r="AJ35" s="14">
        <v>2023.0</v>
      </c>
      <c r="AK35" s="44" t="s">
        <v>70</v>
      </c>
    </row>
    <row r="36" ht="15.75" customHeight="1">
      <c r="A36" s="41">
        <f t="shared" si="1"/>
        <v>34</v>
      </c>
      <c r="B36" s="42" t="s">
        <v>632</v>
      </c>
      <c r="C36" s="42" t="s">
        <v>633</v>
      </c>
      <c r="D36" s="11" t="str">
        <f>IFERROR(__xludf.DUMMYFUNCTION("REGEXEXTRACT(C36,""[A-Z]{2,}"")"),"FMDS")</f>
        <v>FMDS</v>
      </c>
      <c r="E36" s="43" t="s">
        <v>48</v>
      </c>
      <c r="F36" s="43" t="s">
        <v>73</v>
      </c>
      <c r="G36" s="43" t="s">
        <v>50</v>
      </c>
      <c r="H36" s="43">
        <v>18.23</v>
      </c>
      <c r="I36" s="43">
        <v>187.0</v>
      </c>
      <c r="J36" s="14" t="s">
        <v>634</v>
      </c>
      <c r="K36" s="14" t="s">
        <v>635</v>
      </c>
      <c r="L36" s="42" t="s">
        <v>632</v>
      </c>
      <c r="M36" s="43" t="s">
        <v>48</v>
      </c>
      <c r="N36" s="14" t="s">
        <v>636</v>
      </c>
      <c r="O36" s="42" t="s">
        <v>632</v>
      </c>
      <c r="P36" s="14">
        <v>2025.0</v>
      </c>
      <c r="Q36" s="14" t="s">
        <v>418</v>
      </c>
      <c r="R36" s="14" t="s">
        <v>419</v>
      </c>
      <c r="S36" s="44" t="s">
        <v>57</v>
      </c>
      <c r="T36" s="16" t="s">
        <v>250</v>
      </c>
      <c r="U36" s="16" t="s">
        <v>59</v>
      </c>
      <c r="V36" s="45">
        <v>9.0</v>
      </c>
      <c r="Z36" s="46" t="s">
        <v>60</v>
      </c>
      <c r="AA36" s="47" t="s">
        <v>421</v>
      </c>
      <c r="AB36" s="16" t="s">
        <v>422</v>
      </c>
      <c r="AC36" s="47" t="s">
        <v>63</v>
      </c>
      <c r="AD36" s="47" t="s">
        <v>423</v>
      </c>
      <c r="AF36" s="47" t="s">
        <v>65</v>
      </c>
      <c r="AG36" s="16" t="s">
        <v>637</v>
      </c>
      <c r="AH36" s="14" t="s">
        <v>638</v>
      </c>
      <c r="AI36" s="14">
        <v>2025.0</v>
      </c>
      <c r="AJ36" s="14">
        <v>2025.0</v>
      </c>
      <c r="AK36" s="44" t="s">
        <v>70</v>
      </c>
    </row>
    <row r="37" ht="15.75" customHeight="1">
      <c r="A37" s="41">
        <f t="shared" si="1"/>
        <v>35</v>
      </c>
      <c r="B37" s="42" t="s">
        <v>639</v>
      </c>
      <c r="C37" s="42" t="s">
        <v>640</v>
      </c>
      <c r="D37" s="11" t="str">
        <f>IFERROR(__xludf.DUMMYFUNCTION("REGEXEXTRACT(C37,""[A-Z]{2,}"")"),"FMDS")</f>
        <v>FMDS</v>
      </c>
      <c r="E37" s="43" t="s">
        <v>48</v>
      </c>
      <c r="F37" s="43" t="s">
        <v>73</v>
      </c>
      <c r="G37" s="43" t="s">
        <v>50</v>
      </c>
      <c r="H37" s="43">
        <v>0.93</v>
      </c>
      <c r="I37" s="43">
        <v>21.0</v>
      </c>
      <c r="J37" s="14" t="s">
        <v>641</v>
      </c>
      <c r="K37" s="14" t="s">
        <v>642</v>
      </c>
      <c r="L37" s="42" t="s">
        <v>639</v>
      </c>
      <c r="M37" s="43" t="s">
        <v>48</v>
      </c>
      <c r="N37" s="14" t="s">
        <v>643</v>
      </c>
      <c r="O37" s="42" t="s">
        <v>639</v>
      </c>
      <c r="P37" s="14">
        <v>2022.0</v>
      </c>
      <c r="Q37" s="14" t="s">
        <v>418</v>
      </c>
      <c r="R37" s="14" t="s">
        <v>419</v>
      </c>
      <c r="S37" s="44" t="s">
        <v>57</v>
      </c>
      <c r="T37" s="16" t="s">
        <v>250</v>
      </c>
      <c r="U37" s="16" t="s">
        <v>59</v>
      </c>
      <c r="V37" s="45">
        <v>9.0</v>
      </c>
      <c r="Z37" s="46" t="s">
        <v>60</v>
      </c>
      <c r="AA37" s="47" t="s">
        <v>421</v>
      </c>
      <c r="AB37" s="16" t="s">
        <v>432</v>
      </c>
      <c r="AC37" s="47" t="s">
        <v>63</v>
      </c>
      <c r="AD37" s="47" t="s">
        <v>423</v>
      </c>
      <c r="AF37" s="47" t="s">
        <v>65</v>
      </c>
      <c r="AG37" s="16" t="s">
        <v>637</v>
      </c>
      <c r="AH37" s="14" t="s">
        <v>644</v>
      </c>
      <c r="AI37" s="14">
        <v>2022.0</v>
      </c>
      <c r="AJ37" s="14">
        <v>2022.0</v>
      </c>
      <c r="AK37" s="44" t="s">
        <v>70</v>
      </c>
    </row>
    <row r="38" ht="15.75" customHeight="1">
      <c r="A38" s="41">
        <f t="shared" si="1"/>
        <v>36</v>
      </c>
      <c r="B38" s="42" t="s">
        <v>645</v>
      </c>
      <c r="C38" s="42" t="s">
        <v>646</v>
      </c>
      <c r="D38" s="11" t="str">
        <f>IFERROR(__xludf.DUMMYFUNCTION("REGEXEXTRACT(C38,""[A-Z]{2,}"")"),"FMDS")</f>
        <v>FMDS</v>
      </c>
      <c r="E38" s="43" t="s">
        <v>48</v>
      </c>
      <c r="F38" s="43" t="s">
        <v>73</v>
      </c>
      <c r="G38" s="43" t="s">
        <v>50</v>
      </c>
      <c r="H38" s="43">
        <v>1.59</v>
      </c>
      <c r="I38" s="43">
        <v>92.0</v>
      </c>
      <c r="J38" s="14" t="s">
        <v>647</v>
      </c>
      <c r="K38" s="14" t="s">
        <v>648</v>
      </c>
      <c r="L38" s="42" t="s">
        <v>645</v>
      </c>
      <c r="M38" s="43" t="s">
        <v>48</v>
      </c>
      <c r="N38" s="14" t="s">
        <v>649</v>
      </c>
      <c r="O38" s="42" t="s">
        <v>645</v>
      </c>
      <c r="P38" s="14">
        <v>2025.0</v>
      </c>
      <c r="Q38" s="14" t="s">
        <v>418</v>
      </c>
      <c r="R38" s="14" t="s">
        <v>419</v>
      </c>
      <c r="S38" s="44" t="s">
        <v>57</v>
      </c>
      <c r="T38" s="16" t="s">
        <v>250</v>
      </c>
      <c r="U38" s="16" t="s">
        <v>59</v>
      </c>
      <c r="V38" s="45">
        <v>9.0</v>
      </c>
      <c r="Z38" s="46" t="s">
        <v>60</v>
      </c>
      <c r="AA38" s="47" t="s">
        <v>421</v>
      </c>
      <c r="AB38" s="16" t="s">
        <v>422</v>
      </c>
      <c r="AC38" s="47" t="s">
        <v>63</v>
      </c>
      <c r="AD38" s="47" t="s">
        <v>423</v>
      </c>
      <c r="AF38" s="47" t="s">
        <v>65</v>
      </c>
      <c r="AG38" s="16" t="s">
        <v>650</v>
      </c>
      <c r="AH38" s="14" t="s">
        <v>651</v>
      </c>
      <c r="AI38" s="14">
        <v>2025.0</v>
      </c>
      <c r="AJ38" s="14">
        <v>2025.0</v>
      </c>
      <c r="AK38" s="44" t="s">
        <v>70</v>
      </c>
    </row>
    <row r="39" ht="15.75" customHeight="1">
      <c r="A39" s="41">
        <f t="shared" si="1"/>
        <v>37</v>
      </c>
      <c r="B39" s="42" t="s">
        <v>652</v>
      </c>
      <c r="C39" s="42" t="s">
        <v>653</v>
      </c>
      <c r="D39" s="11" t="str">
        <f>IFERROR(__xludf.DUMMYFUNCTION("REGEXEXTRACT(C39,""[A-Z]{2,}"")"),"FMDS")</f>
        <v>FMDS</v>
      </c>
      <c r="E39" s="43" t="s">
        <v>48</v>
      </c>
      <c r="F39" s="43" t="s">
        <v>73</v>
      </c>
      <c r="G39" s="43" t="s">
        <v>50</v>
      </c>
      <c r="H39" s="43">
        <v>2.56</v>
      </c>
      <c r="I39" s="43">
        <v>74.0</v>
      </c>
      <c r="J39" s="14" t="s">
        <v>654</v>
      </c>
      <c r="K39" s="14" t="s">
        <v>655</v>
      </c>
      <c r="L39" s="42" t="s">
        <v>652</v>
      </c>
      <c r="M39" s="43" t="s">
        <v>48</v>
      </c>
      <c r="N39" s="14" t="s">
        <v>656</v>
      </c>
      <c r="O39" s="42" t="s">
        <v>652</v>
      </c>
      <c r="P39" s="14">
        <v>2025.0</v>
      </c>
      <c r="Q39" s="14" t="s">
        <v>418</v>
      </c>
      <c r="R39" s="14" t="s">
        <v>419</v>
      </c>
      <c r="S39" s="44" t="s">
        <v>57</v>
      </c>
      <c r="T39" s="16" t="s">
        <v>250</v>
      </c>
      <c r="U39" s="16" t="s">
        <v>59</v>
      </c>
      <c r="V39" s="45">
        <v>9.0</v>
      </c>
      <c r="Z39" s="46" t="s">
        <v>60</v>
      </c>
      <c r="AA39" s="47" t="s">
        <v>421</v>
      </c>
      <c r="AB39" s="16" t="s">
        <v>422</v>
      </c>
      <c r="AC39" s="47" t="s">
        <v>63</v>
      </c>
      <c r="AD39" s="47" t="s">
        <v>423</v>
      </c>
      <c r="AF39" s="47" t="s">
        <v>65</v>
      </c>
      <c r="AG39" s="16" t="s">
        <v>657</v>
      </c>
      <c r="AH39" s="14" t="s">
        <v>658</v>
      </c>
      <c r="AI39" s="14">
        <v>2025.0</v>
      </c>
      <c r="AJ39" s="14">
        <v>2025.0</v>
      </c>
      <c r="AK39" s="44" t="s">
        <v>70</v>
      </c>
    </row>
    <row r="40" ht="15.75" customHeight="1">
      <c r="A40" s="41">
        <f t="shared" si="1"/>
        <v>38</v>
      </c>
      <c r="B40" s="42" t="s">
        <v>659</v>
      </c>
      <c r="C40" s="42" t="s">
        <v>660</v>
      </c>
      <c r="D40" s="11" t="str">
        <f>IFERROR(__xludf.DUMMYFUNCTION("REGEXEXTRACT(C40,""[A-Z]{2,}"")"),"FMDS")</f>
        <v>FMDS</v>
      </c>
      <c r="E40" s="43" t="s">
        <v>48</v>
      </c>
      <c r="F40" s="43" t="s">
        <v>73</v>
      </c>
      <c r="G40" s="43" t="s">
        <v>50</v>
      </c>
      <c r="H40" s="43">
        <v>2.26</v>
      </c>
      <c r="I40" s="43">
        <v>64.0</v>
      </c>
      <c r="J40" s="14" t="s">
        <v>661</v>
      </c>
      <c r="K40" s="14" t="s">
        <v>662</v>
      </c>
      <c r="L40" s="42" t="s">
        <v>659</v>
      </c>
      <c r="M40" s="43" t="s">
        <v>48</v>
      </c>
      <c r="N40" s="14" t="s">
        <v>663</v>
      </c>
      <c r="O40" s="42" t="s">
        <v>659</v>
      </c>
      <c r="P40" s="14">
        <v>2001.0</v>
      </c>
      <c r="Q40" s="14" t="s">
        <v>418</v>
      </c>
      <c r="R40" s="14" t="s">
        <v>419</v>
      </c>
      <c r="S40" s="44" t="s">
        <v>57</v>
      </c>
      <c r="T40" s="16" t="s">
        <v>250</v>
      </c>
      <c r="U40" s="16" t="s">
        <v>59</v>
      </c>
      <c r="V40" s="45">
        <v>9.0</v>
      </c>
      <c r="Z40" s="46" t="s">
        <v>60</v>
      </c>
      <c r="AA40" s="47" t="s">
        <v>421</v>
      </c>
      <c r="AB40" s="16" t="s">
        <v>432</v>
      </c>
      <c r="AC40" s="47" t="s">
        <v>63</v>
      </c>
      <c r="AD40" s="47" t="s">
        <v>423</v>
      </c>
      <c r="AF40" s="47" t="s">
        <v>65</v>
      </c>
      <c r="AG40" s="47" t="s">
        <v>664</v>
      </c>
      <c r="AH40" s="14" t="s">
        <v>665</v>
      </c>
      <c r="AI40" s="14">
        <v>2001.0</v>
      </c>
      <c r="AJ40" s="14">
        <v>2001.0</v>
      </c>
      <c r="AK40" s="44" t="s">
        <v>70</v>
      </c>
    </row>
    <row r="41" ht="15.75" customHeight="1">
      <c r="A41" s="41">
        <f t="shared" si="1"/>
        <v>39</v>
      </c>
      <c r="B41" s="42" t="s">
        <v>666</v>
      </c>
      <c r="C41" s="42" t="s">
        <v>667</v>
      </c>
      <c r="D41" s="11" t="str">
        <f>IFERROR(__xludf.DUMMYFUNCTION("REGEXEXTRACT(C41,""[A-Z]{2,}"")"),"FMDS")</f>
        <v>FMDS</v>
      </c>
      <c r="E41" s="43" t="s">
        <v>48</v>
      </c>
      <c r="F41" s="43" t="s">
        <v>73</v>
      </c>
      <c r="G41" s="43" t="s">
        <v>50</v>
      </c>
      <c r="H41" s="43">
        <v>4.09</v>
      </c>
      <c r="I41" s="43">
        <v>65.0</v>
      </c>
      <c r="J41" s="14" t="s">
        <v>668</v>
      </c>
      <c r="K41" s="14" t="s">
        <v>669</v>
      </c>
      <c r="L41" s="42" t="s">
        <v>666</v>
      </c>
      <c r="M41" s="43" t="s">
        <v>48</v>
      </c>
      <c r="N41" s="14" t="s">
        <v>670</v>
      </c>
      <c r="O41" s="42" t="s">
        <v>666</v>
      </c>
      <c r="P41" s="14">
        <v>2010.0</v>
      </c>
      <c r="Q41" s="14" t="s">
        <v>418</v>
      </c>
      <c r="R41" s="14" t="s">
        <v>419</v>
      </c>
      <c r="S41" s="44" t="s">
        <v>57</v>
      </c>
      <c r="T41" s="16" t="s">
        <v>250</v>
      </c>
      <c r="U41" s="16" t="s">
        <v>59</v>
      </c>
      <c r="V41" s="45">
        <v>9.0</v>
      </c>
      <c r="Z41" s="46" t="s">
        <v>60</v>
      </c>
      <c r="AA41" s="47" t="s">
        <v>421</v>
      </c>
      <c r="AB41" s="16" t="s">
        <v>432</v>
      </c>
      <c r="AC41" s="47" t="s">
        <v>63</v>
      </c>
      <c r="AD41" s="47" t="s">
        <v>423</v>
      </c>
      <c r="AF41" s="47" t="s">
        <v>65</v>
      </c>
      <c r="AG41" s="47" t="s">
        <v>664</v>
      </c>
      <c r="AH41" s="14" t="s">
        <v>671</v>
      </c>
      <c r="AI41" s="14">
        <v>2010.0</v>
      </c>
      <c r="AJ41" s="14">
        <v>2010.0</v>
      </c>
      <c r="AK41" s="44" t="s">
        <v>70</v>
      </c>
    </row>
    <row r="42" ht="15.75" customHeight="1">
      <c r="A42" s="41">
        <f t="shared" si="1"/>
        <v>40</v>
      </c>
      <c r="B42" s="42" t="s">
        <v>672</v>
      </c>
      <c r="C42" s="42" t="s">
        <v>673</v>
      </c>
      <c r="D42" s="11" t="str">
        <f>IFERROR(__xludf.DUMMYFUNCTION("REGEXEXTRACT(C42,""[A-Z]{2,}"")"),"FMDS")</f>
        <v>FMDS</v>
      </c>
      <c r="E42" s="43" t="s">
        <v>48</v>
      </c>
      <c r="F42" s="43" t="s">
        <v>73</v>
      </c>
      <c r="G42" s="43" t="s">
        <v>50</v>
      </c>
      <c r="H42" s="43">
        <v>1.39</v>
      </c>
      <c r="I42" s="43">
        <v>4.0</v>
      </c>
      <c r="J42" s="14" t="s">
        <v>674</v>
      </c>
      <c r="K42" s="14" t="s">
        <v>675</v>
      </c>
      <c r="L42" s="42" t="s">
        <v>672</v>
      </c>
      <c r="M42" s="43" t="s">
        <v>48</v>
      </c>
      <c r="N42" s="14" t="s">
        <v>676</v>
      </c>
      <c r="O42" s="42" t="s">
        <v>672</v>
      </c>
      <c r="P42" s="14">
        <v>2025.0</v>
      </c>
      <c r="Q42" s="14" t="s">
        <v>418</v>
      </c>
      <c r="R42" s="14" t="s">
        <v>419</v>
      </c>
      <c r="S42" s="44" t="s">
        <v>57</v>
      </c>
      <c r="T42" s="16" t="s">
        <v>250</v>
      </c>
      <c r="U42" s="16" t="s">
        <v>59</v>
      </c>
      <c r="V42" s="45">
        <v>9.0</v>
      </c>
      <c r="Z42" s="46" t="s">
        <v>60</v>
      </c>
      <c r="AA42" s="47" t="s">
        <v>421</v>
      </c>
      <c r="AB42" s="16" t="s">
        <v>432</v>
      </c>
      <c r="AC42" s="47" t="s">
        <v>63</v>
      </c>
      <c r="AD42" s="47" t="s">
        <v>423</v>
      </c>
      <c r="AF42" s="47" t="s">
        <v>65</v>
      </c>
      <c r="AG42" s="47" t="s">
        <v>664</v>
      </c>
      <c r="AH42" s="14" t="s">
        <v>677</v>
      </c>
      <c r="AI42" s="14">
        <v>2025.0</v>
      </c>
      <c r="AJ42" s="14">
        <v>2025.0</v>
      </c>
      <c r="AK42" s="44" t="s">
        <v>70</v>
      </c>
    </row>
    <row r="43" ht="15.75" customHeight="1">
      <c r="A43" s="41">
        <f t="shared" si="1"/>
        <v>41</v>
      </c>
      <c r="B43" s="42" t="s">
        <v>678</v>
      </c>
      <c r="C43" s="42" t="s">
        <v>679</v>
      </c>
      <c r="D43" s="11" t="str">
        <f>IFERROR(__xludf.DUMMYFUNCTION("REGEXEXTRACT(C43,""[A-Z]{2,}"")"),"FMDS")</f>
        <v>FMDS</v>
      </c>
      <c r="E43" s="43" t="s">
        <v>48</v>
      </c>
      <c r="F43" s="43" t="s">
        <v>73</v>
      </c>
      <c r="G43" s="43" t="s">
        <v>50</v>
      </c>
      <c r="H43" s="43">
        <v>2.63</v>
      </c>
      <c r="I43" s="43">
        <v>106.0</v>
      </c>
      <c r="J43" s="14" t="s">
        <v>680</v>
      </c>
      <c r="K43" s="14" t="s">
        <v>681</v>
      </c>
      <c r="L43" s="42" t="s">
        <v>678</v>
      </c>
      <c r="M43" s="43" t="s">
        <v>48</v>
      </c>
      <c r="N43" s="14" t="s">
        <v>682</v>
      </c>
      <c r="O43" s="42" t="s">
        <v>678</v>
      </c>
      <c r="P43" s="14">
        <v>2022.0</v>
      </c>
      <c r="Q43" s="14" t="s">
        <v>418</v>
      </c>
      <c r="R43" s="14" t="s">
        <v>419</v>
      </c>
      <c r="S43" s="44" t="s">
        <v>57</v>
      </c>
      <c r="T43" s="16" t="s">
        <v>250</v>
      </c>
      <c r="U43" s="16" t="s">
        <v>59</v>
      </c>
      <c r="V43" s="45">
        <v>9.0</v>
      </c>
      <c r="Z43" s="46" t="s">
        <v>60</v>
      </c>
      <c r="AA43" s="47" t="s">
        <v>421</v>
      </c>
      <c r="AB43" s="16" t="s">
        <v>432</v>
      </c>
      <c r="AC43" s="47" t="s">
        <v>63</v>
      </c>
      <c r="AD43" s="47" t="s">
        <v>423</v>
      </c>
      <c r="AF43" s="47" t="s">
        <v>65</v>
      </c>
      <c r="AG43" s="47" t="s">
        <v>664</v>
      </c>
      <c r="AH43" s="14" t="s">
        <v>683</v>
      </c>
      <c r="AI43" s="14">
        <v>2022.0</v>
      </c>
      <c r="AJ43" s="14">
        <v>2022.0</v>
      </c>
      <c r="AK43" s="44" t="s">
        <v>70</v>
      </c>
    </row>
    <row r="44" ht="15.75" customHeight="1">
      <c r="A44" s="41">
        <f t="shared" si="1"/>
        <v>42</v>
      </c>
      <c r="B44" s="42" t="s">
        <v>684</v>
      </c>
      <c r="C44" s="42" t="s">
        <v>685</v>
      </c>
      <c r="D44" s="11" t="str">
        <f>IFERROR(__xludf.DUMMYFUNCTION("REGEXEXTRACT(C44,""[A-Z]{2,}"")"),"FMDS")</f>
        <v>FMDS</v>
      </c>
      <c r="E44" s="43" t="s">
        <v>48</v>
      </c>
      <c r="F44" s="43" t="s">
        <v>73</v>
      </c>
      <c r="G44" s="43" t="s">
        <v>50</v>
      </c>
      <c r="H44" s="43">
        <v>0.22</v>
      </c>
      <c r="I44" s="43">
        <v>6.0</v>
      </c>
      <c r="J44" s="14" t="s">
        <v>686</v>
      </c>
      <c r="K44" s="14" t="s">
        <v>687</v>
      </c>
      <c r="L44" s="42" t="s">
        <v>684</v>
      </c>
      <c r="M44" s="43" t="s">
        <v>48</v>
      </c>
      <c r="N44" s="14" t="s">
        <v>688</v>
      </c>
      <c r="O44" s="42" t="s">
        <v>684</v>
      </c>
      <c r="P44" s="14">
        <v>2022.0</v>
      </c>
      <c r="Q44" s="14" t="s">
        <v>418</v>
      </c>
      <c r="R44" s="14" t="s">
        <v>419</v>
      </c>
      <c r="S44" s="44" t="s">
        <v>57</v>
      </c>
      <c r="T44" s="16" t="s">
        <v>250</v>
      </c>
      <c r="U44" s="16" t="s">
        <v>59</v>
      </c>
      <c r="V44" s="45">
        <v>9.0</v>
      </c>
      <c r="Z44" s="46" t="s">
        <v>60</v>
      </c>
      <c r="AA44" s="47" t="s">
        <v>421</v>
      </c>
      <c r="AB44" s="16" t="s">
        <v>432</v>
      </c>
      <c r="AC44" s="47" t="s">
        <v>63</v>
      </c>
      <c r="AD44" s="47" t="s">
        <v>423</v>
      </c>
      <c r="AF44" s="47" t="s">
        <v>65</v>
      </c>
      <c r="AG44" s="47" t="s">
        <v>664</v>
      </c>
      <c r="AH44" s="14" t="s">
        <v>689</v>
      </c>
      <c r="AI44" s="14">
        <v>2022.0</v>
      </c>
      <c r="AJ44" s="14">
        <v>2022.0</v>
      </c>
      <c r="AK44" s="44" t="s">
        <v>70</v>
      </c>
    </row>
    <row r="45" ht="15.75" customHeight="1">
      <c r="A45" s="41">
        <f t="shared" si="1"/>
        <v>43</v>
      </c>
      <c r="B45" s="42" t="s">
        <v>690</v>
      </c>
      <c r="C45" s="42" t="s">
        <v>691</v>
      </c>
      <c r="D45" s="11" t="str">
        <f>IFERROR(__xludf.DUMMYFUNCTION("REGEXEXTRACT(C45,""[A-Z]{2,}"")"),"FMDS")</f>
        <v>FMDS</v>
      </c>
      <c r="E45" s="43" t="s">
        <v>48</v>
      </c>
      <c r="F45" s="43" t="s">
        <v>73</v>
      </c>
      <c r="G45" s="43" t="s">
        <v>50</v>
      </c>
      <c r="H45" s="43">
        <v>0.05</v>
      </c>
      <c r="I45" s="43">
        <v>4.0</v>
      </c>
      <c r="J45" s="14" t="s">
        <v>692</v>
      </c>
      <c r="K45" s="14" t="s">
        <v>693</v>
      </c>
      <c r="L45" s="42" t="s">
        <v>690</v>
      </c>
      <c r="M45" s="43" t="s">
        <v>48</v>
      </c>
      <c r="N45" s="14" t="s">
        <v>694</v>
      </c>
      <c r="O45" s="42" t="s">
        <v>690</v>
      </c>
      <c r="P45" s="14">
        <v>2022.0</v>
      </c>
      <c r="Q45" s="14" t="s">
        <v>418</v>
      </c>
      <c r="R45" s="14" t="s">
        <v>419</v>
      </c>
      <c r="S45" s="44" t="s">
        <v>57</v>
      </c>
      <c r="T45" s="16" t="s">
        <v>250</v>
      </c>
      <c r="U45" s="16" t="s">
        <v>59</v>
      </c>
      <c r="V45" s="45">
        <v>9.0</v>
      </c>
      <c r="Z45" s="46" t="s">
        <v>60</v>
      </c>
      <c r="AA45" s="47" t="s">
        <v>421</v>
      </c>
      <c r="AB45" s="16" t="s">
        <v>432</v>
      </c>
      <c r="AC45" s="47" t="s">
        <v>63</v>
      </c>
      <c r="AD45" s="47" t="s">
        <v>423</v>
      </c>
      <c r="AF45" s="47" t="s">
        <v>65</v>
      </c>
      <c r="AG45" s="47" t="s">
        <v>664</v>
      </c>
      <c r="AH45" s="14" t="s">
        <v>695</v>
      </c>
      <c r="AI45" s="14">
        <v>2022.0</v>
      </c>
      <c r="AJ45" s="14">
        <v>2022.0</v>
      </c>
      <c r="AK45" s="44" t="s">
        <v>70</v>
      </c>
    </row>
    <row r="46" ht="15.75" customHeight="1">
      <c r="A46" s="41">
        <f t="shared" si="1"/>
        <v>44</v>
      </c>
      <c r="B46" s="42" t="s">
        <v>696</v>
      </c>
      <c r="C46" s="42" t="s">
        <v>697</v>
      </c>
      <c r="D46" s="11" t="str">
        <f>IFERROR(__xludf.DUMMYFUNCTION("REGEXEXTRACT(C46,""[A-Z]{2,}"")"),"FMDS")</f>
        <v>FMDS</v>
      </c>
      <c r="E46" s="43" t="s">
        <v>48</v>
      </c>
      <c r="F46" s="43" t="s">
        <v>73</v>
      </c>
      <c r="G46" s="43" t="s">
        <v>50</v>
      </c>
      <c r="H46" s="43">
        <v>1.16</v>
      </c>
      <c r="I46" s="43">
        <v>48.0</v>
      </c>
      <c r="J46" s="14" t="s">
        <v>698</v>
      </c>
      <c r="K46" s="14" t="s">
        <v>699</v>
      </c>
      <c r="L46" s="42" t="s">
        <v>696</v>
      </c>
      <c r="M46" s="43" t="s">
        <v>48</v>
      </c>
      <c r="N46" s="14" t="s">
        <v>700</v>
      </c>
      <c r="O46" s="42" t="s">
        <v>696</v>
      </c>
      <c r="P46" s="14">
        <v>2025.0</v>
      </c>
      <c r="Q46" s="14" t="s">
        <v>418</v>
      </c>
      <c r="R46" s="14" t="s">
        <v>419</v>
      </c>
      <c r="S46" s="44" t="s">
        <v>57</v>
      </c>
      <c r="T46" s="16" t="s">
        <v>250</v>
      </c>
      <c r="U46" s="16" t="s">
        <v>59</v>
      </c>
      <c r="V46" s="45">
        <v>9.0</v>
      </c>
      <c r="Z46" s="46" t="s">
        <v>60</v>
      </c>
      <c r="AA46" s="47" t="s">
        <v>421</v>
      </c>
      <c r="AB46" s="16" t="s">
        <v>432</v>
      </c>
      <c r="AC46" s="47" t="s">
        <v>63</v>
      </c>
      <c r="AD46" s="47" t="s">
        <v>423</v>
      </c>
      <c r="AF46" s="47" t="s">
        <v>65</v>
      </c>
      <c r="AG46" s="47" t="s">
        <v>664</v>
      </c>
      <c r="AH46" s="14" t="s">
        <v>701</v>
      </c>
      <c r="AI46" s="14">
        <v>2025.0</v>
      </c>
      <c r="AJ46" s="14">
        <v>2025.0</v>
      </c>
      <c r="AK46" s="44" t="s">
        <v>70</v>
      </c>
    </row>
    <row r="47" ht="15.75" customHeight="1">
      <c r="A47" s="41">
        <f t="shared" si="1"/>
        <v>45</v>
      </c>
      <c r="B47" s="42" t="s">
        <v>702</v>
      </c>
      <c r="C47" s="42" t="s">
        <v>703</v>
      </c>
      <c r="D47" s="11" t="str">
        <f>IFERROR(__xludf.DUMMYFUNCTION("REGEXEXTRACT(C47,""[A-Z]{2,}"")"),"FMDS")</f>
        <v>FMDS</v>
      </c>
      <c r="E47" s="43" t="s">
        <v>48</v>
      </c>
      <c r="F47" s="43" t="s">
        <v>73</v>
      </c>
      <c r="G47" s="43" t="s">
        <v>50</v>
      </c>
      <c r="H47" s="43">
        <v>1.58</v>
      </c>
      <c r="I47" s="43">
        <v>36.0</v>
      </c>
      <c r="J47" s="14" t="s">
        <v>704</v>
      </c>
      <c r="K47" s="14" t="s">
        <v>705</v>
      </c>
      <c r="L47" s="42" t="s">
        <v>702</v>
      </c>
      <c r="M47" s="43" t="s">
        <v>48</v>
      </c>
      <c r="N47" s="14" t="s">
        <v>706</v>
      </c>
      <c r="O47" s="42" t="s">
        <v>702</v>
      </c>
      <c r="P47" s="14">
        <v>2025.0</v>
      </c>
      <c r="Q47" s="14" t="s">
        <v>418</v>
      </c>
      <c r="R47" s="14" t="s">
        <v>419</v>
      </c>
      <c r="S47" s="44" t="s">
        <v>57</v>
      </c>
      <c r="T47" s="16" t="s">
        <v>250</v>
      </c>
      <c r="U47" s="16" t="s">
        <v>59</v>
      </c>
      <c r="V47" s="45">
        <v>9.0</v>
      </c>
      <c r="Z47" s="46" t="s">
        <v>60</v>
      </c>
      <c r="AA47" s="47" t="s">
        <v>421</v>
      </c>
      <c r="AB47" s="16" t="s">
        <v>432</v>
      </c>
      <c r="AC47" s="47" t="s">
        <v>63</v>
      </c>
      <c r="AD47" s="47" t="s">
        <v>423</v>
      </c>
      <c r="AF47" s="47" t="s">
        <v>65</v>
      </c>
      <c r="AG47" s="47" t="s">
        <v>664</v>
      </c>
      <c r="AH47" s="14" t="s">
        <v>707</v>
      </c>
      <c r="AI47" s="14">
        <v>2025.0</v>
      </c>
      <c r="AJ47" s="14">
        <v>2025.0</v>
      </c>
      <c r="AK47" s="44" t="s">
        <v>70</v>
      </c>
    </row>
    <row r="48" ht="15.75" customHeight="1">
      <c r="A48" s="41">
        <f t="shared" si="1"/>
        <v>46</v>
      </c>
      <c r="B48" s="42" t="s">
        <v>708</v>
      </c>
      <c r="C48" s="42" t="s">
        <v>709</v>
      </c>
      <c r="D48" s="11" t="str">
        <f>IFERROR(__xludf.DUMMYFUNCTION("REGEXEXTRACT(C48,""[A-Z]{2,}"")"),"FMDS")</f>
        <v>FMDS</v>
      </c>
      <c r="E48" s="43" t="s">
        <v>48</v>
      </c>
      <c r="F48" s="43" t="s">
        <v>73</v>
      </c>
      <c r="G48" s="43" t="s">
        <v>50</v>
      </c>
      <c r="H48" s="43">
        <v>0.5</v>
      </c>
      <c r="I48" s="43">
        <v>15.0</v>
      </c>
      <c r="J48" s="14" t="s">
        <v>710</v>
      </c>
      <c r="K48" s="14" t="s">
        <v>711</v>
      </c>
      <c r="L48" s="42" t="s">
        <v>708</v>
      </c>
      <c r="M48" s="43" t="s">
        <v>48</v>
      </c>
      <c r="N48" s="14" t="s">
        <v>712</v>
      </c>
      <c r="O48" s="42" t="s">
        <v>708</v>
      </c>
      <c r="P48" s="14">
        <v>2023.0</v>
      </c>
      <c r="Q48" s="14" t="s">
        <v>418</v>
      </c>
      <c r="R48" s="14" t="s">
        <v>419</v>
      </c>
      <c r="S48" s="44" t="s">
        <v>57</v>
      </c>
      <c r="T48" s="16" t="s">
        <v>250</v>
      </c>
      <c r="U48" s="16" t="s">
        <v>59</v>
      </c>
      <c r="V48" s="45">
        <v>9.0</v>
      </c>
      <c r="Z48" s="46" t="s">
        <v>60</v>
      </c>
      <c r="AA48" s="47" t="s">
        <v>421</v>
      </c>
      <c r="AB48" s="16" t="s">
        <v>432</v>
      </c>
      <c r="AC48" s="47" t="s">
        <v>63</v>
      </c>
      <c r="AD48" s="47" t="s">
        <v>423</v>
      </c>
      <c r="AF48" s="47" t="s">
        <v>65</v>
      </c>
      <c r="AG48" s="16" t="s">
        <v>664</v>
      </c>
      <c r="AH48" s="14" t="s">
        <v>713</v>
      </c>
      <c r="AI48" s="14">
        <v>2023.0</v>
      </c>
      <c r="AJ48" s="14">
        <v>2023.0</v>
      </c>
      <c r="AK48" s="44" t="s">
        <v>70</v>
      </c>
    </row>
    <row r="49" ht="15.75" customHeight="1">
      <c r="A49" s="41">
        <f t="shared" si="1"/>
        <v>47</v>
      </c>
      <c r="B49" s="42" t="s">
        <v>714</v>
      </c>
      <c r="C49" s="42" t="s">
        <v>715</v>
      </c>
      <c r="D49" s="11" t="str">
        <f>IFERROR(__xludf.DUMMYFUNCTION("REGEXEXTRACT(C49,""[A-Z]{2,}"")"),"FMDS")</f>
        <v>FMDS</v>
      </c>
      <c r="E49" s="43" t="s">
        <v>48</v>
      </c>
      <c r="F49" s="43" t="s">
        <v>73</v>
      </c>
      <c r="G49" s="43" t="s">
        <v>50</v>
      </c>
      <c r="H49" s="43">
        <v>0.57</v>
      </c>
      <c r="I49" s="43">
        <v>26.0</v>
      </c>
      <c r="J49" s="14" t="s">
        <v>716</v>
      </c>
      <c r="K49" s="14" t="s">
        <v>717</v>
      </c>
      <c r="L49" s="42" t="s">
        <v>714</v>
      </c>
      <c r="M49" s="43" t="s">
        <v>48</v>
      </c>
      <c r="N49" s="14" t="s">
        <v>718</v>
      </c>
      <c r="O49" s="42" t="s">
        <v>714</v>
      </c>
      <c r="P49" s="14">
        <v>2025.0</v>
      </c>
      <c r="Q49" s="14" t="s">
        <v>418</v>
      </c>
      <c r="R49" s="14" t="s">
        <v>419</v>
      </c>
      <c r="S49" s="44" t="s">
        <v>57</v>
      </c>
      <c r="T49" s="16" t="s">
        <v>250</v>
      </c>
      <c r="U49" s="16" t="s">
        <v>59</v>
      </c>
      <c r="V49" s="45">
        <v>9.0</v>
      </c>
      <c r="Z49" s="46" t="s">
        <v>60</v>
      </c>
      <c r="AA49" s="47" t="s">
        <v>421</v>
      </c>
      <c r="AB49" s="16" t="s">
        <v>432</v>
      </c>
      <c r="AC49" s="47" t="s">
        <v>63</v>
      </c>
      <c r="AD49" s="47" t="s">
        <v>423</v>
      </c>
      <c r="AF49" s="47" t="s">
        <v>65</v>
      </c>
      <c r="AG49" s="16" t="s">
        <v>719</v>
      </c>
      <c r="AH49" s="14" t="s">
        <v>720</v>
      </c>
      <c r="AI49" s="14">
        <v>2025.0</v>
      </c>
      <c r="AJ49" s="14">
        <v>2025.0</v>
      </c>
      <c r="AK49" s="44" t="s">
        <v>70</v>
      </c>
    </row>
    <row r="50" ht="15.75" customHeight="1">
      <c r="A50" s="41">
        <f t="shared" si="1"/>
        <v>48</v>
      </c>
      <c r="B50" s="42" t="s">
        <v>721</v>
      </c>
      <c r="C50" s="42" t="s">
        <v>722</v>
      </c>
      <c r="D50" s="11" t="str">
        <f>IFERROR(__xludf.DUMMYFUNCTION("REGEXEXTRACT(C50,""[A-Z]{2,}"")"),"FMDS")</f>
        <v>FMDS</v>
      </c>
      <c r="E50" s="43" t="s">
        <v>48</v>
      </c>
      <c r="F50" s="43" t="s">
        <v>73</v>
      </c>
      <c r="G50" s="43" t="s">
        <v>50</v>
      </c>
      <c r="H50" s="43">
        <v>0.05</v>
      </c>
      <c r="I50" s="43">
        <v>5.0</v>
      </c>
      <c r="J50" s="14" t="s">
        <v>723</v>
      </c>
      <c r="K50" s="14" t="s">
        <v>724</v>
      </c>
      <c r="L50" s="42" t="s">
        <v>721</v>
      </c>
      <c r="M50" s="43" t="s">
        <v>48</v>
      </c>
      <c r="N50" s="14" t="s">
        <v>725</v>
      </c>
      <c r="O50" s="42" t="s">
        <v>721</v>
      </c>
      <c r="P50" s="14">
        <v>2021.0</v>
      </c>
      <c r="Q50" s="14" t="s">
        <v>418</v>
      </c>
      <c r="R50" s="14" t="s">
        <v>419</v>
      </c>
      <c r="S50" s="44" t="s">
        <v>57</v>
      </c>
      <c r="T50" s="16" t="s">
        <v>250</v>
      </c>
      <c r="U50" s="16" t="s">
        <v>59</v>
      </c>
      <c r="V50" s="45">
        <v>9.0</v>
      </c>
      <c r="Z50" s="46" t="s">
        <v>60</v>
      </c>
      <c r="AA50" s="47" t="s">
        <v>421</v>
      </c>
      <c r="AB50" s="16" t="s">
        <v>432</v>
      </c>
      <c r="AC50" s="47" t="s">
        <v>63</v>
      </c>
      <c r="AD50" s="47" t="s">
        <v>423</v>
      </c>
      <c r="AF50" s="47" t="s">
        <v>65</v>
      </c>
      <c r="AG50" s="16" t="s">
        <v>664</v>
      </c>
      <c r="AH50" s="14" t="s">
        <v>726</v>
      </c>
      <c r="AI50" s="14">
        <v>2021.0</v>
      </c>
      <c r="AJ50" s="14">
        <v>2021.0</v>
      </c>
      <c r="AK50" s="44" t="s">
        <v>70</v>
      </c>
    </row>
    <row r="51" ht="15.75" customHeight="1">
      <c r="A51" s="41">
        <f t="shared" si="1"/>
        <v>49</v>
      </c>
      <c r="B51" s="42" t="s">
        <v>727</v>
      </c>
      <c r="C51" s="42" t="s">
        <v>728</v>
      </c>
      <c r="D51" s="11" t="str">
        <f>IFERROR(__xludf.DUMMYFUNCTION("REGEXEXTRACT(C51,""[A-Z]{2,}"")"),"FMDS")</f>
        <v>FMDS</v>
      </c>
      <c r="E51" s="43" t="s">
        <v>48</v>
      </c>
      <c r="F51" s="43" t="s">
        <v>73</v>
      </c>
      <c r="G51" s="43" t="s">
        <v>50</v>
      </c>
      <c r="H51" s="43">
        <v>0.06</v>
      </c>
      <c r="I51" s="43">
        <v>9.0</v>
      </c>
      <c r="J51" s="14" t="s">
        <v>729</v>
      </c>
      <c r="K51" s="14" t="s">
        <v>730</v>
      </c>
      <c r="L51" s="42" t="s">
        <v>727</v>
      </c>
      <c r="M51" s="43" t="s">
        <v>48</v>
      </c>
      <c r="N51" s="14" t="s">
        <v>731</v>
      </c>
      <c r="O51" s="42" t="s">
        <v>727</v>
      </c>
      <c r="P51" s="14">
        <v>2020.0</v>
      </c>
      <c r="Q51" s="14" t="s">
        <v>418</v>
      </c>
      <c r="R51" s="14" t="s">
        <v>419</v>
      </c>
      <c r="S51" s="44" t="s">
        <v>57</v>
      </c>
      <c r="T51" s="16" t="s">
        <v>250</v>
      </c>
      <c r="U51" s="16" t="s">
        <v>59</v>
      </c>
      <c r="V51" s="45">
        <v>9.0</v>
      </c>
      <c r="Z51" s="46" t="s">
        <v>60</v>
      </c>
      <c r="AA51" s="47" t="s">
        <v>421</v>
      </c>
      <c r="AB51" s="16" t="s">
        <v>432</v>
      </c>
      <c r="AC51" s="47" t="s">
        <v>63</v>
      </c>
      <c r="AD51" s="47" t="s">
        <v>423</v>
      </c>
      <c r="AF51" s="47" t="s">
        <v>65</v>
      </c>
      <c r="AG51" s="16" t="s">
        <v>732</v>
      </c>
      <c r="AH51" s="14" t="s">
        <v>733</v>
      </c>
      <c r="AI51" s="14">
        <v>2020.0</v>
      </c>
      <c r="AJ51" s="14">
        <v>2020.0</v>
      </c>
      <c r="AK51" s="44" t="s">
        <v>70</v>
      </c>
    </row>
    <row r="52" ht="15.75" customHeight="1">
      <c r="A52" s="41">
        <f t="shared" si="1"/>
        <v>50</v>
      </c>
      <c r="B52" s="42" t="s">
        <v>734</v>
      </c>
      <c r="C52" s="42" t="s">
        <v>735</v>
      </c>
      <c r="D52" s="11" t="str">
        <f>IFERROR(__xludf.DUMMYFUNCTION("REGEXEXTRACT(C52,""[A-Z]{2,}"")"),"FMDS")</f>
        <v>FMDS</v>
      </c>
      <c r="E52" s="43" t="s">
        <v>48</v>
      </c>
      <c r="F52" s="43" t="s">
        <v>73</v>
      </c>
      <c r="G52" s="43" t="s">
        <v>50</v>
      </c>
      <c r="H52" s="43">
        <v>0.15</v>
      </c>
      <c r="I52" s="43">
        <v>12.0</v>
      </c>
      <c r="J52" s="14" t="s">
        <v>736</v>
      </c>
      <c r="K52" s="14" t="s">
        <v>737</v>
      </c>
      <c r="L52" s="42" t="s">
        <v>734</v>
      </c>
      <c r="M52" s="43" t="s">
        <v>48</v>
      </c>
      <c r="N52" s="14" t="s">
        <v>738</v>
      </c>
      <c r="O52" s="42" t="s">
        <v>734</v>
      </c>
      <c r="P52" s="14">
        <v>2010.0</v>
      </c>
      <c r="Q52" s="14" t="s">
        <v>418</v>
      </c>
      <c r="R52" s="14" t="s">
        <v>419</v>
      </c>
      <c r="S52" s="44" t="s">
        <v>57</v>
      </c>
      <c r="T52" s="16" t="s">
        <v>250</v>
      </c>
      <c r="U52" s="16" t="s">
        <v>59</v>
      </c>
      <c r="V52" s="45">
        <v>9.0</v>
      </c>
      <c r="Z52" s="46" t="s">
        <v>60</v>
      </c>
      <c r="AA52" s="47" t="s">
        <v>421</v>
      </c>
      <c r="AB52" s="16" t="s">
        <v>432</v>
      </c>
      <c r="AC52" s="47" t="s">
        <v>63</v>
      </c>
      <c r="AD52" s="47" t="s">
        <v>423</v>
      </c>
      <c r="AF52" s="47" t="s">
        <v>65</v>
      </c>
      <c r="AG52" s="16" t="s">
        <v>732</v>
      </c>
      <c r="AH52" s="14" t="s">
        <v>739</v>
      </c>
      <c r="AI52" s="14">
        <v>2010.0</v>
      </c>
      <c r="AJ52" s="14">
        <v>2010.0</v>
      </c>
      <c r="AK52" s="44" t="s">
        <v>70</v>
      </c>
    </row>
    <row r="53" ht="15.75" customHeight="1">
      <c r="A53" s="41">
        <f t="shared" si="1"/>
        <v>51</v>
      </c>
      <c r="B53" s="42" t="s">
        <v>740</v>
      </c>
      <c r="C53" s="42" t="s">
        <v>741</v>
      </c>
      <c r="D53" s="11" t="str">
        <f>IFERROR(__xludf.DUMMYFUNCTION("REGEXEXTRACT(C53,""[A-Z]{2,}"")"),"FMDS")</f>
        <v>FMDS</v>
      </c>
      <c r="E53" s="43" t="s">
        <v>48</v>
      </c>
      <c r="F53" s="43" t="s">
        <v>73</v>
      </c>
      <c r="G53" s="43" t="s">
        <v>50</v>
      </c>
      <c r="H53" s="43">
        <v>0.35</v>
      </c>
      <c r="I53" s="43">
        <v>42.0</v>
      </c>
      <c r="J53" s="14" t="s">
        <v>742</v>
      </c>
      <c r="K53" s="14" t="s">
        <v>743</v>
      </c>
      <c r="L53" s="42" t="s">
        <v>740</v>
      </c>
      <c r="M53" s="43" t="s">
        <v>48</v>
      </c>
      <c r="N53" s="14" t="s">
        <v>744</v>
      </c>
      <c r="O53" s="42" t="s">
        <v>740</v>
      </c>
      <c r="P53" s="14">
        <v>2022.0</v>
      </c>
      <c r="Q53" s="14" t="s">
        <v>418</v>
      </c>
      <c r="R53" s="14" t="s">
        <v>419</v>
      </c>
      <c r="S53" s="44" t="s">
        <v>57</v>
      </c>
      <c r="T53" s="16" t="s">
        <v>250</v>
      </c>
      <c r="U53" s="16" t="s">
        <v>59</v>
      </c>
      <c r="V53" s="45">
        <v>9.0</v>
      </c>
      <c r="Z53" s="46" t="s">
        <v>60</v>
      </c>
      <c r="AA53" s="47" t="s">
        <v>421</v>
      </c>
      <c r="AB53" s="16" t="s">
        <v>432</v>
      </c>
      <c r="AC53" s="47" t="s">
        <v>63</v>
      </c>
      <c r="AD53" s="47" t="s">
        <v>423</v>
      </c>
      <c r="AF53" s="47" t="s">
        <v>65</v>
      </c>
      <c r="AG53" s="16" t="s">
        <v>732</v>
      </c>
      <c r="AH53" s="14" t="s">
        <v>745</v>
      </c>
      <c r="AI53" s="14">
        <v>2022.0</v>
      </c>
      <c r="AJ53" s="14">
        <v>2022.0</v>
      </c>
      <c r="AK53" s="44" t="s">
        <v>70</v>
      </c>
    </row>
    <row r="54" ht="15.75" customHeight="1">
      <c r="A54" s="41">
        <f t="shared" si="1"/>
        <v>52</v>
      </c>
      <c r="B54" s="42" t="s">
        <v>746</v>
      </c>
      <c r="C54" s="42" t="s">
        <v>747</v>
      </c>
      <c r="D54" s="11" t="str">
        <f>IFERROR(__xludf.DUMMYFUNCTION("REGEXEXTRACT(C54,""[A-Z]{2,}"")"),"FMDS")</f>
        <v>FMDS</v>
      </c>
      <c r="E54" s="43" t="s">
        <v>48</v>
      </c>
      <c r="F54" s="43" t="s">
        <v>73</v>
      </c>
      <c r="G54" s="43" t="s">
        <v>50</v>
      </c>
      <c r="H54" s="43">
        <v>1.35</v>
      </c>
      <c r="I54" s="43">
        <v>26.0</v>
      </c>
      <c r="J54" s="14" t="s">
        <v>748</v>
      </c>
      <c r="K54" s="14" t="s">
        <v>749</v>
      </c>
      <c r="L54" s="42" t="s">
        <v>746</v>
      </c>
      <c r="M54" s="43" t="s">
        <v>48</v>
      </c>
      <c r="N54" s="14" t="s">
        <v>750</v>
      </c>
      <c r="O54" s="42" t="s">
        <v>746</v>
      </c>
      <c r="P54" s="14">
        <v>2012.0</v>
      </c>
      <c r="Q54" s="14" t="s">
        <v>418</v>
      </c>
      <c r="R54" s="14" t="s">
        <v>419</v>
      </c>
      <c r="S54" s="44" t="s">
        <v>57</v>
      </c>
      <c r="T54" s="16" t="s">
        <v>250</v>
      </c>
      <c r="U54" s="16" t="s">
        <v>59</v>
      </c>
      <c r="V54" s="45">
        <v>9.0</v>
      </c>
      <c r="Z54" s="46" t="s">
        <v>60</v>
      </c>
      <c r="AA54" s="47" t="s">
        <v>421</v>
      </c>
      <c r="AB54" s="16" t="s">
        <v>432</v>
      </c>
      <c r="AC54" s="47" t="s">
        <v>63</v>
      </c>
      <c r="AD54" s="47" t="s">
        <v>423</v>
      </c>
      <c r="AF54" s="47" t="s">
        <v>65</v>
      </c>
      <c r="AG54" s="16" t="s">
        <v>751</v>
      </c>
      <c r="AH54" s="14" t="s">
        <v>752</v>
      </c>
      <c r="AI54" s="14">
        <v>2012.0</v>
      </c>
      <c r="AJ54" s="14">
        <v>2012.0</v>
      </c>
      <c r="AK54" s="44" t="s">
        <v>70</v>
      </c>
    </row>
    <row r="55" ht="15.75" customHeight="1">
      <c r="A55" s="41">
        <f t="shared" si="1"/>
        <v>53</v>
      </c>
      <c r="B55" s="42" t="s">
        <v>753</v>
      </c>
      <c r="C55" s="42" t="s">
        <v>754</v>
      </c>
      <c r="D55" s="11" t="str">
        <f>IFERROR(__xludf.DUMMYFUNCTION("REGEXEXTRACT(C55,""[A-Z]{2,}"")"),"FMDS")</f>
        <v>FMDS</v>
      </c>
      <c r="E55" s="43" t="s">
        <v>48</v>
      </c>
      <c r="F55" s="43" t="s">
        <v>73</v>
      </c>
      <c r="G55" s="43" t="s">
        <v>50</v>
      </c>
      <c r="H55" s="43">
        <v>0.3</v>
      </c>
      <c r="I55" s="43">
        <v>35.0</v>
      </c>
      <c r="J55" s="14" t="s">
        <v>755</v>
      </c>
      <c r="K55" s="14" t="s">
        <v>756</v>
      </c>
      <c r="L55" s="42" t="s">
        <v>753</v>
      </c>
      <c r="M55" s="43" t="s">
        <v>48</v>
      </c>
      <c r="N55" s="14" t="s">
        <v>757</v>
      </c>
      <c r="O55" s="42" t="s">
        <v>753</v>
      </c>
      <c r="P55" s="14">
        <v>2020.0</v>
      </c>
      <c r="Q55" s="14" t="s">
        <v>418</v>
      </c>
      <c r="R55" s="14" t="s">
        <v>419</v>
      </c>
      <c r="S55" s="44" t="s">
        <v>57</v>
      </c>
      <c r="T55" s="16" t="s">
        <v>250</v>
      </c>
      <c r="U55" s="16" t="s">
        <v>59</v>
      </c>
      <c r="V55" s="45">
        <v>9.0</v>
      </c>
      <c r="Z55" s="46" t="s">
        <v>60</v>
      </c>
      <c r="AA55" s="47" t="s">
        <v>421</v>
      </c>
      <c r="AB55" s="16" t="s">
        <v>432</v>
      </c>
      <c r="AC55" s="47" t="s">
        <v>63</v>
      </c>
      <c r="AD55" s="47" t="s">
        <v>423</v>
      </c>
      <c r="AF55" s="47" t="s">
        <v>65</v>
      </c>
      <c r="AG55" s="47" t="s">
        <v>732</v>
      </c>
      <c r="AH55" s="14" t="s">
        <v>758</v>
      </c>
      <c r="AI55" s="14">
        <v>2020.0</v>
      </c>
      <c r="AJ55" s="14">
        <v>2020.0</v>
      </c>
      <c r="AK55" s="44" t="s">
        <v>70</v>
      </c>
    </row>
    <row r="56" ht="15.75" customHeight="1">
      <c r="A56" s="41">
        <f t="shared" si="1"/>
        <v>54</v>
      </c>
      <c r="B56" s="42" t="s">
        <v>759</v>
      </c>
      <c r="C56" s="42" t="s">
        <v>760</v>
      </c>
      <c r="D56" s="11" t="str">
        <f>IFERROR(__xludf.DUMMYFUNCTION("REGEXEXTRACT(C56,""[A-Z]{2,}"")"),"FMDS")</f>
        <v>FMDS</v>
      </c>
      <c r="E56" s="43" t="s">
        <v>48</v>
      </c>
      <c r="F56" s="43" t="s">
        <v>73</v>
      </c>
      <c r="G56" s="43" t="s">
        <v>50</v>
      </c>
      <c r="H56" s="43">
        <v>0.38</v>
      </c>
      <c r="I56" s="43">
        <v>26.0</v>
      </c>
      <c r="J56" s="14" t="s">
        <v>761</v>
      </c>
      <c r="K56" s="14" t="s">
        <v>762</v>
      </c>
      <c r="L56" s="42" t="s">
        <v>759</v>
      </c>
      <c r="M56" s="43" t="s">
        <v>48</v>
      </c>
      <c r="N56" s="14" t="s">
        <v>763</v>
      </c>
      <c r="O56" s="42" t="s">
        <v>759</v>
      </c>
      <c r="P56" s="14">
        <v>2025.0</v>
      </c>
      <c r="Q56" s="14" t="s">
        <v>418</v>
      </c>
      <c r="R56" s="14" t="s">
        <v>419</v>
      </c>
      <c r="S56" s="44" t="s">
        <v>57</v>
      </c>
      <c r="T56" s="16" t="s">
        <v>250</v>
      </c>
      <c r="U56" s="16" t="s">
        <v>59</v>
      </c>
      <c r="V56" s="45">
        <v>9.0</v>
      </c>
      <c r="Z56" s="46" t="s">
        <v>60</v>
      </c>
      <c r="AA56" s="47" t="s">
        <v>421</v>
      </c>
      <c r="AB56" s="16" t="s">
        <v>432</v>
      </c>
      <c r="AC56" s="47" t="s">
        <v>63</v>
      </c>
      <c r="AD56" s="47" t="s">
        <v>423</v>
      </c>
      <c r="AF56" s="47" t="s">
        <v>65</v>
      </c>
      <c r="AG56" s="47" t="s">
        <v>732</v>
      </c>
      <c r="AH56" s="14" t="s">
        <v>764</v>
      </c>
      <c r="AI56" s="14">
        <v>2025.0</v>
      </c>
      <c r="AJ56" s="14">
        <v>2025.0</v>
      </c>
      <c r="AK56" s="44" t="s">
        <v>70</v>
      </c>
    </row>
    <row r="57" ht="15.75" customHeight="1">
      <c r="A57" s="41">
        <f t="shared" si="1"/>
        <v>55</v>
      </c>
      <c r="B57" s="42" t="s">
        <v>765</v>
      </c>
      <c r="C57" s="42" t="s">
        <v>766</v>
      </c>
      <c r="D57" s="11" t="str">
        <f>IFERROR(__xludf.DUMMYFUNCTION("REGEXEXTRACT(C57,""[A-Z]{2,}"")"),"FMDS")</f>
        <v>FMDS</v>
      </c>
      <c r="E57" s="43" t="s">
        <v>48</v>
      </c>
      <c r="F57" s="43" t="s">
        <v>73</v>
      </c>
      <c r="G57" s="43" t="s">
        <v>50</v>
      </c>
      <c r="H57" s="43">
        <v>0.12</v>
      </c>
      <c r="I57" s="43">
        <v>10.0</v>
      </c>
      <c r="J57" s="14" t="s">
        <v>767</v>
      </c>
      <c r="K57" s="14" t="s">
        <v>768</v>
      </c>
      <c r="L57" s="42" t="s">
        <v>765</v>
      </c>
      <c r="M57" s="43" t="s">
        <v>48</v>
      </c>
      <c r="N57" s="14" t="s">
        <v>769</v>
      </c>
      <c r="O57" s="42" t="s">
        <v>765</v>
      </c>
      <c r="P57" s="14">
        <v>2000.0</v>
      </c>
      <c r="Q57" s="14" t="s">
        <v>418</v>
      </c>
      <c r="R57" s="14" t="s">
        <v>419</v>
      </c>
      <c r="S57" s="44" t="s">
        <v>57</v>
      </c>
      <c r="T57" s="16" t="s">
        <v>250</v>
      </c>
      <c r="U57" s="16" t="s">
        <v>59</v>
      </c>
      <c r="V57" s="45">
        <v>9.0</v>
      </c>
      <c r="Z57" s="46" t="s">
        <v>60</v>
      </c>
      <c r="AA57" s="47" t="s">
        <v>421</v>
      </c>
      <c r="AB57" s="16" t="s">
        <v>432</v>
      </c>
      <c r="AC57" s="47" t="s">
        <v>63</v>
      </c>
      <c r="AD57" s="47" t="s">
        <v>423</v>
      </c>
      <c r="AF57" s="47" t="s">
        <v>65</v>
      </c>
      <c r="AG57" s="47" t="s">
        <v>732</v>
      </c>
      <c r="AH57" s="14" t="s">
        <v>770</v>
      </c>
      <c r="AI57" s="14">
        <v>2000.0</v>
      </c>
      <c r="AJ57" s="14">
        <v>2000.0</v>
      </c>
      <c r="AK57" s="44" t="s">
        <v>70</v>
      </c>
    </row>
    <row r="58" ht="15.75" customHeight="1">
      <c r="A58" s="41">
        <f t="shared" si="1"/>
        <v>56</v>
      </c>
      <c r="B58" s="42" t="s">
        <v>771</v>
      </c>
      <c r="C58" s="42" t="s">
        <v>772</v>
      </c>
      <c r="D58" s="11" t="str">
        <f>IFERROR(__xludf.DUMMYFUNCTION("REGEXEXTRACT(C58,""[A-Z]{2,}"")"),"FMDS")</f>
        <v>FMDS</v>
      </c>
      <c r="E58" s="43" t="s">
        <v>48</v>
      </c>
      <c r="F58" s="43" t="s">
        <v>73</v>
      </c>
      <c r="G58" s="43" t="s">
        <v>50</v>
      </c>
      <c r="H58" s="43">
        <v>0.23</v>
      </c>
      <c r="I58" s="43">
        <v>12.0</v>
      </c>
      <c r="J58" s="14" t="s">
        <v>773</v>
      </c>
      <c r="K58" s="14" t="s">
        <v>774</v>
      </c>
      <c r="L58" s="42" t="s">
        <v>771</v>
      </c>
      <c r="M58" s="43" t="s">
        <v>48</v>
      </c>
      <c r="N58" s="14" t="s">
        <v>775</v>
      </c>
      <c r="O58" s="42" t="s">
        <v>771</v>
      </c>
      <c r="P58" s="14">
        <v>2013.0</v>
      </c>
      <c r="Q58" s="14" t="s">
        <v>418</v>
      </c>
      <c r="R58" s="14" t="s">
        <v>419</v>
      </c>
      <c r="S58" s="44" t="s">
        <v>57</v>
      </c>
      <c r="T58" s="16" t="s">
        <v>250</v>
      </c>
      <c r="U58" s="16" t="s">
        <v>59</v>
      </c>
      <c r="V58" s="45">
        <v>9.0</v>
      </c>
      <c r="Z58" s="46" t="s">
        <v>60</v>
      </c>
      <c r="AA58" s="47" t="s">
        <v>421</v>
      </c>
      <c r="AB58" s="16" t="s">
        <v>432</v>
      </c>
      <c r="AC58" s="47" t="s">
        <v>63</v>
      </c>
      <c r="AD58" s="47" t="s">
        <v>423</v>
      </c>
      <c r="AF58" s="47" t="s">
        <v>65</v>
      </c>
      <c r="AG58" s="47" t="s">
        <v>732</v>
      </c>
      <c r="AH58" s="14" t="s">
        <v>776</v>
      </c>
      <c r="AI58" s="14">
        <v>2013.0</v>
      </c>
      <c r="AJ58" s="14">
        <v>2013.0</v>
      </c>
      <c r="AK58" s="44" t="s">
        <v>70</v>
      </c>
    </row>
    <row r="59" ht="15.75" customHeight="1">
      <c r="A59" s="41">
        <f t="shared" si="1"/>
        <v>57</v>
      </c>
      <c r="B59" s="42" t="s">
        <v>777</v>
      </c>
      <c r="C59" s="42" t="s">
        <v>778</v>
      </c>
      <c r="D59" s="11" t="str">
        <f>IFERROR(__xludf.DUMMYFUNCTION("REGEXEXTRACT(C59,""[A-Z]{2,}"")"),"FMDS")</f>
        <v>FMDS</v>
      </c>
      <c r="E59" s="43" t="s">
        <v>48</v>
      </c>
      <c r="F59" s="43" t="s">
        <v>73</v>
      </c>
      <c r="G59" s="43" t="s">
        <v>50</v>
      </c>
      <c r="H59" s="43">
        <v>2.3</v>
      </c>
      <c r="I59" s="43">
        <v>81.0</v>
      </c>
      <c r="J59" s="14" t="s">
        <v>779</v>
      </c>
      <c r="K59" s="14" t="s">
        <v>780</v>
      </c>
      <c r="L59" s="42" t="s">
        <v>777</v>
      </c>
      <c r="M59" s="43" t="s">
        <v>48</v>
      </c>
      <c r="N59" s="14" t="s">
        <v>781</v>
      </c>
      <c r="O59" s="42" t="s">
        <v>777</v>
      </c>
      <c r="P59" s="14">
        <v>2025.0</v>
      </c>
      <c r="Q59" s="14" t="s">
        <v>418</v>
      </c>
      <c r="R59" s="14" t="s">
        <v>419</v>
      </c>
      <c r="S59" s="44" t="s">
        <v>57</v>
      </c>
      <c r="T59" s="16" t="s">
        <v>250</v>
      </c>
      <c r="U59" s="16" t="s">
        <v>59</v>
      </c>
      <c r="V59" s="45">
        <v>9.0</v>
      </c>
      <c r="Z59" s="46" t="s">
        <v>60</v>
      </c>
      <c r="AA59" s="47" t="s">
        <v>421</v>
      </c>
      <c r="AB59" s="16" t="s">
        <v>432</v>
      </c>
      <c r="AC59" s="47" t="s">
        <v>63</v>
      </c>
      <c r="AD59" s="47" t="s">
        <v>423</v>
      </c>
      <c r="AF59" s="47" t="s">
        <v>65</v>
      </c>
      <c r="AG59" s="47" t="s">
        <v>732</v>
      </c>
      <c r="AH59" s="14" t="s">
        <v>782</v>
      </c>
      <c r="AI59" s="14">
        <v>2025.0</v>
      </c>
      <c r="AJ59" s="14">
        <v>2025.0</v>
      </c>
      <c r="AK59" s="44" t="s">
        <v>70</v>
      </c>
    </row>
    <row r="60" ht="15.75" customHeight="1">
      <c r="A60" s="41">
        <f t="shared" si="1"/>
        <v>58</v>
      </c>
      <c r="B60" s="42" t="s">
        <v>783</v>
      </c>
      <c r="C60" s="42" t="s">
        <v>784</v>
      </c>
      <c r="D60" s="11" t="str">
        <f>IFERROR(__xludf.DUMMYFUNCTION("REGEXEXTRACT(C60,""[A-Z]{2,}"")"),"FMDS")</f>
        <v>FMDS</v>
      </c>
      <c r="E60" s="43" t="s">
        <v>48</v>
      </c>
      <c r="F60" s="43" t="s">
        <v>73</v>
      </c>
      <c r="G60" s="43" t="s">
        <v>50</v>
      </c>
      <c r="H60" s="43">
        <v>0.38</v>
      </c>
      <c r="I60" s="43">
        <v>12.0</v>
      </c>
      <c r="J60" s="14" t="s">
        <v>785</v>
      </c>
      <c r="K60" s="14" t="s">
        <v>786</v>
      </c>
      <c r="L60" s="42" t="s">
        <v>783</v>
      </c>
      <c r="M60" s="43" t="s">
        <v>48</v>
      </c>
      <c r="N60" s="14" t="s">
        <v>787</v>
      </c>
      <c r="O60" s="42" t="s">
        <v>783</v>
      </c>
      <c r="P60" s="14">
        <v>2023.0</v>
      </c>
      <c r="Q60" s="14" t="s">
        <v>418</v>
      </c>
      <c r="R60" s="14" t="s">
        <v>419</v>
      </c>
      <c r="S60" s="44" t="s">
        <v>57</v>
      </c>
      <c r="T60" s="16" t="s">
        <v>250</v>
      </c>
      <c r="U60" s="16" t="s">
        <v>59</v>
      </c>
      <c r="V60" s="45">
        <v>9.0</v>
      </c>
      <c r="Z60" s="46" t="s">
        <v>60</v>
      </c>
      <c r="AA60" s="47" t="s">
        <v>421</v>
      </c>
      <c r="AB60" s="16" t="s">
        <v>432</v>
      </c>
      <c r="AC60" s="47" t="s">
        <v>63</v>
      </c>
      <c r="AD60" s="47" t="s">
        <v>423</v>
      </c>
      <c r="AF60" s="47" t="s">
        <v>65</v>
      </c>
      <c r="AG60" s="47" t="s">
        <v>732</v>
      </c>
      <c r="AH60" s="14" t="s">
        <v>788</v>
      </c>
      <c r="AI60" s="14">
        <v>2023.0</v>
      </c>
      <c r="AJ60" s="14">
        <v>2023.0</v>
      </c>
      <c r="AK60" s="44" t="s">
        <v>70</v>
      </c>
    </row>
    <row r="61" ht="24.0" customHeight="1">
      <c r="A61" s="41">
        <f t="shared" si="1"/>
        <v>59</v>
      </c>
      <c r="B61" s="42" t="s">
        <v>789</v>
      </c>
      <c r="C61" s="42" t="s">
        <v>790</v>
      </c>
      <c r="D61" s="11" t="str">
        <f>IFERROR(__xludf.DUMMYFUNCTION("REGEXEXTRACT(C61,""[A-Z]{2,}"")"),"FMDS")</f>
        <v>FMDS</v>
      </c>
      <c r="E61" s="43" t="s">
        <v>48</v>
      </c>
      <c r="F61" s="43" t="s">
        <v>73</v>
      </c>
      <c r="G61" s="43" t="s">
        <v>50</v>
      </c>
      <c r="H61" s="43">
        <v>0.21</v>
      </c>
      <c r="I61" s="43">
        <v>36.0</v>
      </c>
      <c r="J61" s="14" t="s">
        <v>791</v>
      </c>
      <c r="K61" s="14" t="s">
        <v>792</v>
      </c>
      <c r="L61" s="42" t="s">
        <v>789</v>
      </c>
      <c r="M61" s="43" t="s">
        <v>48</v>
      </c>
      <c r="N61" s="14" t="s">
        <v>793</v>
      </c>
      <c r="O61" s="42" t="s">
        <v>789</v>
      </c>
      <c r="P61" s="14">
        <v>2012.0</v>
      </c>
      <c r="Q61" s="14" t="s">
        <v>418</v>
      </c>
      <c r="R61" s="14" t="s">
        <v>419</v>
      </c>
      <c r="S61" s="44" t="s">
        <v>57</v>
      </c>
      <c r="T61" s="16" t="s">
        <v>250</v>
      </c>
      <c r="U61" s="16" t="s">
        <v>59</v>
      </c>
      <c r="V61" s="45">
        <v>9.0</v>
      </c>
      <c r="Z61" s="46" t="s">
        <v>420</v>
      </c>
      <c r="AA61" s="47" t="s">
        <v>421</v>
      </c>
      <c r="AB61" s="16" t="s">
        <v>432</v>
      </c>
      <c r="AC61" s="47" t="s">
        <v>63</v>
      </c>
      <c r="AD61" s="47" t="s">
        <v>423</v>
      </c>
      <c r="AF61" s="47" t="s">
        <v>150</v>
      </c>
      <c r="AG61" s="16" t="s">
        <v>448</v>
      </c>
      <c r="AH61" s="14" t="s">
        <v>794</v>
      </c>
      <c r="AI61" s="14">
        <v>2012.0</v>
      </c>
      <c r="AJ61" s="14">
        <v>2012.0</v>
      </c>
      <c r="AK61" s="44" t="s">
        <v>70</v>
      </c>
    </row>
    <row r="62" ht="15.75" customHeight="1">
      <c r="A62" s="41">
        <f t="shared" si="1"/>
        <v>60</v>
      </c>
      <c r="B62" s="42" t="s">
        <v>795</v>
      </c>
      <c r="C62" s="42" t="s">
        <v>796</v>
      </c>
      <c r="D62" s="11" t="str">
        <f>IFERROR(__xludf.DUMMYFUNCTION("REGEXEXTRACT(C62,""[A-Z]{2,}"")"),"FMDS")</f>
        <v>FMDS</v>
      </c>
      <c r="E62" s="43" t="s">
        <v>48</v>
      </c>
      <c r="F62" s="43" t="s">
        <v>73</v>
      </c>
      <c r="G62" s="43" t="s">
        <v>50</v>
      </c>
      <c r="H62" s="43">
        <v>2.61</v>
      </c>
      <c r="I62" s="43">
        <v>47.0</v>
      </c>
      <c r="J62" s="14" t="s">
        <v>797</v>
      </c>
      <c r="K62" s="14" t="s">
        <v>798</v>
      </c>
      <c r="L62" s="42" t="s">
        <v>795</v>
      </c>
      <c r="M62" s="43" t="s">
        <v>48</v>
      </c>
      <c r="N62" s="14" t="s">
        <v>799</v>
      </c>
      <c r="O62" s="42" t="s">
        <v>795</v>
      </c>
      <c r="P62" s="14">
        <v>2023.0</v>
      </c>
      <c r="Q62" s="14" t="s">
        <v>418</v>
      </c>
      <c r="R62" s="14" t="s">
        <v>419</v>
      </c>
      <c r="S62" s="44" t="s">
        <v>57</v>
      </c>
      <c r="T62" s="16" t="s">
        <v>250</v>
      </c>
      <c r="U62" s="16" t="s">
        <v>59</v>
      </c>
      <c r="V62" s="45">
        <v>9.0</v>
      </c>
      <c r="Z62" s="46" t="s">
        <v>800</v>
      </c>
      <c r="AA62" s="47" t="s">
        <v>421</v>
      </c>
      <c r="AB62" s="16" t="s">
        <v>432</v>
      </c>
      <c r="AC62" s="47" t="s">
        <v>801</v>
      </c>
      <c r="AD62" s="47" t="s">
        <v>802</v>
      </c>
      <c r="AF62" s="16" t="s">
        <v>803</v>
      </c>
      <c r="AG62" s="16" t="s">
        <v>804</v>
      </c>
      <c r="AH62" s="14" t="s">
        <v>805</v>
      </c>
      <c r="AI62" s="14">
        <v>2023.0</v>
      </c>
      <c r="AJ62" s="14">
        <v>2023.0</v>
      </c>
      <c r="AK62" s="44" t="s">
        <v>70</v>
      </c>
    </row>
    <row r="63" ht="15.75" customHeight="1">
      <c r="A63" s="41">
        <f t="shared" si="1"/>
        <v>61</v>
      </c>
      <c r="B63" s="42" t="s">
        <v>806</v>
      </c>
      <c r="C63" s="42" t="s">
        <v>807</v>
      </c>
      <c r="D63" s="11" t="str">
        <f>IFERROR(__xludf.DUMMYFUNCTION("REGEXEXTRACT(C63,""[A-Z]{2,}"")"),"FMDS")</f>
        <v>FMDS</v>
      </c>
      <c r="E63" s="43" t="s">
        <v>48</v>
      </c>
      <c r="F63" s="43" t="s">
        <v>73</v>
      </c>
      <c r="G63" s="43" t="s">
        <v>50</v>
      </c>
      <c r="H63" s="43">
        <v>0.34</v>
      </c>
      <c r="I63" s="43">
        <v>47.0</v>
      </c>
      <c r="J63" s="14" t="s">
        <v>808</v>
      </c>
      <c r="K63" s="14" t="s">
        <v>809</v>
      </c>
      <c r="L63" s="42" t="s">
        <v>806</v>
      </c>
      <c r="M63" s="43" t="s">
        <v>48</v>
      </c>
      <c r="N63" s="14" t="s">
        <v>810</v>
      </c>
      <c r="O63" s="42" t="s">
        <v>806</v>
      </c>
      <c r="P63" s="14">
        <v>2025.0</v>
      </c>
      <c r="Q63" s="14" t="s">
        <v>418</v>
      </c>
      <c r="R63" s="14" t="s">
        <v>419</v>
      </c>
      <c r="S63" s="44" t="s">
        <v>57</v>
      </c>
      <c r="T63" s="16" t="s">
        <v>250</v>
      </c>
      <c r="U63" s="16" t="s">
        <v>59</v>
      </c>
      <c r="V63" s="45">
        <v>9.0</v>
      </c>
      <c r="Z63" s="46" t="s">
        <v>800</v>
      </c>
      <c r="AA63" s="47" t="s">
        <v>421</v>
      </c>
      <c r="AB63" s="16" t="s">
        <v>432</v>
      </c>
      <c r="AC63" s="16" t="s">
        <v>801</v>
      </c>
      <c r="AD63" s="47" t="s">
        <v>802</v>
      </c>
      <c r="AF63" s="16" t="s">
        <v>803</v>
      </c>
      <c r="AG63" s="16" t="s">
        <v>804</v>
      </c>
      <c r="AH63" s="14" t="s">
        <v>811</v>
      </c>
      <c r="AI63" s="14">
        <v>2025.0</v>
      </c>
      <c r="AJ63" s="14">
        <v>2025.0</v>
      </c>
      <c r="AK63" s="44" t="s">
        <v>70</v>
      </c>
    </row>
    <row r="64" ht="15.75" customHeight="1">
      <c r="A64" s="41">
        <f t="shared" si="1"/>
        <v>62</v>
      </c>
      <c r="B64" s="42" t="s">
        <v>812</v>
      </c>
      <c r="C64" s="42" t="s">
        <v>813</v>
      </c>
      <c r="D64" s="11" t="str">
        <f>IFERROR(__xludf.DUMMYFUNCTION("REGEXEXTRACT(C64,""[A-Z]{2,}"")"),"FMDS")</f>
        <v>FMDS</v>
      </c>
      <c r="E64" s="43" t="s">
        <v>48</v>
      </c>
      <c r="F64" s="43" t="s">
        <v>73</v>
      </c>
      <c r="G64" s="43" t="s">
        <v>50</v>
      </c>
      <c r="H64" s="43">
        <v>0.18</v>
      </c>
      <c r="I64" s="43">
        <v>29.0</v>
      </c>
      <c r="J64" s="14" t="s">
        <v>814</v>
      </c>
      <c r="K64" s="14" t="s">
        <v>815</v>
      </c>
      <c r="L64" s="42" t="s">
        <v>812</v>
      </c>
      <c r="M64" s="43" t="s">
        <v>48</v>
      </c>
      <c r="N64" s="14" t="s">
        <v>816</v>
      </c>
      <c r="O64" s="42" t="s">
        <v>812</v>
      </c>
      <c r="P64" s="14">
        <v>2012.0</v>
      </c>
      <c r="Q64" s="14" t="s">
        <v>418</v>
      </c>
      <c r="R64" s="14" t="s">
        <v>419</v>
      </c>
      <c r="S64" s="44" t="s">
        <v>57</v>
      </c>
      <c r="T64" s="16" t="s">
        <v>250</v>
      </c>
      <c r="U64" s="16" t="s">
        <v>59</v>
      </c>
      <c r="V64" s="45">
        <v>9.0</v>
      </c>
      <c r="Z64" s="46" t="s">
        <v>420</v>
      </c>
      <c r="AA64" s="47" t="s">
        <v>421</v>
      </c>
      <c r="AB64" s="16" t="s">
        <v>432</v>
      </c>
      <c r="AC64" s="47" t="s">
        <v>63</v>
      </c>
      <c r="AD64" s="47" t="s">
        <v>423</v>
      </c>
      <c r="AF64" s="47" t="s">
        <v>150</v>
      </c>
      <c r="AG64" s="16" t="s">
        <v>448</v>
      </c>
      <c r="AH64" s="14" t="s">
        <v>817</v>
      </c>
      <c r="AI64" s="14">
        <v>2012.0</v>
      </c>
      <c r="AJ64" s="14">
        <v>2012.0</v>
      </c>
      <c r="AK64" s="44" t="s">
        <v>70</v>
      </c>
    </row>
    <row r="65" ht="15.75" customHeight="1">
      <c r="A65" s="41">
        <f t="shared" si="1"/>
        <v>63</v>
      </c>
      <c r="B65" s="42" t="s">
        <v>818</v>
      </c>
      <c r="C65" s="42" t="s">
        <v>819</v>
      </c>
      <c r="D65" s="11" t="str">
        <f>IFERROR(__xludf.DUMMYFUNCTION("REGEXEXTRACT(C65,""[A-Z]{2,}"")"),"FMDS")</f>
        <v>FMDS</v>
      </c>
      <c r="E65" s="43" t="s">
        <v>48</v>
      </c>
      <c r="F65" s="43" t="s">
        <v>73</v>
      </c>
      <c r="G65" s="43" t="s">
        <v>50</v>
      </c>
      <c r="H65" s="43">
        <v>1.43</v>
      </c>
      <c r="I65" s="43">
        <v>70.0</v>
      </c>
      <c r="J65" s="14" t="s">
        <v>820</v>
      </c>
      <c r="K65" s="14" t="s">
        <v>821</v>
      </c>
      <c r="L65" s="42" t="s">
        <v>818</v>
      </c>
      <c r="M65" s="43" t="s">
        <v>48</v>
      </c>
      <c r="N65" s="14" t="s">
        <v>822</v>
      </c>
      <c r="O65" s="42" t="s">
        <v>818</v>
      </c>
      <c r="P65" s="14">
        <v>2012.0</v>
      </c>
      <c r="Q65" s="14" t="s">
        <v>418</v>
      </c>
      <c r="R65" s="14" t="s">
        <v>419</v>
      </c>
      <c r="S65" s="44" t="s">
        <v>57</v>
      </c>
      <c r="T65" s="16" t="s">
        <v>250</v>
      </c>
      <c r="U65" s="16" t="s">
        <v>59</v>
      </c>
      <c r="V65" s="45">
        <v>9.0</v>
      </c>
      <c r="Z65" s="46" t="s">
        <v>420</v>
      </c>
      <c r="AA65" s="47" t="s">
        <v>421</v>
      </c>
      <c r="AB65" s="16" t="s">
        <v>422</v>
      </c>
      <c r="AC65" s="47" t="s">
        <v>63</v>
      </c>
      <c r="AD65" s="47" t="s">
        <v>423</v>
      </c>
      <c r="AF65" s="47" t="s">
        <v>150</v>
      </c>
      <c r="AG65" s="16" t="s">
        <v>448</v>
      </c>
      <c r="AH65" s="14" t="s">
        <v>823</v>
      </c>
      <c r="AI65" s="14">
        <v>2012.0</v>
      </c>
      <c r="AJ65" s="14">
        <v>2012.0</v>
      </c>
      <c r="AK65" s="44" t="s">
        <v>70</v>
      </c>
    </row>
    <row r="66" ht="15.75" customHeight="1">
      <c r="A66" s="41">
        <f t="shared" si="1"/>
        <v>64</v>
      </c>
      <c r="B66" s="42" t="s">
        <v>824</v>
      </c>
      <c r="C66" s="42" t="s">
        <v>825</v>
      </c>
      <c r="D66" s="11" t="str">
        <f>IFERROR(__xludf.DUMMYFUNCTION("REGEXEXTRACT(C66,""[A-Z]{2,}"")"),"FMDS")</f>
        <v>FMDS</v>
      </c>
      <c r="E66" s="43" t="s">
        <v>48</v>
      </c>
      <c r="F66" s="43" t="s">
        <v>73</v>
      </c>
      <c r="G66" s="43" t="s">
        <v>50</v>
      </c>
      <c r="H66" s="43">
        <v>0.37</v>
      </c>
      <c r="I66" s="43">
        <v>38.0</v>
      </c>
      <c r="J66" s="14" t="s">
        <v>826</v>
      </c>
      <c r="K66" s="14" t="s">
        <v>827</v>
      </c>
      <c r="L66" s="42" t="s">
        <v>824</v>
      </c>
      <c r="M66" s="43" t="s">
        <v>48</v>
      </c>
      <c r="N66" s="14" t="s">
        <v>828</v>
      </c>
      <c r="O66" s="42" t="s">
        <v>824</v>
      </c>
      <c r="P66" s="14">
        <v>2025.0</v>
      </c>
      <c r="Q66" s="14" t="s">
        <v>418</v>
      </c>
      <c r="R66" s="14" t="s">
        <v>419</v>
      </c>
      <c r="S66" s="44" t="s">
        <v>57</v>
      </c>
      <c r="T66" s="16" t="s">
        <v>250</v>
      </c>
      <c r="U66" s="16" t="s">
        <v>59</v>
      </c>
      <c r="V66" s="45">
        <v>9.0</v>
      </c>
      <c r="Z66" s="46" t="s">
        <v>800</v>
      </c>
      <c r="AA66" s="47" t="s">
        <v>421</v>
      </c>
      <c r="AB66" s="16" t="s">
        <v>432</v>
      </c>
      <c r="AC66" s="16" t="s">
        <v>801</v>
      </c>
      <c r="AD66" s="47" t="s">
        <v>802</v>
      </c>
      <c r="AF66" s="16" t="s">
        <v>803</v>
      </c>
      <c r="AG66" s="16" t="s">
        <v>804</v>
      </c>
      <c r="AH66" s="14" t="s">
        <v>829</v>
      </c>
      <c r="AI66" s="14">
        <v>2025.0</v>
      </c>
      <c r="AJ66" s="14">
        <v>2025.0</v>
      </c>
      <c r="AK66" s="44" t="s">
        <v>70</v>
      </c>
    </row>
    <row r="67" ht="15.75" customHeight="1">
      <c r="A67" s="41">
        <f t="shared" si="1"/>
        <v>65</v>
      </c>
      <c r="B67" s="42" t="s">
        <v>830</v>
      </c>
      <c r="C67" s="42" t="s">
        <v>831</v>
      </c>
      <c r="D67" s="11" t="str">
        <f>IFERROR(__xludf.DUMMYFUNCTION("REGEXEXTRACT(C67,""[A-Z]{2,}"")"),"FMDS")</f>
        <v>FMDS</v>
      </c>
      <c r="E67" s="43" t="s">
        <v>48</v>
      </c>
      <c r="F67" s="43" t="s">
        <v>73</v>
      </c>
      <c r="G67" s="43" t="s">
        <v>50</v>
      </c>
      <c r="H67" s="43">
        <v>1.79</v>
      </c>
      <c r="I67" s="43">
        <v>30.0</v>
      </c>
      <c r="J67" s="14" t="s">
        <v>832</v>
      </c>
      <c r="K67" s="14" t="s">
        <v>833</v>
      </c>
      <c r="L67" s="42" t="s">
        <v>830</v>
      </c>
      <c r="M67" s="43" t="s">
        <v>48</v>
      </c>
      <c r="N67" s="14" t="s">
        <v>834</v>
      </c>
      <c r="O67" s="42" t="s">
        <v>830</v>
      </c>
      <c r="P67" s="14">
        <v>2025.0</v>
      </c>
      <c r="Q67" s="14" t="s">
        <v>418</v>
      </c>
      <c r="R67" s="14" t="s">
        <v>419</v>
      </c>
      <c r="S67" s="44" t="s">
        <v>57</v>
      </c>
      <c r="T67" s="16" t="s">
        <v>250</v>
      </c>
      <c r="U67" s="16" t="s">
        <v>59</v>
      </c>
      <c r="V67" s="45">
        <v>9.0</v>
      </c>
      <c r="Z67" s="46" t="s">
        <v>800</v>
      </c>
      <c r="AA67" s="47" t="s">
        <v>421</v>
      </c>
      <c r="AB67" s="16" t="s">
        <v>432</v>
      </c>
      <c r="AC67" s="16" t="s">
        <v>801</v>
      </c>
      <c r="AD67" s="47" t="s">
        <v>802</v>
      </c>
      <c r="AF67" s="16" t="s">
        <v>803</v>
      </c>
      <c r="AG67" s="16" t="s">
        <v>804</v>
      </c>
      <c r="AH67" s="14" t="s">
        <v>835</v>
      </c>
      <c r="AI67" s="14">
        <v>2025.0</v>
      </c>
      <c r="AJ67" s="14">
        <v>2025.0</v>
      </c>
      <c r="AK67" s="44" t="s">
        <v>70</v>
      </c>
    </row>
    <row r="68" ht="15.75" customHeight="1">
      <c r="A68" s="41">
        <f t="shared" si="1"/>
        <v>66</v>
      </c>
      <c r="B68" s="42" t="s">
        <v>836</v>
      </c>
      <c r="C68" s="42" t="s">
        <v>837</v>
      </c>
      <c r="D68" s="11" t="str">
        <f>IFERROR(__xludf.DUMMYFUNCTION("REGEXEXTRACT(C68,""[A-Z]{2,}"")"),"FMDS")</f>
        <v>FMDS</v>
      </c>
      <c r="E68" s="43" t="s">
        <v>48</v>
      </c>
      <c r="F68" s="43" t="s">
        <v>73</v>
      </c>
      <c r="G68" s="43" t="s">
        <v>50</v>
      </c>
      <c r="H68" s="43">
        <v>0.25</v>
      </c>
      <c r="I68" s="43">
        <v>39.0</v>
      </c>
      <c r="J68" s="14" t="s">
        <v>838</v>
      </c>
      <c r="K68" s="14" t="s">
        <v>839</v>
      </c>
      <c r="L68" s="42" t="s">
        <v>836</v>
      </c>
      <c r="M68" s="43" t="s">
        <v>48</v>
      </c>
      <c r="N68" s="14" t="s">
        <v>840</v>
      </c>
      <c r="O68" s="42" t="s">
        <v>836</v>
      </c>
      <c r="P68" s="14">
        <v>2024.0</v>
      </c>
      <c r="Q68" s="14" t="s">
        <v>418</v>
      </c>
      <c r="R68" s="14" t="s">
        <v>419</v>
      </c>
      <c r="S68" s="44" t="s">
        <v>57</v>
      </c>
      <c r="T68" s="16" t="s">
        <v>250</v>
      </c>
      <c r="U68" s="16" t="s">
        <v>59</v>
      </c>
      <c r="V68" s="45">
        <v>9.0</v>
      </c>
      <c r="Z68" s="46" t="s">
        <v>800</v>
      </c>
      <c r="AA68" s="47" t="s">
        <v>421</v>
      </c>
      <c r="AB68" s="16" t="s">
        <v>432</v>
      </c>
      <c r="AC68" s="16" t="s">
        <v>801</v>
      </c>
      <c r="AD68" s="47" t="s">
        <v>802</v>
      </c>
      <c r="AF68" s="16" t="s">
        <v>803</v>
      </c>
      <c r="AG68" s="16" t="s">
        <v>804</v>
      </c>
      <c r="AH68" s="14" t="s">
        <v>841</v>
      </c>
      <c r="AI68" s="14">
        <v>2024.0</v>
      </c>
      <c r="AJ68" s="14">
        <v>2024.0</v>
      </c>
      <c r="AK68" s="44" t="s">
        <v>70</v>
      </c>
    </row>
    <row r="69" ht="15.75" customHeight="1">
      <c r="A69" s="41">
        <f t="shared" si="1"/>
        <v>67</v>
      </c>
      <c r="B69" s="42" t="s">
        <v>842</v>
      </c>
      <c r="C69" s="42" t="s">
        <v>843</v>
      </c>
      <c r="D69" s="11" t="str">
        <f>IFERROR(__xludf.DUMMYFUNCTION("REGEXEXTRACT(C69,""[A-Z]{2,}"")"),"FMDS")</f>
        <v>FMDS</v>
      </c>
      <c r="E69" s="43" t="s">
        <v>48</v>
      </c>
      <c r="F69" s="43" t="s">
        <v>73</v>
      </c>
      <c r="G69" s="43" t="s">
        <v>50</v>
      </c>
      <c r="H69" s="43">
        <v>0.8</v>
      </c>
      <c r="I69" s="43">
        <v>30.0</v>
      </c>
      <c r="J69" s="14" t="s">
        <v>844</v>
      </c>
      <c r="K69" s="14" t="s">
        <v>845</v>
      </c>
      <c r="L69" s="42" t="s">
        <v>842</v>
      </c>
      <c r="M69" s="43" t="s">
        <v>48</v>
      </c>
      <c r="N69" s="14" t="s">
        <v>846</v>
      </c>
      <c r="O69" s="42" t="s">
        <v>842</v>
      </c>
      <c r="P69" s="14">
        <v>2024.0</v>
      </c>
      <c r="Q69" s="14" t="s">
        <v>418</v>
      </c>
      <c r="R69" s="14" t="s">
        <v>419</v>
      </c>
      <c r="S69" s="44" t="s">
        <v>57</v>
      </c>
      <c r="T69" s="16" t="s">
        <v>250</v>
      </c>
      <c r="U69" s="16" t="s">
        <v>59</v>
      </c>
      <c r="V69" s="45">
        <v>9.0</v>
      </c>
      <c r="Z69" s="46" t="s">
        <v>800</v>
      </c>
      <c r="AA69" s="47" t="s">
        <v>421</v>
      </c>
      <c r="AB69" s="16" t="s">
        <v>432</v>
      </c>
      <c r="AC69" s="16" t="s">
        <v>801</v>
      </c>
      <c r="AD69" s="47" t="s">
        <v>802</v>
      </c>
      <c r="AF69" s="16" t="s">
        <v>803</v>
      </c>
      <c r="AG69" s="16" t="s">
        <v>804</v>
      </c>
      <c r="AH69" s="14" t="s">
        <v>847</v>
      </c>
      <c r="AI69" s="14">
        <v>2024.0</v>
      </c>
      <c r="AJ69" s="14">
        <v>2024.0</v>
      </c>
      <c r="AK69" s="44" t="s">
        <v>70</v>
      </c>
    </row>
    <row r="70" ht="15.75" customHeight="1">
      <c r="A70" s="41">
        <f t="shared" si="1"/>
        <v>68</v>
      </c>
      <c r="B70" s="42" t="s">
        <v>848</v>
      </c>
      <c r="C70" s="42" t="s">
        <v>849</v>
      </c>
      <c r="D70" s="11" t="str">
        <f>IFERROR(__xludf.DUMMYFUNCTION("REGEXEXTRACT(C70,""[A-Z]{2,}"")"),"FMDS")</f>
        <v>FMDS</v>
      </c>
      <c r="E70" s="43" t="s">
        <v>48</v>
      </c>
      <c r="F70" s="43" t="s">
        <v>73</v>
      </c>
      <c r="G70" s="43" t="s">
        <v>50</v>
      </c>
      <c r="H70" s="43">
        <v>0.09</v>
      </c>
      <c r="I70" s="43">
        <v>19.0</v>
      </c>
      <c r="J70" s="14" t="s">
        <v>850</v>
      </c>
      <c r="K70" s="14" t="s">
        <v>851</v>
      </c>
      <c r="L70" s="42" t="s">
        <v>848</v>
      </c>
      <c r="M70" s="43" t="s">
        <v>48</v>
      </c>
      <c r="N70" s="14" t="s">
        <v>852</v>
      </c>
      <c r="O70" s="42" t="s">
        <v>848</v>
      </c>
      <c r="P70" s="14">
        <v>2024.0</v>
      </c>
      <c r="Q70" s="14" t="s">
        <v>418</v>
      </c>
      <c r="R70" s="14" t="s">
        <v>419</v>
      </c>
      <c r="S70" s="44" t="s">
        <v>57</v>
      </c>
      <c r="T70" s="16" t="s">
        <v>250</v>
      </c>
      <c r="U70" s="16" t="s">
        <v>59</v>
      </c>
      <c r="V70" s="45">
        <v>9.0</v>
      </c>
      <c r="Z70" s="46" t="s">
        <v>420</v>
      </c>
      <c r="AA70" s="47" t="s">
        <v>421</v>
      </c>
      <c r="AB70" s="16" t="s">
        <v>422</v>
      </c>
      <c r="AC70" s="47" t="s">
        <v>63</v>
      </c>
      <c r="AD70" s="47" t="s">
        <v>423</v>
      </c>
      <c r="AF70" s="47" t="s">
        <v>65</v>
      </c>
      <c r="AG70" s="16" t="s">
        <v>853</v>
      </c>
      <c r="AH70" s="14" t="s">
        <v>854</v>
      </c>
      <c r="AI70" s="14">
        <v>2024.0</v>
      </c>
      <c r="AJ70" s="14">
        <v>2024.0</v>
      </c>
      <c r="AK70" s="44" t="s">
        <v>70</v>
      </c>
    </row>
    <row r="71" ht="15.75" customHeight="1">
      <c r="A71" s="41">
        <f t="shared" si="1"/>
        <v>69</v>
      </c>
      <c r="B71" s="42" t="s">
        <v>855</v>
      </c>
      <c r="C71" s="42" t="s">
        <v>856</v>
      </c>
      <c r="D71" s="11" t="str">
        <f>IFERROR(__xludf.DUMMYFUNCTION("REGEXEXTRACT(C71,""[A-Z]{2,}"")"),"FMDS")</f>
        <v>FMDS</v>
      </c>
      <c r="E71" s="43" t="s">
        <v>48</v>
      </c>
      <c r="F71" s="43" t="s">
        <v>73</v>
      </c>
      <c r="G71" s="43" t="s">
        <v>50</v>
      </c>
      <c r="H71" s="43">
        <v>0.26</v>
      </c>
      <c r="I71" s="43">
        <v>12.0</v>
      </c>
      <c r="J71" s="14" t="s">
        <v>857</v>
      </c>
      <c r="K71" s="14" t="s">
        <v>858</v>
      </c>
      <c r="L71" s="42" t="s">
        <v>855</v>
      </c>
      <c r="M71" s="43" t="s">
        <v>48</v>
      </c>
      <c r="N71" s="14" t="s">
        <v>859</v>
      </c>
      <c r="O71" s="42" t="s">
        <v>855</v>
      </c>
      <c r="P71" s="14">
        <v>2022.0</v>
      </c>
      <c r="Q71" s="14" t="s">
        <v>418</v>
      </c>
      <c r="R71" s="14" t="s">
        <v>419</v>
      </c>
      <c r="S71" s="44" t="s">
        <v>57</v>
      </c>
      <c r="T71" s="16" t="s">
        <v>250</v>
      </c>
      <c r="U71" s="16" t="s">
        <v>59</v>
      </c>
      <c r="V71" s="45">
        <v>9.0</v>
      </c>
      <c r="Z71" s="46" t="s">
        <v>800</v>
      </c>
      <c r="AA71" s="47" t="s">
        <v>421</v>
      </c>
      <c r="AB71" s="16" t="s">
        <v>432</v>
      </c>
      <c r="AC71" s="16" t="s">
        <v>801</v>
      </c>
      <c r="AD71" s="47" t="s">
        <v>802</v>
      </c>
      <c r="AF71" s="16" t="s">
        <v>803</v>
      </c>
      <c r="AG71" s="16" t="s">
        <v>804</v>
      </c>
      <c r="AH71" s="14" t="s">
        <v>860</v>
      </c>
      <c r="AI71" s="14">
        <v>2022.0</v>
      </c>
      <c r="AJ71" s="14">
        <v>2022.0</v>
      </c>
      <c r="AK71" s="44" t="s">
        <v>70</v>
      </c>
    </row>
    <row r="72" ht="15.75" customHeight="1">
      <c r="A72" s="41">
        <f t="shared" si="1"/>
        <v>70</v>
      </c>
      <c r="B72" s="42" t="s">
        <v>861</v>
      </c>
      <c r="C72" s="42" t="s">
        <v>862</v>
      </c>
      <c r="D72" s="11" t="str">
        <f>IFERROR(__xludf.DUMMYFUNCTION("REGEXEXTRACT(C72,""[A-Z]{2,}"")"),"FMDS")</f>
        <v>FMDS</v>
      </c>
      <c r="E72" s="43" t="s">
        <v>48</v>
      </c>
      <c r="F72" s="43" t="s">
        <v>73</v>
      </c>
      <c r="G72" s="43" t="s">
        <v>50</v>
      </c>
      <c r="H72" s="43">
        <v>0.57</v>
      </c>
      <c r="I72" s="43">
        <v>22.0</v>
      </c>
      <c r="J72" s="14" t="s">
        <v>863</v>
      </c>
      <c r="K72" s="14" t="s">
        <v>864</v>
      </c>
      <c r="L72" s="42" t="s">
        <v>861</v>
      </c>
      <c r="M72" s="43" t="s">
        <v>48</v>
      </c>
      <c r="N72" s="14" t="s">
        <v>865</v>
      </c>
      <c r="O72" s="42" t="s">
        <v>861</v>
      </c>
      <c r="P72" s="14">
        <v>2023.0</v>
      </c>
      <c r="Q72" s="14" t="s">
        <v>418</v>
      </c>
      <c r="R72" s="14" t="s">
        <v>419</v>
      </c>
      <c r="S72" s="44" t="s">
        <v>57</v>
      </c>
      <c r="T72" s="16" t="s">
        <v>250</v>
      </c>
      <c r="U72" s="16" t="s">
        <v>59</v>
      </c>
      <c r="V72" s="45">
        <v>9.0</v>
      </c>
      <c r="Z72" s="46" t="s">
        <v>800</v>
      </c>
      <c r="AA72" s="47" t="s">
        <v>421</v>
      </c>
      <c r="AB72" s="16" t="s">
        <v>432</v>
      </c>
      <c r="AC72" s="16" t="s">
        <v>801</v>
      </c>
      <c r="AD72" s="47" t="s">
        <v>802</v>
      </c>
      <c r="AF72" s="16" t="s">
        <v>803</v>
      </c>
      <c r="AG72" s="16" t="s">
        <v>804</v>
      </c>
      <c r="AH72" s="14" t="s">
        <v>866</v>
      </c>
      <c r="AI72" s="14">
        <v>2023.0</v>
      </c>
      <c r="AJ72" s="14">
        <v>2023.0</v>
      </c>
      <c r="AK72" s="44" t="s">
        <v>70</v>
      </c>
    </row>
    <row r="73" ht="15.75" customHeight="1">
      <c r="A73" s="41">
        <f t="shared" si="1"/>
        <v>71</v>
      </c>
      <c r="B73" s="42" t="s">
        <v>867</v>
      </c>
      <c r="C73" s="42" t="s">
        <v>868</v>
      </c>
      <c r="D73" s="11" t="str">
        <f>IFERROR(__xludf.DUMMYFUNCTION("REGEXEXTRACT(C73,""[A-Z]{2,}"")"),"FMDS")</f>
        <v>FMDS</v>
      </c>
      <c r="E73" s="43" t="s">
        <v>48</v>
      </c>
      <c r="F73" s="43" t="s">
        <v>73</v>
      </c>
      <c r="G73" s="43" t="s">
        <v>50</v>
      </c>
      <c r="H73" s="43">
        <v>0.26</v>
      </c>
      <c r="I73" s="43">
        <v>21.0</v>
      </c>
      <c r="J73" s="14" t="s">
        <v>869</v>
      </c>
      <c r="K73" s="14" t="s">
        <v>870</v>
      </c>
      <c r="L73" s="42" t="s">
        <v>867</v>
      </c>
      <c r="M73" s="43" t="s">
        <v>48</v>
      </c>
      <c r="N73" s="14" t="s">
        <v>871</v>
      </c>
      <c r="O73" s="42" t="s">
        <v>867</v>
      </c>
      <c r="P73" s="14">
        <v>2021.0</v>
      </c>
      <c r="Q73" s="14" t="s">
        <v>418</v>
      </c>
      <c r="R73" s="14" t="s">
        <v>419</v>
      </c>
      <c r="S73" s="44" t="s">
        <v>57</v>
      </c>
      <c r="T73" s="16" t="s">
        <v>250</v>
      </c>
      <c r="U73" s="16" t="s">
        <v>59</v>
      </c>
      <c r="V73" s="45">
        <v>9.0</v>
      </c>
      <c r="Z73" s="46" t="s">
        <v>800</v>
      </c>
      <c r="AA73" s="47" t="s">
        <v>421</v>
      </c>
      <c r="AB73" s="16" t="s">
        <v>432</v>
      </c>
      <c r="AC73" s="16" t="s">
        <v>801</v>
      </c>
      <c r="AD73" s="47" t="s">
        <v>802</v>
      </c>
      <c r="AF73" s="16" t="s">
        <v>803</v>
      </c>
      <c r="AG73" s="16" t="s">
        <v>804</v>
      </c>
      <c r="AH73" s="14" t="s">
        <v>872</v>
      </c>
      <c r="AI73" s="14">
        <v>2021.0</v>
      </c>
      <c r="AJ73" s="14">
        <v>2021.0</v>
      </c>
      <c r="AK73" s="44" t="s">
        <v>70</v>
      </c>
    </row>
    <row r="74" ht="15.75" customHeight="1">
      <c r="A74" s="41">
        <f t="shared" si="1"/>
        <v>72</v>
      </c>
      <c r="B74" s="42" t="s">
        <v>873</v>
      </c>
      <c r="C74" s="42" t="s">
        <v>874</v>
      </c>
      <c r="D74" s="11" t="str">
        <f>IFERROR(__xludf.DUMMYFUNCTION("REGEXEXTRACT(C74,""[A-Z]{2,}"")"),"FMDS")</f>
        <v>FMDS</v>
      </c>
      <c r="E74" s="43" t="s">
        <v>48</v>
      </c>
      <c r="F74" s="43" t="s">
        <v>73</v>
      </c>
      <c r="G74" s="43" t="s">
        <v>50</v>
      </c>
      <c r="H74" s="43">
        <v>0.57</v>
      </c>
      <c r="I74" s="43">
        <v>14.0</v>
      </c>
      <c r="J74" s="14" t="s">
        <v>875</v>
      </c>
      <c r="K74" s="14" t="s">
        <v>876</v>
      </c>
      <c r="L74" s="42" t="s">
        <v>873</v>
      </c>
      <c r="M74" s="43" t="s">
        <v>48</v>
      </c>
      <c r="N74" s="14" t="s">
        <v>877</v>
      </c>
      <c r="O74" s="42" t="s">
        <v>873</v>
      </c>
      <c r="P74" s="14">
        <v>2024.0</v>
      </c>
      <c r="Q74" s="14" t="s">
        <v>418</v>
      </c>
      <c r="R74" s="14" t="s">
        <v>419</v>
      </c>
      <c r="S74" s="44" t="s">
        <v>57</v>
      </c>
      <c r="T74" s="16" t="s">
        <v>250</v>
      </c>
      <c r="U74" s="16" t="s">
        <v>59</v>
      </c>
      <c r="V74" s="45">
        <v>9.0</v>
      </c>
      <c r="Z74" s="46" t="s">
        <v>800</v>
      </c>
      <c r="AA74" s="47" t="s">
        <v>421</v>
      </c>
      <c r="AB74" s="16" t="s">
        <v>432</v>
      </c>
      <c r="AC74" s="16" t="s">
        <v>801</v>
      </c>
      <c r="AD74" s="47" t="s">
        <v>802</v>
      </c>
      <c r="AF74" s="16" t="s">
        <v>803</v>
      </c>
      <c r="AG74" s="16" t="s">
        <v>804</v>
      </c>
      <c r="AH74" s="14" t="s">
        <v>878</v>
      </c>
      <c r="AI74" s="14">
        <v>2024.0</v>
      </c>
      <c r="AJ74" s="14">
        <v>2024.0</v>
      </c>
      <c r="AK74" s="44" t="s">
        <v>70</v>
      </c>
    </row>
    <row r="75" ht="15.75" customHeight="1">
      <c r="A75" s="41">
        <f t="shared" si="1"/>
        <v>73</v>
      </c>
      <c r="B75" s="42" t="s">
        <v>879</v>
      </c>
      <c r="C75" s="42" t="s">
        <v>880</v>
      </c>
      <c r="D75" s="11" t="str">
        <f>IFERROR(__xludf.DUMMYFUNCTION("REGEXEXTRACT(C75,""[A-Z]{2,}"")"),"FMDS")</f>
        <v>FMDS</v>
      </c>
      <c r="E75" s="43" t="s">
        <v>48</v>
      </c>
      <c r="F75" s="43" t="s">
        <v>73</v>
      </c>
      <c r="G75" s="43" t="s">
        <v>50</v>
      </c>
      <c r="H75" s="43">
        <v>0.25</v>
      </c>
      <c r="I75" s="43">
        <v>23.0</v>
      </c>
      <c r="J75" s="14" t="s">
        <v>881</v>
      </c>
      <c r="K75" s="14" t="s">
        <v>882</v>
      </c>
      <c r="L75" s="42" t="s">
        <v>879</v>
      </c>
      <c r="M75" s="43" t="s">
        <v>48</v>
      </c>
      <c r="N75" s="14" t="s">
        <v>883</v>
      </c>
      <c r="O75" s="42" t="s">
        <v>879</v>
      </c>
      <c r="P75" s="14">
        <v>2021.0</v>
      </c>
      <c r="Q75" s="14" t="s">
        <v>418</v>
      </c>
      <c r="R75" s="14" t="s">
        <v>419</v>
      </c>
      <c r="S75" s="44" t="s">
        <v>57</v>
      </c>
      <c r="T75" s="16" t="s">
        <v>250</v>
      </c>
      <c r="U75" s="16" t="s">
        <v>59</v>
      </c>
      <c r="V75" s="45">
        <v>9.0</v>
      </c>
      <c r="Z75" s="46" t="s">
        <v>800</v>
      </c>
      <c r="AA75" s="47" t="s">
        <v>421</v>
      </c>
      <c r="AB75" s="16" t="s">
        <v>432</v>
      </c>
      <c r="AC75" s="16" t="s">
        <v>801</v>
      </c>
      <c r="AD75" s="47" t="s">
        <v>802</v>
      </c>
      <c r="AF75" s="16" t="s">
        <v>803</v>
      </c>
      <c r="AG75" s="16" t="s">
        <v>804</v>
      </c>
      <c r="AH75" s="14" t="s">
        <v>884</v>
      </c>
      <c r="AI75" s="14">
        <v>2021.0</v>
      </c>
      <c r="AJ75" s="14">
        <v>2021.0</v>
      </c>
      <c r="AK75" s="44" t="s">
        <v>70</v>
      </c>
    </row>
    <row r="76" ht="15.75" customHeight="1">
      <c r="A76" s="41">
        <f t="shared" si="1"/>
        <v>74</v>
      </c>
      <c r="B76" s="42" t="s">
        <v>885</v>
      </c>
      <c r="C76" s="42" t="s">
        <v>886</v>
      </c>
      <c r="D76" s="11" t="str">
        <f>IFERROR(__xludf.DUMMYFUNCTION("REGEXEXTRACT(C76,""[A-Z]{2,}"")"),"FMDS")</f>
        <v>FMDS</v>
      </c>
      <c r="E76" s="43" t="s">
        <v>48</v>
      </c>
      <c r="F76" s="43" t="s">
        <v>73</v>
      </c>
      <c r="G76" s="43" t="s">
        <v>50</v>
      </c>
      <c r="H76" s="43">
        <v>1.35</v>
      </c>
      <c r="I76" s="43">
        <v>79.0</v>
      </c>
      <c r="J76" s="14" t="s">
        <v>887</v>
      </c>
      <c r="K76" s="14" t="s">
        <v>888</v>
      </c>
      <c r="L76" s="42" t="s">
        <v>885</v>
      </c>
      <c r="M76" s="43" t="s">
        <v>48</v>
      </c>
      <c r="N76" s="14" t="s">
        <v>889</v>
      </c>
      <c r="O76" s="42" t="s">
        <v>885</v>
      </c>
      <c r="P76" s="14">
        <v>2025.0</v>
      </c>
      <c r="Q76" s="14" t="s">
        <v>418</v>
      </c>
      <c r="R76" s="14" t="s">
        <v>419</v>
      </c>
      <c r="S76" s="44" t="s">
        <v>57</v>
      </c>
      <c r="T76" s="16" t="s">
        <v>250</v>
      </c>
      <c r="U76" s="16" t="s">
        <v>59</v>
      </c>
      <c r="V76" s="45">
        <v>9.0</v>
      </c>
      <c r="Z76" s="46" t="s">
        <v>800</v>
      </c>
      <c r="AA76" s="47" t="s">
        <v>421</v>
      </c>
      <c r="AB76" s="16" t="s">
        <v>432</v>
      </c>
      <c r="AC76" s="16" t="s">
        <v>801</v>
      </c>
      <c r="AD76" s="47" t="s">
        <v>802</v>
      </c>
      <c r="AF76" s="16" t="s">
        <v>803</v>
      </c>
      <c r="AG76" s="16" t="s">
        <v>804</v>
      </c>
      <c r="AH76" s="14" t="s">
        <v>890</v>
      </c>
      <c r="AI76" s="14">
        <v>2025.0</v>
      </c>
      <c r="AJ76" s="14">
        <v>2025.0</v>
      </c>
      <c r="AK76" s="44" t="s">
        <v>70</v>
      </c>
    </row>
    <row r="77" ht="15.75" customHeight="1">
      <c r="A77" s="41">
        <f t="shared" si="1"/>
        <v>75</v>
      </c>
      <c r="B77" s="42" t="s">
        <v>891</v>
      </c>
      <c r="C77" s="42" t="s">
        <v>892</v>
      </c>
      <c r="D77" s="11" t="str">
        <f>IFERROR(__xludf.DUMMYFUNCTION("REGEXEXTRACT(C77,""[A-Z]{2,}"")"),"FMDS")</f>
        <v>FMDS</v>
      </c>
      <c r="E77" s="43" t="s">
        <v>48</v>
      </c>
      <c r="F77" s="43" t="s">
        <v>73</v>
      </c>
      <c r="G77" s="43" t="s">
        <v>50</v>
      </c>
      <c r="H77" s="43">
        <v>0.31</v>
      </c>
      <c r="I77" s="43">
        <v>25.0</v>
      </c>
      <c r="J77" s="14" t="s">
        <v>893</v>
      </c>
      <c r="K77" s="14" t="s">
        <v>894</v>
      </c>
      <c r="L77" s="42" t="s">
        <v>891</v>
      </c>
      <c r="M77" s="43" t="s">
        <v>48</v>
      </c>
      <c r="N77" s="14" t="s">
        <v>895</v>
      </c>
      <c r="O77" s="42" t="s">
        <v>891</v>
      </c>
      <c r="P77" s="14">
        <v>2025.0</v>
      </c>
      <c r="Q77" s="14" t="s">
        <v>418</v>
      </c>
      <c r="R77" s="14" t="s">
        <v>419</v>
      </c>
      <c r="S77" s="44" t="s">
        <v>57</v>
      </c>
      <c r="T77" s="16" t="s">
        <v>250</v>
      </c>
      <c r="U77" s="16" t="s">
        <v>59</v>
      </c>
      <c r="V77" s="45">
        <v>9.0</v>
      </c>
      <c r="Z77" s="46" t="s">
        <v>800</v>
      </c>
      <c r="AA77" s="47" t="s">
        <v>421</v>
      </c>
      <c r="AB77" s="16" t="s">
        <v>432</v>
      </c>
      <c r="AC77" s="16" t="s">
        <v>801</v>
      </c>
      <c r="AD77" s="47" t="s">
        <v>802</v>
      </c>
      <c r="AF77" s="16" t="s">
        <v>803</v>
      </c>
      <c r="AG77" s="16" t="s">
        <v>804</v>
      </c>
      <c r="AH77" s="14" t="s">
        <v>896</v>
      </c>
      <c r="AI77" s="14">
        <v>2025.0</v>
      </c>
      <c r="AJ77" s="14">
        <v>2025.0</v>
      </c>
      <c r="AK77" s="44" t="s">
        <v>70</v>
      </c>
    </row>
    <row r="78" ht="15.75" customHeight="1">
      <c r="A78" s="41">
        <f t="shared" si="1"/>
        <v>76</v>
      </c>
      <c r="B78" s="42" t="s">
        <v>897</v>
      </c>
      <c r="C78" s="42" t="s">
        <v>898</v>
      </c>
      <c r="D78" s="11" t="str">
        <f>IFERROR(__xludf.DUMMYFUNCTION("REGEXEXTRACT(C78,""[A-Z]{2,}"")"),"FMDS")</f>
        <v>FMDS</v>
      </c>
      <c r="E78" s="43" t="s">
        <v>48</v>
      </c>
      <c r="F78" s="43" t="s">
        <v>73</v>
      </c>
      <c r="G78" s="43" t="s">
        <v>50</v>
      </c>
      <c r="H78" s="43">
        <v>0.48</v>
      </c>
      <c r="I78" s="43">
        <v>26.0</v>
      </c>
      <c r="J78" s="14" t="s">
        <v>899</v>
      </c>
      <c r="K78" s="14" t="s">
        <v>900</v>
      </c>
      <c r="L78" s="42" t="s">
        <v>897</v>
      </c>
      <c r="M78" s="43" t="s">
        <v>48</v>
      </c>
      <c r="N78" s="14" t="s">
        <v>901</v>
      </c>
      <c r="O78" s="42" t="s">
        <v>897</v>
      </c>
      <c r="P78" s="14">
        <v>2007.0</v>
      </c>
      <c r="Q78" s="14" t="s">
        <v>418</v>
      </c>
      <c r="R78" s="14" t="s">
        <v>419</v>
      </c>
      <c r="S78" s="44" t="s">
        <v>57</v>
      </c>
      <c r="T78" s="16" t="s">
        <v>250</v>
      </c>
      <c r="U78" s="16" t="s">
        <v>59</v>
      </c>
      <c r="V78" s="45">
        <v>9.0</v>
      </c>
      <c r="Z78" s="46" t="s">
        <v>60</v>
      </c>
      <c r="AA78" s="47" t="s">
        <v>421</v>
      </c>
      <c r="AB78" s="16" t="s">
        <v>432</v>
      </c>
      <c r="AC78" s="47" t="s">
        <v>63</v>
      </c>
      <c r="AD78" s="47" t="s">
        <v>423</v>
      </c>
      <c r="AE78" s="14" t="s">
        <v>902</v>
      </c>
      <c r="AF78" s="47" t="s">
        <v>65</v>
      </c>
      <c r="AG78" s="16" t="s">
        <v>853</v>
      </c>
      <c r="AH78" s="14" t="s">
        <v>903</v>
      </c>
      <c r="AI78" s="14">
        <v>2007.0</v>
      </c>
      <c r="AJ78" s="14">
        <v>2007.0</v>
      </c>
      <c r="AK78" s="44" t="s">
        <v>70</v>
      </c>
    </row>
    <row r="79" ht="15.75" customHeight="1">
      <c r="A79" s="41">
        <f t="shared" si="1"/>
        <v>77</v>
      </c>
      <c r="B79" s="42" t="s">
        <v>904</v>
      </c>
      <c r="C79" s="42" t="s">
        <v>905</v>
      </c>
      <c r="D79" s="11" t="str">
        <f>IFERROR(__xludf.DUMMYFUNCTION("REGEXEXTRACT(C79,""[A-Z]{2,}"")"),"FMDS")</f>
        <v>FMDS</v>
      </c>
      <c r="E79" s="43" t="s">
        <v>48</v>
      </c>
      <c r="F79" s="43" t="s">
        <v>73</v>
      </c>
      <c r="G79" s="43" t="s">
        <v>50</v>
      </c>
      <c r="H79" s="43">
        <v>0.47</v>
      </c>
      <c r="I79" s="43">
        <v>32.0</v>
      </c>
      <c r="J79" s="14" t="s">
        <v>906</v>
      </c>
      <c r="K79" s="14" t="s">
        <v>907</v>
      </c>
      <c r="L79" s="42" t="s">
        <v>904</v>
      </c>
      <c r="M79" s="43" t="s">
        <v>48</v>
      </c>
      <c r="N79" s="14" t="s">
        <v>908</v>
      </c>
      <c r="O79" s="42" t="s">
        <v>904</v>
      </c>
      <c r="P79" s="14">
        <v>2025.0</v>
      </c>
      <c r="Q79" s="14" t="s">
        <v>418</v>
      </c>
      <c r="R79" s="14" t="s">
        <v>419</v>
      </c>
      <c r="S79" s="44" t="s">
        <v>57</v>
      </c>
      <c r="T79" s="16" t="s">
        <v>250</v>
      </c>
      <c r="U79" s="16" t="s">
        <v>59</v>
      </c>
      <c r="V79" s="45">
        <v>9.0</v>
      </c>
      <c r="Z79" s="46" t="s">
        <v>60</v>
      </c>
      <c r="AA79" s="47" t="s">
        <v>421</v>
      </c>
      <c r="AB79" s="16" t="s">
        <v>432</v>
      </c>
      <c r="AC79" s="47" t="s">
        <v>63</v>
      </c>
      <c r="AD79" s="47" t="s">
        <v>423</v>
      </c>
      <c r="AE79" s="14" t="s">
        <v>902</v>
      </c>
      <c r="AF79" s="47" t="s">
        <v>65</v>
      </c>
      <c r="AG79" s="16" t="s">
        <v>853</v>
      </c>
      <c r="AH79" s="14" t="s">
        <v>909</v>
      </c>
      <c r="AI79" s="14">
        <v>2025.0</v>
      </c>
      <c r="AJ79" s="14">
        <v>2025.0</v>
      </c>
      <c r="AK79" s="44" t="s">
        <v>70</v>
      </c>
    </row>
    <row r="80" ht="15.75" customHeight="1">
      <c r="A80" s="41">
        <f t="shared" si="1"/>
        <v>78</v>
      </c>
      <c r="B80" s="42" t="s">
        <v>910</v>
      </c>
      <c r="C80" s="42" t="s">
        <v>911</v>
      </c>
      <c r="D80" s="11" t="str">
        <f>IFERROR(__xludf.DUMMYFUNCTION("REGEXEXTRACT(C80,""[A-Z]{2,}"")"),"FMDS")</f>
        <v>FMDS</v>
      </c>
      <c r="E80" s="43" t="s">
        <v>48</v>
      </c>
      <c r="F80" s="43" t="s">
        <v>73</v>
      </c>
      <c r="G80" s="43" t="s">
        <v>50</v>
      </c>
      <c r="H80" s="43">
        <v>0.08</v>
      </c>
      <c r="I80" s="43">
        <v>8.0</v>
      </c>
      <c r="J80" s="14" t="s">
        <v>912</v>
      </c>
      <c r="K80" s="14" t="s">
        <v>913</v>
      </c>
      <c r="L80" s="42" t="s">
        <v>910</v>
      </c>
      <c r="M80" s="43" t="s">
        <v>48</v>
      </c>
      <c r="N80" s="14" t="s">
        <v>914</v>
      </c>
      <c r="O80" s="42" t="s">
        <v>910</v>
      </c>
      <c r="P80" s="14">
        <v>2018.0</v>
      </c>
      <c r="Q80" s="14" t="s">
        <v>418</v>
      </c>
      <c r="R80" s="14" t="s">
        <v>419</v>
      </c>
      <c r="S80" s="44" t="s">
        <v>57</v>
      </c>
      <c r="T80" s="16" t="s">
        <v>250</v>
      </c>
      <c r="U80" s="16" t="s">
        <v>59</v>
      </c>
      <c r="V80" s="45">
        <v>9.0</v>
      </c>
      <c r="Z80" s="46" t="s">
        <v>60</v>
      </c>
      <c r="AA80" s="47" t="s">
        <v>421</v>
      </c>
      <c r="AB80" s="16" t="s">
        <v>432</v>
      </c>
      <c r="AC80" s="47" t="s">
        <v>63</v>
      </c>
      <c r="AD80" s="47" t="s">
        <v>423</v>
      </c>
      <c r="AE80" s="14" t="s">
        <v>902</v>
      </c>
      <c r="AF80" s="47" t="s">
        <v>65</v>
      </c>
      <c r="AG80" s="16" t="s">
        <v>853</v>
      </c>
      <c r="AH80" s="14" t="s">
        <v>915</v>
      </c>
      <c r="AI80" s="14">
        <v>2018.0</v>
      </c>
      <c r="AJ80" s="14">
        <v>2018.0</v>
      </c>
      <c r="AK80" s="44" t="s">
        <v>70</v>
      </c>
    </row>
    <row r="81" ht="15.75" customHeight="1">
      <c r="A81" s="41">
        <f t="shared" si="1"/>
        <v>79</v>
      </c>
      <c r="B81" s="42" t="s">
        <v>916</v>
      </c>
      <c r="C81" s="42" t="s">
        <v>917</v>
      </c>
      <c r="D81" s="11" t="str">
        <f>IFERROR(__xludf.DUMMYFUNCTION("REGEXEXTRACT(C81,""[A-Z]{2,}"")"),"FMDS")</f>
        <v>FMDS</v>
      </c>
      <c r="E81" s="43" t="s">
        <v>48</v>
      </c>
      <c r="F81" s="43" t="s">
        <v>73</v>
      </c>
      <c r="G81" s="43" t="s">
        <v>50</v>
      </c>
      <c r="H81" s="43">
        <v>0.28</v>
      </c>
      <c r="I81" s="43">
        <v>28.0</v>
      </c>
      <c r="J81" s="14" t="s">
        <v>918</v>
      </c>
      <c r="K81" s="14" t="s">
        <v>919</v>
      </c>
      <c r="L81" s="42" t="s">
        <v>916</v>
      </c>
      <c r="M81" s="43" t="s">
        <v>48</v>
      </c>
      <c r="N81" s="14" t="s">
        <v>920</v>
      </c>
      <c r="O81" s="42" t="s">
        <v>916</v>
      </c>
      <c r="P81" s="14">
        <v>2001.0</v>
      </c>
      <c r="Q81" s="14" t="s">
        <v>418</v>
      </c>
      <c r="R81" s="14" t="s">
        <v>419</v>
      </c>
      <c r="S81" s="44" t="s">
        <v>57</v>
      </c>
      <c r="T81" s="16" t="s">
        <v>250</v>
      </c>
      <c r="U81" s="16" t="s">
        <v>59</v>
      </c>
      <c r="V81" s="45">
        <v>9.0</v>
      </c>
      <c r="Z81" s="46" t="s">
        <v>800</v>
      </c>
      <c r="AA81" s="47" t="s">
        <v>421</v>
      </c>
      <c r="AB81" s="16" t="s">
        <v>432</v>
      </c>
      <c r="AC81" s="16" t="s">
        <v>801</v>
      </c>
      <c r="AD81" s="47" t="s">
        <v>802</v>
      </c>
      <c r="AF81" s="16" t="s">
        <v>921</v>
      </c>
      <c r="AG81" s="16" t="s">
        <v>630</v>
      </c>
      <c r="AH81" s="14" t="s">
        <v>922</v>
      </c>
      <c r="AI81" s="14">
        <v>2001.0</v>
      </c>
      <c r="AJ81" s="14">
        <v>2001.0</v>
      </c>
      <c r="AK81" s="44" t="s">
        <v>70</v>
      </c>
    </row>
    <row r="82" ht="15.75" customHeight="1">
      <c r="A82" s="41">
        <f t="shared" si="1"/>
        <v>80</v>
      </c>
      <c r="B82" s="42" t="s">
        <v>923</v>
      </c>
      <c r="C82" s="42" t="s">
        <v>924</v>
      </c>
      <c r="D82" s="11" t="str">
        <f>IFERROR(__xludf.DUMMYFUNCTION("REGEXEXTRACT(C82,""[A-Z]{2,}"")"),"FMDS")</f>
        <v>FMDS</v>
      </c>
      <c r="E82" s="43" t="s">
        <v>48</v>
      </c>
      <c r="F82" s="43" t="s">
        <v>73</v>
      </c>
      <c r="G82" s="48" t="s">
        <v>50</v>
      </c>
      <c r="H82" s="43">
        <v>0.16</v>
      </c>
      <c r="I82" s="43">
        <v>23.0</v>
      </c>
      <c r="J82" s="14" t="s">
        <v>925</v>
      </c>
      <c r="K82" s="14" t="s">
        <v>926</v>
      </c>
      <c r="L82" s="42" t="s">
        <v>923</v>
      </c>
      <c r="M82" s="43" t="s">
        <v>48</v>
      </c>
      <c r="N82" s="14" t="s">
        <v>927</v>
      </c>
      <c r="O82" s="42" t="s">
        <v>923</v>
      </c>
      <c r="P82" s="14">
        <v>2023.0</v>
      </c>
      <c r="Q82" s="14" t="s">
        <v>418</v>
      </c>
      <c r="R82" s="14" t="s">
        <v>419</v>
      </c>
      <c r="S82" s="44" t="s">
        <v>57</v>
      </c>
      <c r="T82" s="16" t="s">
        <v>250</v>
      </c>
      <c r="U82" s="16" t="s">
        <v>59</v>
      </c>
      <c r="V82" s="45">
        <v>9.0</v>
      </c>
      <c r="Z82" s="46" t="s">
        <v>800</v>
      </c>
      <c r="AA82" s="47" t="s">
        <v>421</v>
      </c>
      <c r="AB82" s="16" t="s">
        <v>432</v>
      </c>
      <c r="AC82" s="16" t="s">
        <v>801</v>
      </c>
      <c r="AD82" s="47" t="s">
        <v>802</v>
      </c>
      <c r="AF82" s="16" t="s">
        <v>921</v>
      </c>
      <c r="AG82" s="16" t="s">
        <v>630</v>
      </c>
      <c r="AH82" s="14" t="s">
        <v>928</v>
      </c>
      <c r="AI82" s="14">
        <v>2023.0</v>
      </c>
      <c r="AJ82" s="14">
        <v>2023.0</v>
      </c>
      <c r="AK82" s="44" t="s">
        <v>70</v>
      </c>
    </row>
    <row r="83" ht="15.75" customHeight="1">
      <c r="A83" s="49">
        <f t="shared" si="1"/>
        <v>81</v>
      </c>
      <c r="B83" s="42" t="s">
        <v>929</v>
      </c>
      <c r="C83" s="42" t="s">
        <v>930</v>
      </c>
      <c r="D83" s="11" t="str">
        <f>IFERROR(__xludf.DUMMYFUNCTION("REGEXEXTRACT(C83,""[A-Z]{2,}"")"),"FMDS")</f>
        <v>FMDS</v>
      </c>
      <c r="E83" s="43" t="s">
        <v>48</v>
      </c>
      <c r="F83" s="43" t="s">
        <v>73</v>
      </c>
      <c r="G83" s="48" t="s">
        <v>931</v>
      </c>
      <c r="H83" s="50">
        <v>13.35</v>
      </c>
      <c r="I83" s="50">
        <v>14.0</v>
      </c>
      <c r="J83" s="51" t="s">
        <v>932</v>
      </c>
      <c r="K83" s="14" t="s">
        <v>933</v>
      </c>
      <c r="L83" s="42" t="s">
        <v>929</v>
      </c>
      <c r="M83" s="43" t="s">
        <v>48</v>
      </c>
      <c r="N83" s="14" t="s">
        <v>934</v>
      </c>
      <c r="O83" s="42" t="s">
        <v>929</v>
      </c>
      <c r="P83" s="14">
        <v>2024.0</v>
      </c>
      <c r="Q83" s="14" t="s">
        <v>418</v>
      </c>
      <c r="R83" s="14" t="s">
        <v>419</v>
      </c>
      <c r="S83" s="44" t="s">
        <v>57</v>
      </c>
      <c r="T83" s="16" t="s">
        <v>250</v>
      </c>
      <c r="U83" s="16" t="s">
        <v>59</v>
      </c>
      <c r="V83" s="45">
        <v>9.0</v>
      </c>
      <c r="Z83" s="46" t="s">
        <v>800</v>
      </c>
      <c r="AA83" s="47" t="s">
        <v>421</v>
      </c>
      <c r="AB83" s="16" t="s">
        <v>432</v>
      </c>
      <c r="AC83" s="16" t="s">
        <v>801</v>
      </c>
      <c r="AD83" s="47" t="s">
        <v>802</v>
      </c>
      <c r="AF83" s="16" t="s">
        <v>921</v>
      </c>
      <c r="AG83" s="16" t="s">
        <v>630</v>
      </c>
      <c r="AH83" s="14" t="s">
        <v>935</v>
      </c>
      <c r="AI83" s="14">
        <v>2024.0</v>
      </c>
      <c r="AJ83" s="14">
        <v>2024.0</v>
      </c>
      <c r="AK83" s="44" t="s">
        <v>70</v>
      </c>
    </row>
    <row r="84" ht="15.75" customHeight="1">
      <c r="A84" s="41">
        <f t="shared" si="1"/>
        <v>82</v>
      </c>
      <c r="B84" s="42" t="s">
        <v>936</v>
      </c>
      <c r="C84" s="42" t="s">
        <v>937</v>
      </c>
      <c r="D84" s="11" t="str">
        <f>IFERROR(__xludf.DUMMYFUNCTION("REGEXEXTRACT(C84,""[A-Z]{2,}"")"),"FMDS")</f>
        <v>FMDS</v>
      </c>
      <c r="E84" s="43" t="s">
        <v>48</v>
      </c>
      <c r="F84" s="43" t="s">
        <v>73</v>
      </c>
      <c r="G84" s="43" t="s">
        <v>50</v>
      </c>
      <c r="H84" s="43">
        <v>0.47</v>
      </c>
      <c r="I84" s="43">
        <v>26.0</v>
      </c>
      <c r="J84" s="14" t="s">
        <v>938</v>
      </c>
      <c r="K84" s="14" t="s">
        <v>939</v>
      </c>
      <c r="L84" s="42" t="s">
        <v>936</v>
      </c>
      <c r="M84" s="43" t="s">
        <v>48</v>
      </c>
      <c r="N84" s="14" t="s">
        <v>940</v>
      </c>
      <c r="O84" s="42" t="s">
        <v>936</v>
      </c>
      <c r="P84" s="14">
        <v>2024.0</v>
      </c>
      <c r="Q84" s="14" t="s">
        <v>418</v>
      </c>
      <c r="R84" s="14" t="s">
        <v>419</v>
      </c>
      <c r="S84" s="44" t="s">
        <v>57</v>
      </c>
      <c r="T84" s="16" t="s">
        <v>250</v>
      </c>
      <c r="U84" s="16" t="s">
        <v>59</v>
      </c>
      <c r="V84" s="45">
        <v>9.0</v>
      </c>
      <c r="Z84" s="46" t="s">
        <v>800</v>
      </c>
      <c r="AA84" s="47" t="s">
        <v>421</v>
      </c>
      <c r="AB84" s="16" t="s">
        <v>432</v>
      </c>
      <c r="AC84" s="16" t="s">
        <v>801</v>
      </c>
      <c r="AD84" s="47" t="s">
        <v>802</v>
      </c>
      <c r="AF84" s="16" t="s">
        <v>921</v>
      </c>
      <c r="AG84" s="16" t="s">
        <v>630</v>
      </c>
      <c r="AH84" s="14" t="s">
        <v>941</v>
      </c>
      <c r="AI84" s="14">
        <v>2024.0</v>
      </c>
      <c r="AJ84" s="14">
        <v>2024.0</v>
      </c>
      <c r="AK84" s="44" t="s">
        <v>70</v>
      </c>
    </row>
    <row r="85" ht="15.75" customHeight="1">
      <c r="A85" s="41">
        <f t="shared" si="1"/>
        <v>83</v>
      </c>
      <c r="B85" s="42" t="s">
        <v>942</v>
      </c>
      <c r="C85" s="42" t="s">
        <v>943</v>
      </c>
      <c r="D85" s="11" t="str">
        <f>IFERROR(__xludf.DUMMYFUNCTION("REGEXEXTRACT(C85,""[A-Z]{2,}"")"),"FMDS")</f>
        <v>FMDS</v>
      </c>
      <c r="E85" s="43" t="s">
        <v>48</v>
      </c>
      <c r="F85" s="43" t="s">
        <v>73</v>
      </c>
      <c r="G85" s="43" t="s">
        <v>50</v>
      </c>
      <c r="H85" s="43">
        <v>0.12</v>
      </c>
      <c r="I85" s="43">
        <v>24.0</v>
      </c>
      <c r="J85" s="14" t="s">
        <v>944</v>
      </c>
      <c r="K85" s="14" t="s">
        <v>945</v>
      </c>
      <c r="L85" s="42" t="s">
        <v>942</v>
      </c>
      <c r="M85" s="43" t="s">
        <v>48</v>
      </c>
      <c r="N85" s="14" t="s">
        <v>946</v>
      </c>
      <c r="O85" s="42" t="s">
        <v>942</v>
      </c>
      <c r="P85" s="14">
        <v>2023.0</v>
      </c>
      <c r="Q85" s="14" t="s">
        <v>418</v>
      </c>
      <c r="R85" s="14" t="s">
        <v>419</v>
      </c>
      <c r="S85" s="44" t="s">
        <v>57</v>
      </c>
      <c r="T85" s="16" t="s">
        <v>250</v>
      </c>
      <c r="U85" s="16" t="s">
        <v>59</v>
      </c>
      <c r="V85" s="45">
        <v>9.0</v>
      </c>
      <c r="Z85" s="46" t="s">
        <v>800</v>
      </c>
      <c r="AA85" s="47" t="s">
        <v>421</v>
      </c>
      <c r="AB85" s="16" t="s">
        <v>432</v>
      </c>
      <c r="AC85" s="16" t="s">
        <v>801</v>
      </c>
      <c r="AD85" s="47" t="s">
        <v>802</v>
      </c>
      <c r="AF85" s="16" t="s">
        <v>921</v>
      </c>
      <c r="AG85" s="16" t="s">
        <v>630</v>
      </c>
      <c r="AH85" s="14" t="s">
        <v>947</v>
      </c>
      <c r="AI85" s="14">
        <v>2023.0</v>
      </c>
      <c r="AJ85" s="14">
        <v>2023.0</v>
      </c>
      <c r="AK85" s="44" t="s">
        <v>70</v>
      </c>
    </row>
    <row r="86" ht="15.75" customHeight="1">
      <c r="A86" s="41">
        <f t="shared" si="1"/>
        <v>84</v>
      </c>
      <c r="B86" s="42" t="s">
        <v>948</v>
      </c>
      <c r="C86" s="42" t="s">
        <v>949</v>
      </c>
      <c r="D86" s="11" t="str">
        <f>IFERROR(__xludf.DUMMYFUNCTION("REGEXEXTRACT(C86,""[A-Z]{2,}"")"),"FMDS")</f>
        <v>FMDS</v>
      </c>
      <c r="E86" s="43" t="s">
        <v>48</v>
      </c>
      <c r="F86" s="43" t="s">
        <v>73</v>
      </c>
      <c r="G86" s="43" t="s">
        <v>50</v>
      </c>
      <c r="H86" s="43">
        <v>0.13</v>
      </c>
      <c r="I86" s="43">
        <v>12.0</v>
      </c>
      <c r="J86" s="14" t="s">
        <v>950</v>
      </c>
      <c r="K86" s="14" t="s">
        <v>951</v>
      </c>
      <c r="L86" s="42" t="s">
        <v>948</v>
      </c>
      <c r="M86" s="43" t="s">
        <v>48</v>
      </c>
      <c r="N86" s="14" t="s">
        <v>952</v>
      </c>
      <c r="O86" s="42" t="s">
        <v>948</v>
      </c>
      <c r="P86" s="14">
        <v>2002.0</v>
      </c>
      <c r="Q86" s="14" t="s">
        <v>418</v>
      </c>
      <c r="R86" s="14" t="s">
        <v>419</v>
      </c>
      <c r="S86" s="44" t="s">
        <v>57</v>
      </c>
      <c r="T86" s="16" t="s">
        <v>250</v>
      </c>
      <c r="U86" s="16" t="s">
        <v>59</v>
      </c>
      <c r="V86" s="45">
        <v>9.0</v>
      </c>
      <c r="Z86" s="46" t="s">
        <v>800</v>
      </c>
      <c r="AA86" s="47" t="s">
        <v>421</v>
      </c>
      <c r="AB86" s="16" t="s">
        <v>432</v>
      </c>
      <c r="AC86" s="16" t="s">
        <v>801</v>
      </c>
      <c r="AD86" s="47" t="s">
        <v>802</v>
      </c>
      <c r="AF86" s="16" t="s">
        <v>921</v>
      </c>
      <c r="AG86" s="16" t="s">
        <v>630</v>
      </c>
      <c r="AH86" s="14" t="s">
        <v>953</v>
      </c>
      <c r="AI86" s="14">
        <v>2002.0</v>
      </c>
      <c r="AJ86" s="14">
        <v>2002.0</v>
      </c>
      <c r="AK86" s="44" t="s">
        <v>70</v>
      </c>
    </row>
    <row r="87" ht="15.75" customHeight="1">
      <c r="A87" s="41">
        <f t="shared" si="1"/>
        <v>85</v>
      </c>
      <c r="B87" s="42" t="s">
        <v>954</v>
      </c>
      <c r="C87" s="42" t="s">
        <v>955</v>
      </c>
      <c r="D87" s="11" t="str">
        <f>IFERROR(__xludf.DUMMYFUNCTION("REGEXEXTRACT(C87,""[A-Z]{2,}"")"),"FMDS")</f>
        <v>FMDS</v>
      </c>
      <c r="E87" s="43" t="s">
        <v>48</v>
      </c>
      <c r="F87" s="43" t="s">
        <v>73</v>
      </c>
      <c r="G87" s="43" t="s">
        <v>50</v>
      </c>
      <c r="H87" s="43">
        <v>0.19</v>
      </c>
      <c r="I87" s="43">
        <v>12.0</v>
      </c>
      <c r="J87" s="14" t="s">
        <v>956</v>
      </c>
      <c r="K87" s="14" t="s">
        <v>957</v>
      </c>
      <c r="L87" s="42" t="s">
        <v>954</v>
      </c>
      <c r="M87" s="43" t="s">
        <v>48</v>
      </c>
      <c r="N87" s="14" t="s">
        <v>958</v>
      </c>
      <c r="O87" s="42" t="s">
        <v>954</v>
      </c>
      <c r="P87" s="14">
        <v>2021.0</v>
      </c>
      <c r="Q87" s="14" t="s">
        <v>418</v>
      </c>
      <c r="R87" s="14" t="s">
        <v>419</v>
      </c>
      <c r="S87" s="44" t="s">
        <v>57</v>
      </c>
      <c r="T87" s="16" t="s">
        <v>250</v>
      </c>
      <c r="U87" s="16" t="s">
        <v>59</v>
      </c>
      <c r="V87" s="45">
        <v>9.0</v>
      </c>
      <c r="Z87" s="46" t="s">
        <v>800</v>
      </c>
      <c r="AA87" s="47" t="s">
        <v>421</v>
      </c>
      <c r="AB87" s="16" t="s">
        <v>432</v>
      </c>
      <c r="AC87" s="16" t="s">
        <v>801</v>
      </c>
      <c r="AD87" s="47" t="s">
        <v>802</v>
      </c>
      <c r="AF87" s="16" t="s">
        <v>921</v>
      </c>
      <c r="AG87" s="16" t="s">
        <v>630</v>
      </c>
      <c r="AH87" s="14" t="s">
        <v>959</v>
      </c>
      <c r="AI87" s="14">
        <v>2021.0</v>
      </c>
      <c r="AJ87" s="14">
        <v>2021.0</v>
      </c>
      <c r="AK87" s="44" t="s">
        <v>70</v>
      </c>
    </row>
    <row r="88" ht="15.75" customHeight="1">
      <c r="A88" s="41">
        <f t="shared" si="1"/>
        <v>86</v>
      </c>
      <c r="B88" s="42" t="s">
        <v>960</v>
      </c>
      <c r="C88" s="42" t="s">
        <v>961</v>
      </c>
      <c r="D88" s="11" t="str">
        <f>IFERROR(__xludf.DUMMYFUNCTION("REGEXEXTRACT(C88,""[A-Z]{2,}"")"),"FMDS")</f>
        <v>FMDS</v>
      </c>
      <c r="E88" s="43" t="s">
        <v>48</v>
      </c>
      <c r="F88" s="43" t="s">
        <v>73</v>
      </c>
      <c r="G88" s="43" t="s">
        <v>50</v>
      </c>
      <c r="H88" s="43">
        <v>0.25</v>
      </c>
      <c r="I88" s="43">
        <v>44.0</v>
      </c>
      <c r="J88" s="14" t="s">
        <v>962</v>
      </c>
      <c r="K88" s="14" t="s">
        <v>963</v>
      </c>
      <c r="L88" s="42" t="s">
        <v>960</v>
      </c>
      <c r="M88" s="43" t="s">
        <v>48</v>
      </c>
      <c r="N88" s="14" t="s">
        <v>964</v>
      </c>
      <c r="O88" s="42" t="s">
        <v>960</v>
      </c>
      <c r="P88" s="14">
        <v>2021.0</v>
      </c>
      <c r="Q88" s="14" t="s">
        <v>418</v>
      </c>
      <c r="R88" s="14" t="s">
        <v>419</v>
      </c>
      <c r="S88" s="44" t="s">
        <v>57</v>
      </c>
      <c r="T88" s="16" t="s">
        <v>250</v>
      </c>
      <c r="U88" s="16" t="s">
        <v>59</v>
      </c>
      <c r="V88" s="45">
        <v>9.0</v>
      </c>
      <c r="Z88" s="46" t="s">
        <v>800</v>
      </c>
      <c r="AA88" s="47" t="s">
        <v>421</v>
      </c>
      <c r="AB88" s="16" t="s">
        <v>432</v>
      </c>
      <c r="AC88" s="16" t="s">
        <v>801</v>
      </c>
      <c r="AD88" s="47" t="s">
        <v>802</v>
      </c>
      <c r="AF88" s="16" t="s">
        <v>921</v>
      </c>
      <c r="AG88" s="16" t="s">
        <v>630</v>
      </c>
      <c r="AH88" s="14" t="s">
        <v>965</v>
      </c>
      <c r="AI88" s="14">
        <v>2021.0</v>
      </c>
      <c r="AJ88" s="14">
        <v>2021.0</v>
      </c>
      <c r="AK88" s="44" t="s">
        <v>70</v>
      </c>
    </row>
    <row r="89" ht="15.75" customHeight="1">
      <c r="A89" s="41">
        <f t="shared" si="1"/>
        <v>87</v>
      </c>
      <c r="B89" s="42" t="s">
        <v>966</v>
      </c>
      <c r="C89" s="42" t="s">
        <v>967</v>
      </c>
      <c r="D89" s="11" t="str">
        <f>IFERROR(__xludf.DUMMYFUNCTION("REGEXEXTRACT(C89,""[A-Z]{2,}"")"),"FMDS")</f>
        <v>FMDS</v>
      </c>
      <c r="E89" s="43" t="s">
        <v>48</v>
      </c>
      <c r="F89" s="43" t="s">
        <v>73</v>
      </c>
      <c r="G89" s="43" t="s">
        <v>50</v>
      </c>
      <c r="H89" s="43">
        <v>0.92</v>
      </c>
      <c r="I89" s="43">
        <v>41.0</v>
      </c>
      <c r="J89" s="14" t="s">
        <v>968</v>
      </c>
      <c r="K89" s="14" t="s">
        <v>969</v>
      </c>
      <c r="L89" s="42" t="s">
        <v>966</v>
      </c>
      <c r="M89" s="43" t="s">
        <v>48</v>
      </c>
      <c r="N89" s="14" t="s">
        <v>970</v>
      </c>
      <c r="O89" s="42" t="s">
        <v>966</v>
      </c>
      <c r="P89" s="14">
        <v>2025.0</v>
      </c>
      <c r="Q89" s="14" t="s">
        <v>418</v>
      </c>
      <c r="R89" s="14" t="s">
        <v>419</v>
      </c>
      <c r="S89" s="44" t="s">
        <v>57</v>
      </c>
      <c r="T89" s="16" t="s">
        <v>250</v>
      </c>
      <c r="U89" s="16" t="s">
        <v>59</v>
      </c>
      <c r="V89" s="45">
        <v>9.0</v>
      </c>
      <c r="Z89" s="46" t="s">
        <v>800</v>
      </c>
      <c r="AA89" s="47" t="s">
        <v>421</v>
      </c>
      <c r="AB89" s="16" t="s">
        <v>432</v>
      </c>
      <c r="AC89" s="16" t="s">
        <v>801</v>
      </c>
      <c r="AD89" s="47" t="s">
        <v>802</v>
      </c>
      <c r="AF89" s="16" t="s">
        <v>921</v>
      </c>
      <c r="AG89" s="16" t="s">
        <v>630</v>
      </c>
      <c r="AH89" s="14" t="s">
        <v>971</v>
      </c>
      <c r="AI89" s="14">
        <v>2025.0</v>
      </c>
      <c r="AJ89" s="14">
        <v>2025.0</v>
      </c>
      <c r="AK89" s="44" t="s">
        <v>70</v>
      </c>
    </row>
    <row r="90" ht="15.75" customHeight="1">
      <c r="A90" s="41">
        <f t="shared" si="1"/>
        <v>88</v>
      </c>
      <c r="B90" s="42" t="s">
        <v>972</v>
      </c>
      <c r="C90" s="42" t="s">
        <v>973</v>
      </c>
      <c r="D90" s="11" t="str">
        <f>IFERROR(__xludf.DUMMYFUNCTION("REGEXEXTRACT(C90,""[A-Z]{2,}"")"),"FMDS")</f>
        <v>FMDS</v>
      </c>
      <c r="E90" s="43" t="s">
        <v>48</v>
      </c>
      <c r="F90" s="43" t="s">
        <v>73</v>
      </c>
      <c r="G90" s="43" t="s">
        <v>50</v>
      </c>
      <c r="H90" s="43">
        <v>0.16</v>
      </c>
      <c r="I90" s="43">
        <v>16.0</v>
      </c>
      <c r="J90" s="14" t="s">
        <v>974</v>
      </c>
      <c r="K90" s="14" t="s">
        <v>975</v>
      </c>
      <c r="L90" s="42" t="s">
        <v>972</v>
      </c>
      <c r="M90" s="43" t="s">
        <v>48</v>
      </c>
      <c r="N90" s="14" t="s">
        <v>976</v>
      </c>
      <c r="O90" s="42" t="s">
        <v>972</v>
      </c>
      <c r="P90" s="14">
        <v>2018.0</v>
      </c>
      <c r="Q90" s="14" t="s">
        <v>418</v>
      </c>
      <c r="R90" s="14" t="s">
        <v>419</v>
      </c>
      <c r="S90" s="44" t="s">
        <v>57</v>
      </c>
      <c r="T90" s="16" t="s">
        <v>250</v>
      </c>
      <c r="U90" s="16" t="s">
        <v>59</v>
      </c>
      <c r="V90" s="45">
        <v>9.0</v>
      </c>
      <c r="Z90" s="46" t="s">
        <v>800</v>
      </c>
      <c r="AA90" s="47" t="s">
        <v>421</v>
      </c>
      <c r="AB90" s="16" t="s">
        <v>432</v>
      </c>
      <c r="AC90" s="16" t="s">
        <v>801</v>
      </c>
      <c r="AD90" s="47" t="s">
        <v>802</v>
      </c>
      <c r="AF90" s="16" t="s">
        <v>921</v>
      </c>
      <c r="AG90" s="16" t="s">
        <v>630</v>
      </c>
      <c r="AH90" s="14" t="s">
        <v>977</v>
      </c>
      <c r="AI90" s="14">
        <v>2018.0</v>
      </c>
      <c r="AJ90" s="14">
        <v>2018.0</v>
      </c>
      <c r="AK90" s="44" t="s">
        <v>70</v>
      </c>
    </row>
    <row r="91" ht="15.75" customHeight="1">
      <c r="A91" s="41">
        <f t="shared" si="1"/>
        <v>89</v>
      </c>
      <c r="B91" s="42" t="s">
        <v>978</v>
      </c>
      <c r="C91" s="42" t="s">
        <v>979</v>
      </c>
      <c r="D91" s="11" t="str">
        <f>IFERROR(__xludf.DUMMYFUNCTION("REGEXEXTRACT(C91,""[A-Z]{2,}"")"),"FMDS")</f>
        <v>FMDS</v>
      </c>
      <c r="E91" s="43" t="s">
        <v>48</v>
      </c>
      <c r="F91" s="43" t="s">
        <v>73</v>
      </c>
      <c r="G91" s="43" t="s">
        <v>50</v>
      </c>
      <c r="H91" s="43">
        <v>0.57</v>
      </c>
      <c r="I91" s="43">
        <v>25.0</v>
      </c>
      <c r="J91" s="14" t="s">
        <v>980</v>
      </c>
      <c r="K91" s="14" t="s">
        <v>981</v>
      </c>
      <c r="L91" s="42" t="s">
        <v>978</v>
      </c>
      <c r="M91" s="43" t="s">
        <v>48</v>
      </c>
      <c r="N91" s="14" t="s">
        <v>982</v>
      </c>
      <c r="O91" s="42" t="s">
        <v>978</v>
      </c>
      <c r="P91" s="14">
        <v>2025.0</v>
      </c>
      <c r="Q91" s="14" t="s">
        <v>418</v>
      </c>
      <c r="R91" s="14" t="s">
        <v>419</v>
      </c>
      <c r="S91" s="44" t="s">
        <v>57</v>
      </c>
      <c r="T91" s="16" t="s">
        <v>250</v>
      </c>
      <c r="U91" s="16" t="s">
        <v>59</v>
      </c>
      <c r="V91" s="45">
        <v>9.0</v>
      </c>
      <c r="Z91" s="46" t="s">
        <v>800</v>
      </c>
      <c r="AA91" s="47" t="s">
        <v>421</v>
      </c>
      <c r="AB91" s="16" t="s">
        <v>432</v>
      </c>
      <c r="AC91" s="16" t="s">
        <v>801</v>
      </c>
      <c r="AD91" s="47" t="s">
        <v>802</v>
      </c>
      <c r="AF91" s="16" t="s">
        <v>921</v>
      </c>
      <c r="AG91" s="16" t="s">
        <v>630</v>
      </c>
      <c r="AH91" s="14" t="s">
        <v>983</v>
      </c>
      <c r="AI91" s="14">
        <v>2025.0</v>
      </c>
      <c r="AJ91" s="14">
        <v>2025.0</v>
      </c>
      <c r="AK91" s="44" t="s">
        <v>70</v>
      </c>
    </row>
    <row r="92" ht="15.75" customHeight="1">
      <c r="A92" s="41">
        <f t="shared" si="1"/>
        <v>90</v>
      </c>
      <c r="B92" s="42" t="s">
        <v>984</v>
      </c>
      <c r="C92" s="42" t="s">
        <v>985</v>
      </c>
      <c r="D92" s="11" t="str">
        <f>IFERROR(__xludf.DUMMYFUNCTION("REGEXEXTRACT(C92,""[A-Z]{2,}"")"),"FMDS")</f>
        <v>FMDS</v>
      </c>
      <c r="E92" s="43" t="s">
        <v>48</v>
      </c>
      <c r="F92" s="43" t="s">
        <v>73</v>
      </c>
      <c r="G92" s="43" t="s">
        <v>50</v>
      </c>
      <c r="H92" s="43">
        <v>0.74</v>
      </c>
      <c r="I92" s="43">
        <v>31.0</v>
      </c>
      <c r="J92" s="14" t="s">
        <v>986</v>
      </c>
      <c r="K92" s="14" t="s">
        <v>987</v>
      </c>
      <c r="L92" s="42" t="s">
        <v>984</v>
      </c>
      <c r="M92" s="43" t="s">
        <v>48</v>
      </c>
      <c r="N92" s="14" t="s">
        <v>988</v>
      </c>
      <c r="O92" s="42" t="s">
        <v>984</v>
      </c>
      <c r="P92" s="14">
        <v>2021.0</v>
      </c>
      <c r="Q92" s="14" t="s">
        <v>418</v>
      </c>
      <c r="R92" s="14" t="s">
        <v>419</v>
      </c>
      <c r="S92" s="44" t="s">
        <v>57</v>
      </c>
      <c r="T92" s="16" t="s">
        <v>250</v>
      </c>
      <c r="U92" s="16" t="s">
        <v>59</v>
      </c>
      <c r="V92" s="45">
        <v>9.0</v>
      </c>
      <c r="Z92" s="46" t="s">
        <v>800</v>
      </c>
      <c r="AA92" s="47" t="s">
        <v>421</v>
      </c>
      <c r="AB92" s="16" t="s">
        <v>432</v>
      </c>
      <c r="AC92" s="16" t="s">
        <v>801</v>
      </c>
      <c r="AD92" s="47" t="s">
        <v>802</v>
      </c>
      <c r="AF92" s="16" t="s">
        <v>921</v>
      </c>
      <c r="AG92" s="16" t="s">
        <v>630</v>
      </c>
      <c r="AH92" s="14" t="s">
        <v>989</v>
      </c>
      <c r="AI92" s="14">
        <v>2021.0</v>
      </c>
      <c r="AJ92" s="14">
        <v>2021.0</v>
      </c>
      <c r="AK92" s="44" t="s">
        <v>70</v>
      </c>
    </row>
    <row r="93" ht="15.75" customHeight="1">
      <c r="A93" s="41">
        <f t="shared" si="1"/>
        <v>91</v>
      </c>
      <c r="B93" s="42" t="s">
        <v>990</v>
      </c>
      <c r="C93" s="42" t="s">
        <v>991</v>
      </c>
      <c r="D93" s="11" t="str">
        <f>IFERROR(__xludf.DUMMYFUNCTION("REGEXEXTRACT(C93,""[A-Z]{2,}"")"),"FMDS")</f>
        <v>FMDS</v>
      </c>
      <c r="E93" s="43" t="s">
        <v>48</v>
      </c>
      <c r="F93" s="43" t="s">
        <v>73</v>
      </c>
      <c r="G93" s="43" t="s">
        <v>50</v>
      </c>
      <c r="H93" s="43">
        <v>0.99</v>
      </c>
      <c r="I93" s="43">
        <v>22.0</v>
      </c>
      <c r="J93" s="14" t="s">
        <v>992</v>
      </c>
      <c r="K93" s="14" t="s">
        <v>993</v>
      </c>
      <c r="L93" s="42" t="s">
        <v>990</v>
      </c>
      <c r="M93" s="43" t="s">
        <v>48</v>
      </c>
      <c r="N93" s="14" t="s">
        <v>994</v>
      </c>
      <c r="O93" s="42" t="s">
        <v>990</v>
      </c>
      <c r="P93" s="14">
        <v>2025.0</v>
      </c>
      <c r="Q93" s="14" t="s">
        <v>418</v>
      </c>
      <c r="R93" s="14" t="s">
        <v>419</v>
      </c>
      <c r="S93" s="44" t="s">
        <v>57</v>
      </c>
      <c r="T93" s="16" t="s">
        <v>250</v>
      </c>
      <c r="U93" s="16" t="s">
        <v>59</v>
      </c>
      <c r="V93" s="45">
        <v>9.0</v>
      </c>
      <c r="Z93" s="46" t="s">
        <v>800</v>
      </c>
      <c r="AA93" s="47" t="s">
        <v>421</v>
      </c>
      <c r="AB93" s="16" t="s">
        <v>432</v>
      </c>
      <c r="AC93" s="16" t="s">
        <v>801</v>
      </c>
      <c r="AD93" s="47" t="s">
        <v>802</v>
      </c>
      <c r="AF93" s="16" t="s">
        <v>921</v>
      </c>
      <c r="AG93" s="16" t="s">
        <v>630</v>
      </c>
      <c r="AH93" s="14" t="s">
        <v>995</v>
      </c>
      <c r="AI93" s="14">
        <v>2025.0</v>
      </c>
      <c r="AJ93" s="14">
        <v>2025.0</v>
      </c>
      <c r="AK93" s="44" t="s">
        <v>70</v>
      </c>
    </row>
    <row r="94" ht="15.75" customHeight="1">
      <c r="A94" s="41">
        <f t="shared" si="1"/>
        <v>92</v>
      </c>
      <c r="B94" s="42" t="s">
        <v>996</v>
      </c>
      <c r="C94" s="42" t="s">
        <v>997</v>
      </c>
      <c r="D94" s="11" t="str">
        <f>IFERROR(__xludf.DUMMYFUNCTION("REGEXEXTRACT(C94,""[A-Z]{2,}"")"),"FMDS")</f>
        <v>FMDS</v>
      </c>
      <c r="E94" s="43" t="s">
        <v>48</v>
      </c>
      <c r="F94" s="43" t="s">
        <v>73</v>
      </c>
      <c r="G94" s="43" t="s">
        <v>50</v>
      </c>
      <c r="H94" s="43">
        <v>0.83</v>
      </c>
      <c r="I94" s="43">
        <v>36.0</v>
      </c>
      <c r="J94" s="14" t="s">
        <v>998</v>
      </c>
      <c r="K94" s="14" t="s">
        <v>999</v>
      </c>
      <c r="L94" s="42" t="s">
        <v>996</v>
      </c>
      <c r="M94" s="43" t="s">
        <v>48</v>
      </c>
      <c r="N94" s="14" t="s">
        <v>1000</v>
      </c>
      <c r="O94" s="42" t="s">
        <v>996</v>
      </c>
      <c r="P94" s="14">
        <v>2023.0</v>
      </c>
      <c r="Q94" s="14" t="s">
        <v>418</v>
      </c>
      <c r="R94" s="14" t="s">
        <v>419</v>
      </c>
      <c r="S94" s="44" t="s">
        <v>57</v>
      </c>
      <c r="T94" s="16" t="s">
        <v>250</v>
      </c>
      <c r="U94" s="16" t="s">
        <v>59</v>
      </c>
      <c r="V94" s="45">
        <v>9.0</v>
      </c>
      <c r="Z94" s="46" t="s">
        <v>800</v>
      </c>
      <c r="AA94" s="47" t="s">
        <v>421</v>
      </c>
      <c r="AB94" s="16" t="s">
        <v>432</v>
      </c>
      <c r="AC94" s="16" t="s">
        <v>801</v>
      </c>
      <c r="AD94" s="47" t="s">
        <v>802</v>
      </c>
      <c r="AF94" s="16" t="s">
        <v>921</v>
      </c>
      <c r="AG94" s="16" t="s">
        <v>630</v>
      </c>
      <c r="AH94" s="14" t="s">
        <v>1001</v>
      </c>
      <c r="AI94" s="14">
        <v>2023.0</v>
      </c>
      <c r="AJ94" s="14">
        <v>2023.0</v>
      </c>
      <c r="AK94" s="44" t="s">
        <v>70</v>
      </c>
    </row>
    <row r="95" ht="15.75" customHeight="1">
      <c r="A95" s="41">
        <f t="shared" si="1"/>
        <v>93</v>
      </c>
      <c r="B95" s="42" t="s">
        <v>1002</v>
      </c>
      <c r="C95" s="42" t="s">
        <v>1003</v>
      </c>
      <c r="D95" s="11" t="str">
        <f>IFERROR(__xludf.DUMMYFUNCTION("REGEXEXTRACT(C95,""[A-Z]{2,}"")"),"FMDS")</f>
        <v>FMDS</v>
      </c>
      <c r="E95" s="43" t="s">
        <v>48</v>
      </c>
      <c r="F95" s="43" t="s">
        <v>73</v>
      </c>
      <c r="G95" s="43" t="s">
        <v>50</v>
      </c>
      <c r="H95" s="43">
        <v>0.34</v>
      </c>
      <c r="I95" s="43">
        <v>31.0</v>
      </c>
      <c r="J95" s="14" t="s">
        <v>1004</v>
      </c>
      <c r="K95" s="14" t="s">
        <v>1005</v>
      </c>
      <c r="L95" s="42" t="s">
        <v>1002</v>
      </c>
      <c r="M95" s="43" t="s">
        <v>48</v>
      </c>
      <c r="N95" s="14" t="s">
        <v>1006</v>
      </c>
      <c r="O95" s="42" t="s">
        <v>1002</v>
      </c>
      <c r="P95" s="14">
        <v>2025.0</v>
      </c>
      <c r="Q95" s="14" t="s">
        <v>418</v>
      </c>
      <c r="R95" s="14" t="s">
        <v>419</v>
      </c>
      <c r="S95" s="44" t="s">
        <v>57</v>
      </c>
      <c r="T95" s="16" t="s">
        <v>250</v>
      </c>
      <c r="U95" s="16" t="s">
        <v>59</v>
      </c>
      <c r="V95" s="45">
        <v>9.0</v>
      </c>
      <c r="Z95" s="46" t="s">
        <v>800</v>
      </c>
      <c r="AA95" s="47" t="s">
        <v>421</v>
      </c>
      <c r="AB95" s="16" t="s">
        <v>432</v>
      </c>
      <c r="AC95" s="16" t="s">
        <v>801</v>
      </c>
      <c r="AD95" s="47" t="s">
        <v>802</v>
      </c>
      <c r="AF95" s="16" t="s">
        <v>921</v>
      </c>
      <c r="AG95" s="16" t="s">
        <v>630</v>
      </c>
      <c r="AH95" s="14" t="s">
        <v>1007</v>
      </c>
      <c r="AI95" s="14">
        <v>2025.0</v>
      </c>
      <c r="AJ95" s="14">
        <v>2025.0</v>
      </c>
      <c r="AK95" s="44" t="s">
        <v>70</v>
      </c>
    </row>
    <row r="96" ht="15.75" customHeight="1">
      <c r="A96" s="41">
        <f t="shared" si="1"/>
        <v>94</v>
      </c>
      <c r="B96" s="42" t="s">
        <v>1008</v>
      </c>
      <c r="C96" s="42" t="s">
        <v>1009</v>
      </c>
      <c r="D96" s="11" t="str">
        <f>IFERROR(__xludf.DUMMYFUNCTION("REGEXEXTRACT(C96,""[A-Z]{2,}"")"),"FMDS")</f>
        <v>FMDS</v>
      </c>
      <c r="E96" s="43" t="s">
        <v>48</v>
      </c>
      <c r="F96" s="43" t="s">
        <v>73</v>
      </c>
      <c r="G96" s="43" t="s">
        <v>50</v>
      </c>
      <c r="H96" s="43">
        <v>0.07</v>
      </c>
      <c r="I96" s="43">
        <v>10.0</v>
      </c>
      <c r="J96" s="14" t="s">
        <v>1010</v>
      </c>
      <c r="K96" s="14" t="s">
        <v>1011</v>
      </c>
      <c r="L96" s="42" t="s">
        <v>1008</v>
      </c>
      <c r="M96" s="43" t="s">
        <v>48</v>
      </c>
      <c r="N96" s="14" t="s">
        <v>1012</v>
      </c>
      <c r="O96" s="42" t="s">
        <v>1008</v>
      </c>
      <c r="P96" s="14">
        <v>2025.0</v>
      </c>
      <c r="Q96" s="14" t="s">
        <v>418</v>
      </c>
      <c r="R96" s="14" t="s">
        <v>419</v>
      </c>
      <c r="S96" s="44" t="s">
        <v>57</v>
      </c>
      <c r="T96" s="16" t="s">
        <v>250</v>
      </c>
      <c r="U96" s="16" t="s">
        <v>59</v>
      </c>
      <c r="V96" s="45">
        <v>9.0</v>
      </c>
      <c r="Z96" s="46" t="s">
        <v>800</v>
      </c>
      <c r="AA96" s="47" t="s">
        <v>421</v>
      </c>
      <c r="AB96" s="16" t="s">
        <v>432</v>
      </c>
      <c r="AC96" s="16" t="s">
        <v>801</v>
      </c>
      <c r="AD96" s="47" t="s">
        <v>802</v>
      </c>
      <c r="AF96" s="16" t="s">
        <v>921</v>
      </c>
      <c r="AG96" s="16" t="s">
        <v>630</v>
      </c>
      <c r="AH96" s="14" t="s">
        <v>1013</v>
      </c>
      <c r="AI96" s="14">
        <v>2025.0</v>
      </c>
      <c r="AJ96" s="14">
        <v>2025.0</v>
      </c>
      <c r="AK96" s="44" t="s">
        <v>70</v>
      </c>
    </row>
    <row r="97" ht="15.75" customHeight="1">
      <c r="A97" s="41">
        <f t="shared" si="1"/>
        <v>95</v>
      </c>
      <c r="B97" s="42" t="s">
        <v>1014</v>
      </c>
      <c r="C97" s="42" t="s">
        <v>1015</v>
      </c>
      <c r="D97" s="11" t="str">
        <f>IFERROR(__xludf.DUMMYFUNCTION("REGEXEXTRACT(C97,""[A-Z]{2,}"")"),"FMDS")</f>
        <v>FMDS</v>
      </c>
      <c r="E97" s="43" t="s">
        <v>48</v>
      </c>
      <c r="F97" s="43" t="s">
        <v>73</v>
      </c>
      <c r="G97" s="43" t="s">
        <v>50</v>
      </c>
      <c r="H97" s="43">
        <v>0.15</v>
      </c>
      <c r="I97" s="43">
        <v>31.0</v>
      </c>
      <c r="J97" s="14" t="s">
        <v>1016</v>
      </c>
      <c r="K97" s="14" t="s">
        <v>1017</v>
      </c>
      <c r="L97" s="42" t="s">
        <v>1014</v>
      </c>
      <c r="M97" s="43" t="s">
        <v>48</v>
      </c>
      <c r="N97" s="14" t="s">
        <v>1018</v>
      </c>
      <c r="O97" s="42" t="s">
        <v>1014</v>
      </c>
      <c r="P97" s="14">
        <v>2025.0</v>
      </c>
      <c r="Q97" s="14" t="s">
        <v>418</v>
      </c>
      <c r="R97" s="14" t="s">
        <v>419</v>
      </c>
      <c r="S97" s="44" t="s">
        <v>57</v>
      </c>
      <c r="T97" s="16" t="s">
        <v>250</v>
      </c>
      <c r="U97" s="16" t="s">
        <v>59</v>
      </c>
      <c r="V97" s="45">
        <v>9.0</v>
      </c>
      <c r="Z97" s="46" t="s">
        <v>800</v>
      </c>
      <c r="AA97" s="47" t="s">
        <v>421</v>
      </c>
      <c r="AB97" s="16" t="s">
        <v>432</v>
      </c>
      <c r="AC97" s="16" t="s">
        <v>801</v>
      </c>
      <c r="AD97" s="47" t="s">
        <v>802</v>
      </c>
      <c r="AF97" s="16" t="s">
        <v>921</v>
      </c>
      <c r="AG97" s="16" t="s">
        <v>630</v>
      </c>
      <c r="AH97" s="14" t="s">
        <v>1019</v>
      </c>
      <c r="AI97" s="14">
        <v>2025.0</v>
      </c>
      <c r="AJ97" s="14">
        <v>2025.0</v>
      </c>
      <c r="AK97" s="44" t="s">
        <v>70</v>
      </c>
    </row>
    <row r="98" ht="15.75" customHeight="1">
      <c r="A98" s="41">
        <f t="shared" si="1"/>
        <v>96</v>
      </c>
      <c r="B98" s="42" t="s">
        <v>1020</v>
      </c>
      <c r="C98" s="42" t="s">
        <v>1021</v>
      </c>
      <c r="D98" s="11" t="str">
        <f>IFERROR(__xludf.DUMMYFUNCTION("REGEXEXTRACT(C98,""[A-Z]{2,}"")"),"FMDS")</f>
        <v>FMDS</v>
      </c>
      <c r="E98" s="43" t="s">
        <v>48</v>
      </c>
      <c r="F98" s="43" t="s">
        <v>73</v>
      </c>
      <c r="G98" s="43" t="s">
        <v>50</v>
      </c>
      <c r="H98" s="43">
        <v>0.21</v>
      </c>
      <c r="I98" s="43">
        <v>22.0</v>
      </c>
      <c r="J98" s="14" t="s">
        <v>1022</v>
      </c>
      <c r="K98" s="14" t="s">
        <v>1023</v>
      </c>
      <c r="L98" s="42" t="s">
        <v>1020</v>
      </c>
      <c r="M98" s="43" t="s">
        <v>48</v>
      </c>
      <c r="N98" s="14" t="s">
        <v>1024</v>
      </c>
      <c r="O98" s="42" t="s">
        <v>1020</v>
      </c>
      <c r="P98" s="14">
        <v>2013.0</v>
      </c>
      <c r="Q98" s="14" t="s">
        <v>418</v>
      </c>
      <c r="R98" s="14" t="s">
        <v>419</v>
      </c>
      <c r="S98" s="44" t="s">
        <v>57</v>
      </c>
      <c r="T98" s="16" t="s">
        <v>250</v>
      </c>
      <c r="U98" s="16" t="s">
        <v>59</v>
      </c>
      <c r="V98" s="45">
        <v>9.0</v>
      </c>
      <c r="Z98" s="46" t="s">
        <v>60</v>
      </c>
      <c r="AA98" s="47" t="s">
        <v>421</v>
      </c>
      <c r="AB98" s="16" t="s">
        <v>432</v>
      </c>
      <c r="AC98" s="47" t="s">
        <v>63</v>
      </c>
      <c r="AD98" s="47" t="s">
        <v>423</v>
      </c>
      <c r="AE98" s="14" t="s">
        <v>1025</v>
      </c>
      <c r="AF98" s="47" t="s">
        <v>150</v>
      </c>
      <c r="AG98" s="16" t="s">
        <v>1026</v>
      </c>
      <c r="AH98" s="14" t="s">
        <v>1027</v>
      </c>
      <c r="AI98" s="14">
        <v>2013.0</v>
      </c>
      <c r="AJ98" s="14">
        <v>2013.0</v>
      </c>
      <c r="AK98" s="44" t="s">
        <v>70</v>
      </c>
    </row>
    <row r="99" ht="15.75" customHeight="1">
      <c r="A99" s="41">
        <f t="shared" si="1"/>
        <v>97</v>
      </c>
      <c r="B99" s="42" t="s">
        <v>1028</v>
      </c>
      <c r="C99" s="42" t="s">
        <v>1029</v>
      </c>
      <c r="D99" s="11" t="str">
        <f>IFERROR(__xludf.DUMMYFUNCTION("REGEXEXTRACT(C99,""[A-Z]{2,}"")"),"FMDS")</f>
        <v>FMDS</v>
      </c>
      <c r="E99" s="43" t="s">
        <v>48</v>
      </c>
      <c r="F99" s="43" t="s">
        <v>73</v>
      </c>
      <c r="G99" s="43" t="s">
        <v>50</v>
      </c>
      <c r="H99" s="43">
        <v>1.58</v>
      </c>
      <c r="I99" s="43">
        <v>42.0</v>
      </c>
      <c r="J99" s="14" t="s">
        <v>1030</v>
      </c>
      <c r="K99" s="14" t="s">
        <v>1031</v>
      </c>
      <c r="L99" s="42" t="s">
        <v>1028</v>
      </c>
      <c r="M99" s="43" t="s">
        <v>48</v>
      </c>
      <c r="N99" s="14" t="s">
        <v>1032</v>
      </c>
      <c r="O99" s="42" t="s">
        <v>1028</v>
      </c>
      <c r="P99" s="14">
        <v>2023.0</v>
      </c>
      <c r="Q99" s="14" t="s">
        <v>418</v>
      </c>
      <c r="R99" s="14" t="s">
        <v>419</v>
      </c>
      <c r="S99" s="44" t="s">
        <v>57</v>
      </c>
      <c r="T99" s="16" t="s">
        <v>250</v>
      </c>
      <c r="U99" s="16" t="s">
        <v>59</v>
      </c>
      <c r="V99" s="45">
        <v>9.0</v>
      </c>
      <c r="Z99" s="46" t="s">
        <v>60</v>
      </c>
      <c r="AA99" s="47" t="s">
        <v>421</v>
      </c>
      <c r="AB99" s="16" t="s">
        <v>432</v>
      </c>
      <c r="AC99" s="47" t="s">
        <v>63</v>
      </c>
      <c r="AD99" s="47" t="s">
        <v>423</v>
      </c>
      <c r="AE99" s="14" t="s">
        <v>902</v>
      </c>
      <c r="AF99" s="47" t="s">
        <v>65</v>
      </c>
      <c r="AG99" s="16" t="s">
        <v>1033</v>
      </c>
      <c r="AH99" s="14" t="s">
        <v>1034</v>
      </c>
      <c r="AI99" s="14">
        <v>2023.0</v>
      </c>
      <c r="AJ99" s="14">
        <v>2023.0</v>
      </c>
      <c r="AK99" s="44" t="s">
        <v>70</v>
      </c>
    </row>
    <row r="100" ht="15.75" customHeight="1">
      <c r="A100" s="41">
        <f t="shared" si="1"/>
        <v>98</v>
      </c>
      <c r="B100" s="42" t="s">
        <v>1035</v>
      </c>
      <c r="C100" s="42" t="s">
        <v>1036</v>
      </c>
      <c r="D100" s="11" t="str">
        <f>IFERROR(__xludf.DUMMYFUNCTION("REGEXEXTRACT(C100,""[A-Z]{2,}"")"),"FMDS")</f>
        <v>FMDS</v>
      </c>
      <c r="E100" s="43" t="s">
        <v>48</v>
      </c>
      <c r="F100" s="43" t="s">
        <v>73</v>
      </c>
      <c r="G100" s="43" t="s">
        <v>50</v>
      </c>
      <c r="H100" s="43">
        <v>0.08</v>
      </c>
      <c r="I100" s="43">
        <v>11.0</v>
      </c>
      <c r="J100" s="14" t="s">
        <v>1037</v>
      </c>
      <c r="K100" s="14" t="s">
        <v>1038</v>
      </c>
      <c r="L100" s="42" t="s">
        <v>1035</v>
      </c>
      <c r="M100" s="43" t="s">
        <v>48</v>
      </c>
      <c r="N100" s="14" t="s">
        <v>1039</v>
      </c>
      <c r="O100" s="42" t="s">
        <v>1035</v>
      </c>
      <c r="P100" s="14">
        <v>2025.0</v>
      </c>
      <c r="Q100" s="14" t="s">
        <v>418</v>
      </c>
      <c r="R100" s="14" t="s">
        <v>419</v>
      </c>
      <c r="S100" s="44" t="s">
        <v>57</v>
      </c>
      <c r="T100" s="16" t="s">
        <v>250</v>
      </c>
      <c r="U100" s="16" t="s">
        <v>59</v>
      </c>
      <c r="V100" s="45">
        <v>9.0</v>
      </c>
      <c r="Z100" s="46" t="s">
        <v>800</v>
      </c>
      <c r="AA100" s="47" t="s">
        <v>421</v>
      </c>
      <c r="AB100" s="16" t="s">
        <v>432</v>
      </c>
      <c r="AC100" s="16" t="s">
        <v>801</v>
      </c>
      <c r="AD100" s="47" t="s">
        <v>802</v>
      </c>
      <c r="AF100" s="16" t="s">
        <v>1040</v>
      </c>
      <c r="AG100" s="16" t="s">
        <v>599</v>
      </c>
      <c r="AH100" s="14" t="s">
        <v>1041</v>
      </c>
      <c r="AI100" s="14">
        <v>2025.0</v>
      </c>
      <c r="AJ100" s="14">
        <v>2025.0</v>
      </c>
      <c r="AK100" s="44" t="s">
        <v>70</v>
      </c>
    </row>
    <row r="101" ht="15.75" customHeight="1">
      <c r="A101" s="41">
        <f t="shared" si="1"/>
        <v>99</v>
      </c>
      <c r="B101" s="42" t="s">
        <v>1042</v>
      </c>
      <c r="C101" s="42" t="s">
        <v>1043</v>
      </c>
      <c r="D101" s="11" t="str">
        <f>IFERROR(__xludf.DUMMYFUNCTION("REGEXEXTRACT(C101,""[A-Z]{2,}"")"),"FMDS")</f>
        <v>FMDS</v>
      </c>
      <c r="E101" s="43" t="s">
        <v>48</v>
      </c>
      <c r="F101" s="43" t="s">
        <v>73</v>
      </c>
      <c r="G101" s="43" t="s">
        <v>50</v>
      </c>
      <c r="H101" s="43">
        <v>0.33</v>
      </c>
      <c r="I101" s="43">
        <v>9.0</v>
      </c>
      <c r="J101" s="14" t="s">
        <v>1044</v>
      </c>
      <c r="K101" s="14" t="s">
        <v>1045</v>
      </c>
      <c r="L101" s="42" t="s">
        <v>1042</v>
      </c>
      <c r="M101" s="43" t="s">
        <v>48</v>
      </c>
      <c r="N101" s="14" t="s">
        <v>1046</v>
      </c>
      <c r="O101" s="42" t="s">
        <v>1042</v>
      </c>
      <c r="P101" s="14">
        <v>2021.0</v>
      </c>
      <c r="Q101" s="14" t="s">
        <v>418</v>
      </c>
      <c r="R101" s="14" t="s">
        <v>419</v>
      </c>
      <c r="S101" s="44" t="s">
        <v>57</v>
      </c>
      <c r="T101" s="16" t="s">
        <v>250</v>
      </c>
      <c r="U101" s="16" t="s">
        <v>59</v>
      </c>
      <c r="V101" s="45">
        <v>9.0</v>
      </c>
      <c r="Z101" s="46" t="s">
        <v>431</v>
      </c>
      <c r="AA101" s="47" t="s">
        <v>421</v>
      </c>
      <c r="AB101" s="16" t="s">
        <v>432</v>
      </c>
      <c r="AC101" s="47" t="s">
        <v>433</v>
      </c>
      <c r="AD101" s="47" t="s">
        <v>434</v>
      </c>
      <c r="AF101" s="47" t="s">
        <v>598</v>
      </c>
      <c r="AG101" s="16" t="s">
        <v>630</v>
      </c>
      <c r="AH101" s="14" t="s">
        <v>1047</v>
      </c>
      <c r="AI101" s="14">
        <v>2021.0</v>
      </c>
      <c r="AJ101" s="14">
        <v>2021.0</v>
      </c>
      <c r="AK101" s="44" t="s">
        <v>70</v>
      </c>
    </row>
    <row r="102" ht="15.75" customHeight="1">
      <c r="A102" s="41">
        <f t="shared" si="1"/>
        <v>100</v>
      </c>
      <c r="B102" s="42" t="s">
        <v>1048</v>
      </c>
      <c r="C102" s="42" t="s">
        <v>1049</v>
      </c>
      <c r="D102" s="11" t="str">
        <f>IFERROR(__xludf.DUMMYFUNCTION("REGEXEXTRACT(C102,""[A-Z]{2,}"")"),"FMDS")</f>
        <v>FMDS</v>
      </c>
      <c r="E102" s="43" t="s">
        <v>48</v>
      </c>
      <c r="F102" s="43" t="s">
        <v>73</v>
      </c>
      <c r="G102" s="43" t="s">
        <v>50</v>
      </c>
      <c r="H102" s="43">
        <v>0.73</v>
      </c>
      <c r="I102" s="43">
        <v>41.0</v>
      </c>
      <c r="J102" s="14" t="s">
        <v>1050</v>
      </c>
      <c r="K102" s="14" t="s">
        <v>1051</v>
      </c>
      <c r="L102" s="42" t="s">
        <v>1048</v>
      </c>
      <c r="M102" s="43" t="s">
        <v>48</v>
      </c>
      <c r="N102" s="14" t="s">
        <v>1052</v>
      </c>
      <c r="O102" s="42" t="s">
        <v>1048</v>
      </c>
      <c r="P102" s="14">
        <v>2024.0</v>
      </c>
      <c r="Q102" s="14" t="s">
        <v>418</v>
      </c>
      <c r="R102" s="14" t="s">
        <v>419</v>
      </c>
      <c r="S102" s="44" t="s">
        <v>57</v>
      </c>
      <c r="T102" s="16" t="s">
        <v>250</v>
      </c>
      <c r="U102" s="16" t="s">
        <v>59</v>
      </c>
      <c r="V102" s="45">
        <v>9.0</v>
      </c>
      <c r="Z102" s="46" t="s">
        <v>431</v>
      </c>
      <c r="AA102" s="47" t="s">
        <v>421</v>
      </c>
      <c r="AB102" s="16" t="s">
        <v>432</v>
      </c>
      <c r="AC102" s="47" t="s">
        <v>433</v>
      </c>
      <c r="AD102" s="47" t="s">
        <v>434</v>
      </c>
      <c r="AF102" s="47" t="s">
        <v>598</v>
      </c>
      <c r="AG102" s="16" t="s">
        <v>630</v>
      </c>
      <c r="AH102" s="14" t="s">
        <v>1053</v>
      </c>
      <c r="AI102" s="14">
        <v>2024.0</v>
      </c>
      <c r="AJ102" s="14">
        <v>2024.0</v>
      </c>
      <c r="AK102" s="44" t="s">
        <v>70</v>
      </c>
    </row>
    <row r="103" ht="15.75" customHeight="1">
      <c r="A103" s="41">
        <f t="shared" si="1"/>
        <v>101</v>
      </c>
      <c r="B103" s="42" t="s">
        <v>1054</v>
      </c>
      <c r="C103" s="42" t="s">
        <v>1055</v>
      </c>
      <c r="D103" s="11" t="str">
        <f>IFERROR(__xludf.DUMMYFUNCTION("REGEXEXTRACT(C103,""[A-Z]{2,}"")"),"FMDS")</f>
        <v>FMDS</v>
      </c>
      <c r="E103" s="43" t="s">
        <v>48</v>
      </c>
      <c r="F103" s="43" t="s">
        <v>73</v>
      </c>
      <c r="G103" s="43" t="s">
        <v>50</v>
      </c>
      <c r="H103" s="43">
        <v>0.1</v>
      </c>
      <c r="I103" s="43">
        <v>10.0</v>
      </c>
      <c r="J103" s="14" t="s">
        <v>1056</v>
      </c>
      <c r="K103" s="14" t="s">
        <v>1057</v>
      </c>
      <c r="L103" s="42" t="s">
        <v>1054</v>
      </c>
      <c r="M103" s="43" t="s">
        <v>48</v>
      </c>
      <c r="N103" s="14" t="s">
        <v>1058</v>
      </c>
      <c r="O103" s="42" t="s">
        <v>1054</v>
      </c>
      <c r="P103" s="14">
        <v>2017.0</v>
      </c>
      <c r="Q103" s="14" t="s">
        <v>418</v>
      </c>
      <c r="R103" s="14" t="s">
        <v>419</v>
      </c>
      <c r="S103" s="44" t="s">
        <v>57</v>
      </c>
      <c r="T103" s="16" t="s">
        <v>250</v>
      </c>
      <c r="U103" s="16" t="s">
        <v>59</v>
      </c>
      <c r="V103" s="45">
        <v>9.0</v>
      </c>
      <c r="Z103" s="46" t="s">
        <v>431</v>
      </c>
      <c r="AA103" s="47" t="s">
        <v>421</v>
      </c>
      <c r="AB103" s="16" t="s">
        <v>432</v>
      </c>
      <c r="AC103" s="47" t="s">
        <v>433</v>
      </c>
      <c r="AD103" s="47" t="s">
        <v>434</v>
      </c>
      <c r="AF103" s="47" t="s">
        <v>598</v>
      </c>
      <c r="AG103" s="16" t="s">
        <v>630</v>
      </c>
      <c r="AH103" s="14" t="s">
        <v>1059</v>
      </c>
      <c r="AI103" s="14">
        <v>2017.0</v>
      </c>
      <c r="AJ103" s="14">
        <v>2017.0</v>
      </c>
      <c r="AK103" s="44" t="s">
        <v>70</v>
      </c>
    </row>
    <row r="104" ht="15.75" customHeight="1">
      <c r="A104" s="41">
        <f t="shared" si="1"/>
        <v>102</v>
      </c>
      <c r="B104" s="42" t="s">
        <v>1060</v>
      </c>
      <c r="C104" s="42" t="s">
        <v>1061</v>
      </c>
      <c r="D104" s="11" t="str">
        <f>IFERROR(__xludf.DUMMYFUNCTION("REGEXEXTRACT(C104,""[A-Z]{2,}"")"),"FMDS")</f>
        <v>FMDS</v>
      </c>
      <c r="E104" s="43" t="s">
        <v>48</v>
      </c>
      <c r="F104" s="43" t="s">
        <v>73</v>
      </c>
      <c r="G104" s="43" t="s">
        <v>50</v>
      </c>
      <c r="H104" s="43">
        <v>1.84</v>
      </c>
      <c r="I104" s="43">
        <v>76.0</v>
      </c>
      <c r="J104" s="14" t="s">
        <v>1062</v>
      </c>
      <c r="K104" s="14" t="s">
        <v>1063</v>
      </c>
      <c r="L104" s="42" t="s">
        <v>1060</v>
      </c>
      <c r="M104" s="43" t="s">
        <v>48</v>
      </c>
      <c r="N104" s="14" t="s">
        <v>1064</v>
      </c>
      <c r="O104" s="42" t="s">
        <v>1060</v>
      </c>
      <c r="P104" s="14">
        <v>2025.0</v>
      </c>
      <c r="Q104" s="14" t="s">
        <v>418</v>
      </c>
      <c r="R104" s="14" t="s">
        <v>419</v>
      </c>
      <c r="S104" s="44" t="s">
        <v>57</v>
      </c>
      <c r="T104" s="16" t="s">
        <v>250</v>
      </c>
      <c r="U104" s="16" t="s">
        <v>59</v>
      </c>
      <c r="V104" s="45">
        <v>9.0</v>
      </c>
      <c r="Z104" s="46" t="s">
        <v>431</v>
      </c>
      <c r="AA104" s="47" t="s">
        <v>421</v>
      </c>
      <c r="AB104" s="16" t="s">
        <v>432</v>
      </c>
      <c r="AC104" s="47" t="s">
        <v>433</v>
      </c>
      <c r="AD104" s="47" t="s">
        <v>434</v>
      </c>
      <c r="AF104" s="47" t="s">
        <v>598</v>
      </c>
      <c r="AG104" s="16" t="s">
        <v>630</v>
      </c>
      <c r="AH104" s="14" t="s">
        <v>1065</v>
      </c>
      <c r="AI104" s="14">
        <v>2025.0</v>
      </c>
      <c r="AJ104" s="14">
        <v>2025.0</v>
      </c>
      <c r="AK104" s="44" t="s">
        <v>70</v>
      </c>
    </row>
    <row r="105" ht="15.75" customHeight="1">
      <c r="A105" s="41">
        <f t="shared" si="1"/>
        <v>103</v>
      </c>
      <c r="B105" s="42" t="s">
        <v>1066</v>
      </c>
      <c r="C105" s="42" t="s">
        <v>1067</v>
      </c>
      <c r="D105" s="11" t="str">
        <f>IFERROR(__xludf.DUMMYFUNCTION("REGEXEXTRACT(C105,""[A-Z]{2,}"")"),"FMDS")</f>
        <v>FMDS</v>
      </c>
      <c r="E105" s="43" t="s">
        <v>48</v>
      </c>
      <c r="F105" s="43" t="s">
        <v>73</v>
      </c>
      <c r="G105" s="43" t="s">
        <v>50</v>
      </c>
      <c r="H105" s="43">
        <v>0.12</v>
      </c>
      <c r="I105" s="43">
        <v>15.0</v>
      </c>
      <c r="J105" s="14" t="s">
        <v>1068</v>
      </c>
      <c r="K105" s="14" t="s">
        <v>1069</v>
      </c>
      <c r="L105" s="42" t="s">
        <v>1066</v>
      </c>
      <c r="M105" s="43" t="s">
        <v>48</v>
      </c>
      <c r="N105" s="14" t="s">
        <v>1070</v>
      </c>
      <c r="O105" s="42" t="s">
        <v>1066</v>
      </c>
      <c r="P105" s="14">
        <v>2025.0</v>
      </c>
      <c r="Q105" s="14" t="s">
        <v>418</v>
      </c>
      <c r="R105" s="14" t="s">
        <v>419</v>
      </c>
      <c r="S105" s="44" t="s">
        <v>57</v>
      </c>
      <c r="T105" s="16" t="s">
        <v>250</v>
      </c>
      <c r="U105" s="16" t="s">
        <v>59</v>
      </c>
      <c r="V105" s="45">
        <v>9.0</v>
      </c>
      <c r="Z105" s="46" t="s">
        <v>431</v>
      </c>
      <c r="AA105" s="47" t="s">
        <v>421</v>
      </c>
      <c r="AB105" s="16" t="s">
        <v>432</v>
      </c>
      <c r="AC105" s="47" t="s">
        <v>433</v>
      </c>
      <c r="AD105" s="47" t="s">
        <v>434</v>
      </c>
      <c r="AF105" s="47" t="s">
        <v>598</v>
      </c>
      <c r="AG105" s="16" t="s">
        <v>630</v>
      </c>
      <c r="AH105" s="14" t="s">
        <v>1071</v>
      </c>
      <c r="AI105" s="14">
        <v>2025.0</v>
      </c>
      <c r="AJ105" s="14">
        <v>2025.0</v>
      </c>
      <c r="AK105" s="44" t="s">
        <v>70</v>
      </c>
    </row>
    <row r="106" ht="15.75" customHeight="1">
      <c r="A106" s="41">
        <f t="shared" si="1"/>
        <v>104</v>
      </c>
      <c r="B106" s="42" t="s">
        <v>1072</v>
      </c>
      <c r="C106" s="42" t="s">
        <v>1073</v>
      </c>
      <c r="D106" s="11" t="str">
        <f>IFERROR(__xludf.DUMMYFUNCTION("REGEXEXTRACT(C106,""[A-Z]{2,}"")"),"FMDS")</f>
        <v>FMDS</v>
      </c>
      <c r="E106" s="43" t="s">
        <v>48</v>
      </c>
      <c r="F106" s="43" t="s">
        <v>73</v>
      </c>
      <c r="G106" s="43" t="s">
        <v>50</v>
      </c>
      <c r="H106" s="43">
        <v>0.27</v>
      </c>
      <c r="I106" s="43">
        <v>33.0</v>
      </c>
      <c r="J106" s="14" t="s">
        <v>1074</v>
      </c>
      <c r="K106" s="14" t="s">
        <v>1075</v>
      </c>
      <c r="L106" s="42" t="s">
        <v>1072</v>
      </c>
      <c r="M106" s="43" t="s">
        <v>48</v>
      </c>
      <c r="N106" s="14" t="s">
        <v>1076</v>
      </c>
      <c r="O106" s="42" t="s">
        <v>1072</v>
      </c>
      <c r="P106" s="14">
        <v>2010.0</v>
      </c>
      <c r="Q106" s="14" t="s">
        <v>418</v>
      </c>
      <c r="R106" s="14" t="s">
        <v>419</v>
      </c>
      <c r="S106" s="44" t="s">
        <v>57</v>
      </c>
      <c r="T106" s="16" t="s">
        <v>250</v>
      </c>
      <c r="U106" s="16" t="s">
        <v>59</v>
      </c>
      <c r="V106" s="45">
        <v>9.0</v>
      </c>
      <c r="Z106" s="46" t="s">
        <v>431</v>
      </c>
      <c r="AA106" s="47" t="s">
        <v>421</v>
      </c>
      <c r="AB106" s="16" t="s">
        <v>432</v>
      </c>
      <c r="AC106" s="47" t="s">
        <v>433</v>
      </c>
      <c r="AD106" s="47" t="s">
        <v>434</v>
      </c>
      <c r="AF106" s="47" t="s">
        <v>598</v>
      </c>
      <c r="AG106" s="16" t="s">
        <v>630</v>
      </c>
      <c r="AH106" s="14" t="s">
        <v>1077</v>
      </c>
      <c r="AI106" s="14">
        <v>2010.0</v>
      </c>
      <c r="AJ106" s="14">
        <v>2010.0</v>
      </c>
      <c r="AK106" s="44" t="s">
        <v>70</v>
      </c>
    </row>
    <row r="107" ht="15.75" customHeight="1">
      <c r="A107" s="41">
        <f t="shared" si="1"/>
        <v>105</v>
      </c>
      <c r="B107" s="42" t="s">
        <v>1078</v>
      </c>
      <c r="C107" s="42" t="s">
        <v>1079</v>
      </c>
      <c r="D107" s="11" t="str">
        <f>IFERROR(__xludf.DUMMYFUNCTION("REGEXEXTRACT(C107,""[A-Z]{2,}"")"),"FMDS")</f>
        <v>FMDS</v>
      </c>
      <c r="E107" s="43" t="s">
        <v>48</v>
      </c>
      <c r="F107" s="43" t="s">
        <v>73</v>
      </c>
      <c r="G107" s="43" t="s">
        <v>50</v>
      </c>
      <c r="H107" s="43">
        <v>2.06</v>
      </c>
      <c r="I107" s="43">
        <v>46.0</v>
      </c>
      <c r="J107" s="14" t="s">
        <v>1080</v>
      </c>
      <c r="K107" s="14" t="s">
        <v>1081</v>
      </c>
      <c r="L107" s="42" t="s">
        <v>1078</v>
      </c>
      <c r="M107" s="43" t="s">
        <v>48</v>
      </c>
      <c r="N107" s="14" t="s">
        <v>1082</v>
      </c>
      <c r="O107" s="42" t="s">
        <v>1078</v>
      </c>
      <c r="P107" s="14">
        <v>2022.0</v>
      </c>
      <c r="Q107" s="14" t="s">
        <v>418</v>
      </c>
      <c r="R107" s="14" t="s">
        <v>419</v>
      </c>
      <c r="S107" s="44" t="s">
        <v>57</v>
      </c>
      <c r="T107" s="16" t="s">
        <v>250</v>
      </c>
      <c r="U107" s="16" t="s">
        <v>59</v>
      </c>
      <c r="V107" s="45">
        <v>9.0</v>
      </c>
      <c r="Z107" s="46" t="s">
        <v>60</v>
      </c>
      <c r="AA107" s="47" t="s">
        <v>421</v>
      </c>
      <c r="AB107" s="16" t="s">
        <v>432</v>
      </c>
      <c r="AC107" s="47" t="s">
        <v>63</v>
      </c>
      <c r="AD107" s="47" t="s">
        <v>423</v>
      </c>
      <c r="AE107" s="14" t="s">
        <v>1025</v>
      </c>
      <c r="AF107" s="47" t="s">
        <v>65</v>
      </c>
      <c r="AG107" s="16" t="s">
        <v>1033</v>
      </c>
      <c r="AH107" s="14" t="s">
        <v>1083</v>
      </c>
      <c r="AI107" s="14">
        <v>2022.0</v>
      </c>
      <c r="AJ107" s="14">
        <v>2022.0</v>
      </c>
      <c r="AK107" s="44" t="s">
        <v>70</v>
      </c>
    </row>
    <row r="108" ht="15.75" customHeight="1">
      <c r="A108" s="41">
        <f t="shared" si="1"/>
        <v>106</v>
      </c>
      <c r="B108" s="42" t="s">
        <v>1084</v>
      </c>
      <c r="C108" s="42" t="s">
        <v>1085</v>
      </c>
      <c r="D108" s="11" t="str">
        <f>IFERROR(__xludf.DUMMYFUNCTION("REGEXEXTRACT(C108,""[A-Z]{2,}"")"),"FMDS")</f>
        <v>FMDS</v>
      </c>
      <c r="E108" s="43" t="s">
        <v>48</v>
      </c>
      <c r="F108" s="43" t="s">
        <v>73</v>
      </c>
      <c r="G108" s="43" t="s">
        <v>50</v>
      </c>
      <c r="H108" s="43">
        <v>0.26</v>
      </c>
      <c r="I108" s="43">
        <v>5.0</v>
      </c>
      <c r="J108" s="14" t="s">
        <v>1086</v>
      </c>
      <c r="K108" s="14" t="s">
        <v>1087</v>
      </c>
      <c r="L108" s="42" t="s">
        <v>1084</v>
      </c>
      <c r="M108" s="43" t="s">
        <v>48</v>
      </c>
      <c r="N108" s="14" t="s">
        <v>1088</v>
      </c>
      <c r="O108" s="42" t="s">
        <v>1084</v>
      </c>
      <c r="P108" s="14">
        <v>2025.0</v>
      </c>
      <c r="Q108" s="14" t="s">
        <v>418</v>
      </c>
      <c r="R108" s="14" t="s">
        <v>419</v>
      </c>
      <c r="S108" s="44" t="s">
        <v>57</v>
      </c>
      <c r="T108" s="16" t="s">
        <v>250</v>
      </c>
      <c r="U108" s="16" t="s">
        <v>59</v>
      </c>
      <c r="V108" s="45">
        <v>9.0</v>
      </c>
      <c r="Z108" s="46" t="s">
        <v>800</v>
      </c>
      <c r="AA108" s="47" t="s">
        <v>421</v>
      </c>
      <c r="AB108" s="16" t="s">
        <v>432</v>
      </c>
      <c r="AC108" s="16" t="s">
        <v>801</v>
      </c>
      <c r="AD108" s="47" t="s">
        <v>802</v>
      </c>
      <c r="AF108" s="16" t="s">
        <v>921</v>
      </c>
      <c r="AG108" s="16" t="s">
        <v>599</v>
      </c>
      <c r="AH108" s="14" t="s">
        <v>1089</v>
      </c>
      <c r="AI108" s="14">
        <v>2025.0</v>
      </c>
      <c r="AJ108" s="14">
        <v>2025.0</v>
      </c>
      <c r="AK108" s="44" t="s">
        <v>70</v>
      </c>
    </row>
    <row r="109" ht="15.75" customHeight="1">
      <c r="A109" s="41">
        <f t="shared" si="1"/>
        <v>107</v>
      </c>
      <c r="B109" s="42" t="s">
        <v>1090</v>
      </c>
      <c r="C109" s="42" t="s">
        <v>1091</v>
      </c>
      <c r="D109" s="11" t="str">
        <f>IFERROR(__xludf.DUMMYFUNCTION("REGEXEXTRACT(C109,""[A-Z]{2,}"")"),"FMDS")</f>
        <v>FMDS</v>
      </c>
      <c r="E109" s="43" t="s">
        <v>48</v>
      </c>
      <c r="F109" s="43" t="s">
        <v>73</v>
      </c>
      <c r="G109" s="43" t="s">
        <v>50</v>
      </c>
      <c r="H109" s="43">
        <v>0.08</v>
      </c>
      <c r="I109" s="43">
        <v>6.0</v>
      </c>
      <c r="J109" s="14" t="s">
        <v>1092</v>
      </c>
      <c r="K109" s="14" t="s">
        <v>1093</v>
      </c>
      <c r="L109" s="42" t="s">
        <v>1090</v>
      </c>
      <c r="M109" s="43" t="s">
        <v>48</v>
      </c>
      <c r="N109" s="14" t="s">
        <v>1094</v>
      </c>
      <c r="O109" s="42" t="s">
        <v>1090</v>
      </c>
      <c r="P109" s="14">
        <v>2013.0</v>
      </c>
      <c r="Q109" s="14" t="s">
        <v>418</v>
      </c>
      <c r="R109" s="14" t="s">
        <v>419</v>
      </c>
      <c r="S109" s="44" t="s">
        <v>57</v>
      </c>
      <c r="T109" s="16" t="s">
        <v>250</v>
      </c>
      <c r="U109" s="16" t="s">
        <v>59</v>
      </c>
      <c r="V109" s="45">
        <v>9.0</v>
      </c>
      <c r="Z109" s="46" t="s">
        <v>431</v>
      </c>
      <c r="AA109" s="47" t="s">
        <v>421</v>
      </c>
      <c r="AB109" s="16" t="s">
        <v>432</v>
      </c>
      <c r="AC109" s="47" t="s">
        <v>433</v>
      </c>
      <c r="AD109" s="47" t="s">
        <v>434</v>
      </c>
      <c r="AF109" s="47" t="s">
        <v>598</v>
      </c>
      <c r="AG109" s="47" t="s">
        <v>599</v>
      </c>
      <c r="AH109" s="14" t="s">
        <v>1095</v>
      </c>
      <c r="AI109" s="14">
        <v>2013.0</v>
      </c>
      <c r="AJ109" s="14">
        <v>2013.0</v>
      </c>
      <c r="AK109" s="44" t="s">
        <v>70</v>
      </c>
    </row>
    <row r="110" ht="15.75" customHeight="1">
      <c r="A110" s="41">
        <f t="shared" si="1"/>
        <v>108</v>
      </c>
      <c r="B110" s="42" t="s">
        <v>1096</v>
      </c>
      <c r="C110" s="42" t="s">
        <v>1097</v>
      </c>
      <c r="D110" s="11" t="str">
        <f>IFERROR(__xludf.DUMMYFUNCTION("REGEXEXTRACT(C110,""[A-Z]{2,}"")"),"FMDS")</f>
        <v>FMDS</v>
      </c>
      <c r="E110" s="43" t="s">
        <v>48</v>
      </c>
      <c r="F110" s="43" t="s">
        <v>73</v>
      </c>
      <c r="G110" s="43" t="s">
        <v>50</v>
      </c>
      <c r="H110" s="43">
        <v>0.15</v>
      </c>
      <c r="I110" s="43">
        <v>26.0</v>
      </c>
      <c r="J110" s="14" t="s">
        <v>1098</v>
      </c>
      <c r="K110" s="14" t="s">
        <v>1099</v>
      </c>
      <c r="L110" s="42" t="s">
        <v>1096</v>
      </c>
      <c r="M110" s="43" t="s">
        <v>48</v>
      </c>
      <c r="N110" s="14" t="s">
        <v>1100</v>
      </c>
      <c r="O110" s="42" t="s">
        <v>1096</v>
      </c>
      <c r="P110" s="14">
        <v>2024.0</v>
      </c>
      <c r="Q110" s="14" t="s">
        <v>418</v>
      </c>
      <c r="R110" s="14" t="s">
        <v>419</v>
      </c>
      <c r="S110" s="44" t="s">
        <v>57</v>
      </c>
      <c r="T110" s="16" t="s">
        <v>250</v>
      </c>
      <c r="U110" s="16" t="s">
        <v>59</v>
      </c>
      <c r="V110" s="45">
        <v>9.0</v>
      </c>
      <c r="Z110" s="46" t="s">
        <v>800</v>
      </c>
      <c r="AA110" s="47" t="s">
        <v>421</v>
      </c>
      <c r="AB110" s="16" t="s">
        <v>432</v>
      </c>
      <c r="AC110" s="16" t="s">
        <v>801</v>
      </c>
      <c r="AD110" s="47" t="s">
        <v>802</v>
      </c>
      <c r="AF110" s="16" t="s">
        <v>803</v>
      </c>
      <c r="AG110" s="16" t="s">
        <v>1101</v>
      </c>
      <c r="AH110" s="14" t="s">
        <v>1102</v>
      </c>
      <c r="AI110" s="14">
        <v>2024.0</v>
      </c>
      <c r="AJ110" s="14">
        <v>2024.0</v>
      </c>
      <c r="AK110" s="44" t="s">
        <v>70</v>
      </c>
    </row>
    <row r="111" ht="15.75" customHeight="1">
      <c r="A111" s="41">
        <f t="shared" si="1"/>
        <v>109</v>
      </c>
      <c r="B111" s="42" t="s">
        <v>1103</v>
      </c>
      <c r="C111" s="42" t="s">
        <v>1104</v>
      </c>
      <c r="D111" s="11" t="str">
        <f>IFERROR(__xludf.DUMMYFUNCTION("REGEXEXTRACT(C111,""[A-Z]{2,}"")"),"FMDS")</f>
        <v>FMDS</v>
      </c>
      <c r="E111" s="43" t="s">
        <v>48</v>
      </c>
      <c r="F111" s="43" t="s">
        <v>73</v>
      </c>
      <c r="G111" s="43" t="s">
        <v>50</v>
      </c>
      <c r="H111" s="43">
        <v>0.17</v>
      </c>
      <c r="I111" s="43">
        <v>22.0</v>
      </c>
      <c r="J111" s="14" t="s">
        <v>1105</v>
      </c>
      <c r="K111" s="14" t="s">
        <v>1106</v>
      </c>
      <c r="L111" s="42" t="s">
        <v>1103</v>
      </c>
      <c r="M111" s="43" t="s">
        <v>48</v>
      </c>
      <c r="N111" s="14" t="s">
        <v>1107</v>
      </c>
      <c r="O111" s="42" t="s">
        <v>1103</v>
      </c>
      <c r="P111" s="14">
        <v>2014.0</v>
      </c>
      <c r="Q111" s="14" t="s">
        <v>418</v>
      </c>
      <c r="R111" s="14" t="s">
        <v>419</v>
      </c>
      <c r="S111" s="44" t="s">
        <v>57</v>
      </c>
      <c r="T111" s="16" t="s">
        <v>250</v>
      </c>
      <c r="U111" s="16" t="s">
        <v>59</v>
      </c>
      <c r="V111" s="45">
        <v>9.0</v>
      </c>
      <c r="Z111" s="46" t="s">
        <v>800</v>
      </c>
      <c r="AA111" s="47" t="s">
        <v>421</v>
      </c>
      <c r="AB111" s="16" t="s">
        <v>432</v>
      </c>
      <c r="AC111" s="16" t="s">
        <v>801</v>
      </c>
      <c r="AD111" s="47" t="s">
        <v>802</v>
      </c>
      <c r="AF111" s="16" t="s">
        <v>1040</v>
      </c>
      <c r="AG111" s="16" t="s">
        <v>599</v>
      </c>
      <c r="AH111" s="14" t="s">
        <v>1108</v>
      </c>
      <c r="AI111" s="14">
        <v>2014.0</v>
      </c>
      <c r="AJ111" s="14">
        <v>2014.0</v>
      </c>
      <c r="AK111" s="44" t="s">
        <v>70</v>
      </c>
    </row>
    <row r="112" ht="15.75" customHeight="1">
      <c r="A112" s="41">
        <f t="shared" si="1"/>
        <v>110</v>
      </c>
      <c r="B112" s="42" t="s">
        <v>1109</v>
      </c>
      <c r="C112" s="42" t="s">
        <v>1110</v>
      </c>
      <c r="D112" s="11" t="str">
        <f>IFERROR(__xludf.DUMMYFUNCTION("REGEXEXTRACT(C112,""[A-Z]{2,}"")"),"FMDS")</f>
        <v>FMDS</v>
      </c>
      <c r="E112" s="43" t="s">
        <v>48</v>
      </c>
      <c r="F112" s="43" t="s">
        <v>73</v>
      </c>
      <c r="G112" s="43" t="s">
        <v>50</v>
      </c>
      <c r="H112" s="43">
        <v>0.09</v>
      </c>
      <c r="I112" s="43">
        <v>15.0</v>
      </c>
      <c r="J112" s="14" t="s">
        <v>1111</v>
      </c>
      <c r="K112" s="14" t="s">
        <v>1112</v>
      </c>
      <c r="L112" s="42" t="s">
        <v>1109</v>
      </c>
      <c r="M112" s="43" t="s">
        <v>48</v>
      </c>
      <c r="N112" s="14" t="s">
        <v>1113</v>
      </c>
      <c r="O112" s="42" t="s">
        <v>1109</v>
      </c>
      <c r="P112" s="14">
        <v>2024.0</v>
      </c>
      <c r="Q112" s="14" t="s">
        <v>418</v>
      </c>
      <c r="R112" s="14" t="s">
        <v>419</v>
      </c>
      <c r="S112" s="44" t="s">
        <v>57</v>
      </c>
      <c r="T112" s="16" t="s">
        <v>250</v>
      </c>
      <c r="U112" s="16" t="s">
        <v>59</v>
      </c>
      <c r="V112" s="45">
        <v>9.0</v>
      </c>
      <c r="Z112" s="46" t="s">
        <v>800</v>
      </c>
      <c r="AA112" s="47" t="s">
        <v>421</v>
      </c>
      <c r="AB112" s="16" t="s">
        <v>432</v>
      </c>
      <c r="AC112" s="16" t="s">
        <v>801</v>
      </c>
      <c r="AD112" s="47" t="s">
        <v>802</v>
      </c>
      <c r="AF112" s="16" t="s">
        <v>803</v>
      </c>
      <c r="AG112" s="16" t="s">
        <v>1101</v>
      </c>
      <c r="AH112" s="14" t="s">
        <v>1114</v>
      </c>
      <c r="AI112" s="14">
        <v>2024.0</v>
      </c>
      <c r="AJ112" s="14">
        <v>2024.0</v>
      </c>
      <c r="AK112" s="44" t="s">
        <v>70</v>
      </c>
    </row>
    <row r="113" ht="15.75" customHeight="1">
      <c r="A113" s="41">
        <f t="shared" si="1"/>
        <v>111</v>
      </c>
      <c r="B113" s="42" t="s">
        <v>1115</v>
      </c>
      <c r="C113" s="42" t="s">
        <v>1116</v>
      </c>
      <c r="D113" s="11" t="str">
        <f>IFERROR(__xludf.DUMMYFUNCTION("REGEXEXTRACT(C113,""[A-Z]{2,}"")"),"FMDS")</f>
        <v>FMDS</v>
      </c>
      <c r="E113" s="43" t="s">
        <v>48</v>
      </c>
      <c r="F113" s="43" t="s">
        <v>73</v>
      </c>
      <c r="G113" s="43" t="s">
        <v>50</v>
      </c>
      <c r="H113" s="43">
        <v>0.23</v>
      </c>
      <c r="I113" s="43">
        <v>22.0</v>
      </c>
      <c r="J113" s="14" t="s">
        <v>1117</v>
      </c>
      <c r="K113" s="14" t="s">
        <v>1118</v>
      </c>
      <c r="L113" s="42" t="s">
        <v>1115</v>
      </c>
      <c r="M113" s="43" t="s">
        <v>48</v>
      </c>
      <c r="N113" s="14" t="s">
        <v>1119</v>
      </c>
      <c r="O113" s="42" t="s">
        <v>1115</v>
      </c>
      <c r="P113" s="14">
        <v>2025.0</v>
      </c>
      <c r="Q113" s="14" t="s">
        <v>418</v>
      </c>
      <c r="R113" s="14" t="s">
        <v>419</v>
      </c>
      <c r="S113" s="44" t="s">
        <v>57</v>
      </c>
      <c r="T113" s="16" t="s">
        <v>250</v>
      </c>
      <c r="U113" s="16" t="s">
        <v>59</v>
      </c>
      <c r="V113" s="45">
        <v>9.0</v>
      </c>
      <c r="Z113" s="46" t="s">
        <v>431</v>
      </c>
      <c r="AA113" s="47" t="s">
        <v>421</v>
      </c>
      <c r="AB113" s="16" t="s">
        <v>432</v>
      </c>
      <c r="AC113" s="47" t="s">
        <v>433</v>
      </c>
      <c r="AD113" s="47" t="s">
        <v>434</v>
      </c>
      <c r="AF113" s="47" t="s">
        <v>598</v>
      </c>
      <c r="AG113" s="47" t="s">
        <v>599</v>
      </c>
      <c r="AH113" s="14" t="s">
        <v>1120</v>
      </c>
      <c r="AI113" s="14">
        <v>2025.0</v>
      </c>
      <c r="AJ113" s="14">
        <v>2025.0</v>
      </c>
      <c r="AK113" s="44" t="s">
        <v>70</v>
      </c>
    </row>
    <row r="114" ht="15.75" customHeight="1">
      <c r="A114" s="41">
        <f t="shared" si="1"/>
        <v>112</v>
      </c>
      <c r="B114" s="42" t="s">
        <v>1121</v>
      </c>
      <c r="C114" s="42" t="s">
        <v>1122</v>
      </c>
      <c r="D114" s="11" t="str">
        <f>IFERROR(__xludf.DUMMYFUNCTION("REGEXEXTRACT(C114,""[A-Z]{2,}"")"),"FMDS")</f>
        <v>FMDS</v>
      </c>
      <c r="E114" s="43" t="s">
        <v>48</v>
      </c>
      <c r="F114" s="43" t="s">
        <v>73</v>
      </c>
      <c r="G114" s="43" t="s">
        <v>50</v>
      </c>
      <c r="H114" s="43">
        <v>0.16</v>
      </c>
      <c r="I114" s="43">
        <v>22.0</v>
      </c>
      <c r="J114" s="14" t="s">
        <v>1123</v>
      </c>
      <c r="K114" s="14" t="s">
        <v>1124</v>
      </c>
      <c r="L114" s="42" t="s">
        <v>1121</v>
      </c>
      <c r="M114" s="43" t="s">
        <v>48</v>
      </c>
      <c r="N114" s="14" t="s">
        <v>1125</v>
      </c>
      <c r="O114" s="42" t="s">
        <v>1121</v>
      </c>
      <c r="P114" s="14">
        <v>2024.0</v>
      </c>
      <c r="Q114" s="14" t="s">
        <v>418</v>
      </c>
      <c r="R114" s="14" t="s">
        <v>419</v>
      </c>
      <c r="S114" s="44" t="s">
        <v>57</v>
      </c>
      <c r="T114" s="16" t="s">
        <v>250</v>
      </c>
      <c r="U114" s="16" t="s">
        <v>59</v>
      </c>
      <c r="V114" s="45">
        <v>9.0</v>
      </c>
      <c r="Z114" s="46" t="s">
        <v>420</v>
      </c>
      <c r="AA114" s="47" t="s">
        <v>421</v>
      </c>
      <c r="AB114" s="16" t="s">
        <v>432</v>
      </c>
      <c r="AC114" s="47" t="s">
        <v>63</v>
      </c>
      <c r="AD114" s="47" t="s">
        <v>423</v>
      </c>
      <c r="AF114" s="47" t="s">
        <v>65</v>
      </c>
      <c r="AG114" s="16" t="s">
        <v>1126</v>
      </c>
      <c r="AH114" s="14" t="s">
        <v>1127</v>
      </c>
      <c r="AI114" s="14">
        <v>2024.0</v>
      </c>
      <c r="AJ114" s="14">
        <v>2024.0</v>
      </c>
      <c r="AK114" s="44" t="s">
        <v>70</v>
      </c>
    </row>
    <row r="115" ht="15.75" customHeight="1">
      <c r="A115" s="41">
        <f t="shared" si="1"/>
        <v>113</v>
      </c>
      <c r="B115" s="42" t="s">
        <v>1128</v>
      </c>
      <c r="C115" s="42" t="s">
        <v>1129</v>
      </c>
      <c r="D115" s="11" t="str">
        <f>IFERROR(__xludf.DUMMYFUNCTION("REGEXEXTRACT(C115,""[A-Z]{2,}"")"),"FMDS")</f>
        <v>FMDS</v>
      </c>
      <c r="E115" s="43" t="s">
        <v>48</v>
      </c>
      <c r="F115" s="43" t="s">
        <v>73</v>
      </c>
      <c r="G115" s="43" t="s">
        <v>50</v>
      </c>
      <c r="H115" s="43">
        <v>0.05</v>
      </c>
      <c r="I115" s="43">
        <v>7.0</v>
      </c>
      <c r="J115" s="14" t="s">
        <v>1130</v>
      </c>
      <c r="K115" s="14" t="s">
        <v>1131</v>
      </c>
      <c r="L115" s="42" t="s">
        <v>1128</v>
      </c>
      <c r="M115" s="43" t="s">
        <v>48</v>
      </c>
      <c r="N115" s="14" t="s">
        <v>1132</v>
      </c>
      <c r="O115" s="42" t="s">
        <v>1128</v>
      </c>
      <c r="P115" s="14">
        <v>2024.0</v>
      </c>
      <c r="Q115" s="14" t="s">
        <v>418</v>
      </c>
      <c r="R115" s="14" t="s">
        <v>419</v>
      </c>
      <c r="S115" s="44" t="s">
        <v>57</v>
      </c>
      <c r="T115" s="16" t="s">
        <v>250</v>
      </c>
      <c r="U115" s="16" t="s">
        <v>59</v>
      </c>
      <c r="V115" s="45">
        <v>9.0</v>
      </c>
      <c r="Z115" s="46" t="s">
        <v>800</v>
      </c>
      <c r="AA115" s="47" t="s">
        <v>421</v>
      </c>
      <c r="AB115" s="16" t="s">
        <v>432</v>
      </c>
      <c r="AC115" s="16" t="s">
        <v>801</v>
      </c>
      <c r="AD115" s="47" t="s">
        <v>802</v>
      </c>
      <c r="AF115" s="16" t="s">
        <v>1040</v>
      </c>
      <c r="AG115" s="47" t="s">
        <v>599</v>
      </c>
      <c r="AH115" s="14" t="s">
        <v>1133</v>
      </c>
      <c r="AI115" s="14">
        <v>2024.0</v>
      </c>
      <c r="AJ115" s="14">
        <v>2024.0</v>
      </c>
      <c r="AK115" s="44" t="s">
        <v>70</v>
      </c>
    </row>
    <row r="116" ht="15.75" customHeight="1">
      <c r="A116" s="41">
        <f t="shared" si="1"/>
        <v>114</v>
      </c>
      <c r="B116" s="42" t="s">
        <v>1134</v>
      </c>
      <c r="C116" s="42" t="s">
        <v>1135</v>
      </c>
      <c r="D116" s="11" t="str">
        <f>IFERROR(__xludf.DUMMYFUNCTION("REGEXEXTRACT(C116,""[A-Z]{2,}"")"),"FMDS")</f>
        <v>FMDS</v>
      </c>
      <c r="E116" s="43" t="s">
        <v>48</v>
      </c>
      <c r="F116" s="43" t="s">
        <v>73</v>
      </c>
      <c r="G116" s="43" t="s">
        <v>50</v>
      </c>
      <c r="H116" s="43">
        <v>0.11</v>
      </c>
      <c r="I116" s="43">
        <v>8.0</v>
      </c>
      <c r="J116" s="14" t="s">
        <v>1136</v>
      </c>
      <c r="K116" s="14" t="s">
        <v>1137</v>
      </c>
      <c r="L116" s="42" t="s">
        <v>1134</v>
      </c>
      <c r="M116" s="43" t="s">
        <v>48</v>
      </c>
      <c r="N116" s="14" t="s">
        <v>1138</v>
      </c>
      <c r="O116" s="42" t="s">
        <v>1134</v>
      </c>
      <c r="P116" s="14">
        <v>2023.0</v>
      </c>
      <c r="Q116" s="14" t="s">
        <v>418</v>
      </c>
      <c r="R116" s="14" t="s">
        <v>419</v>
      </c>
      <c r="S116" s="44" t="s">
        <v>57</v>
      </c>
      <c r="T116" s="16" t="s">
        <v>250</v>
      </c>
      <c r="U116" s="16" t="s">
        <v>59</v>
      </c>
      <c r="V116" s="45">
        <v>9.0</v>
      </c>
      <c r="Z116" s="46" t="s">
        <v>800</v>
      </c>
      <c r="AA116" s="47" t="s">
        <v>421</v>
      </c>
      <c r="AB116" s="16" t="s">
        <v>432</v>
      </c>
      <c r="AC116" s="16" t="s">
        <v>801</v>
      </c>
      <c r="AD116" s="47" t="s">
        <v>802</v>
      </c>
      <c r="AF116" s="16" t="s">
        <v>1040</v>
      </c>
      <c r="AG116" s="47" t="s">
        <v>599</v>
      </c>
      <c r="AH116" s="14" t="s">
        <v>1139</v>
      </c>
      <c r="AI116" s="14">
        <v>2023.0</v>
      </c>
      <c r="AJ116" s="14">
        <v>2023.0</v>
      </c>
      <c r="AK116" s="44" t="s">
        <v>70</v>
      </c>
    </row>
    <row r="117" ht="15.75" customHeight="1">
      <c r="A117" s="41">
        <f t="shared" si="1"/>
        <v>115</v>
      </c>
      <c r="B117" s="42" t="s">
        <v>1140</v>
      </c>
      <c r="C117" s="42" t="s">
        <v>1141</v>
      </c>
      <c r="D117" s="11" t="str">
        <f>IFERROR(__xludf.DUMMYFUNCTION("REGEXEXTRACT(C117,""[A-Z]{2,}"")"),"FMDS")</f>
        <v>FMDS</v>
      </c>
      <c r="E117" s="43" t="s">
        <v>48</v>
      </c>
      <c r="F117" s="43" t="s">
        <v>73</v>
      </c>
      <c r="G117" s="43" t="s">
        <v>50</v>
      </c>
      <c r="H117" s="43">
        <v>0.08</v>
      </c>
      <c r="I117" s="43">
        <v>6.0</v>
      </c>
      <c r="J117" s="14" t="s">
        <v>1142</v>
      </c>
      <c r="K117" s="14" t="s">
        <v>1143</v>
      </c>
      <c r="L117" s="42" t="s">
        <v>1140</v>
      </c>
      <c r="M117" s="43" t="s">
        <v>48</v>
      </c>
      <c r="N117" s="14" t="s">
        <v>1144</v>
      </c>
      <c r="O117" s="42" t="s">
        <v>1140</v>
      </c>
      <c r="P117" s="14">
        <v>2024.0</v>
      </c>
      <c r="Q117" s="14" t="s">
        <v>418</v>
      </c>
      <c r="R117" s="14" t="s">
        <v>419</v>
      </c>
      <c r="S117" s="44" t="s">
        <v>57</v>
      </c>
      <c r="T117" s="16" t="s">
        <v>250</v>
      </c>
      <c r="U117" s="16" t="s">
        <v>59</v>
      </c>
      <c r="V117" s="45">
        <v>9.0</v>
      </c>
      <c r="Z117" s="46" t="s">
        <v>800</v>
      </c>
      <c r="AA117" s="47" t="s">
        <v>421</v>
      </c>
      <c r="AB117" s="16" t="s">
        <v>432</v>
      </c>
      <c r="AC117" s="16" t="s">
        <v>801</v>
      </c>
      <c r="AD117" s="47" t="s">
        <v>802</v>
      </c>
      <c r="AF117" s="16" t="s">
        <v>1040</v>
      </c>
      <c r="AG117" s="47" t="s">
        <v>599</v>
      </c>
      <c r="AH117" s="14" t="s">
        <v>1145</v>
      </c>
      <c r="AI117" s="14">
        <v>2024.0</v>
      </c>
      <c r="AJ117" s="14">
        <v>2024.0</v>
      </c>
      <c r="AK117" s="44" t="s">
        <v>70</v>
      </c>
    </row>
    <row r="118" ht="15.75" customHeight="1">
      <c r="A118" s="41">
        <f t="shared" si="1"/>
        <v>116</v>
      </c>
      <c r="B118" s="42" t="s">
        <v>1146</v>
      </c>
      <c r="C118" s="42" t="s">
        <v>1147</v>
      </c>
      <c r="D118" s="11" t="str">
        <f>IFERROR(__xludf.DUMMYFUNCTION("REGEXEXTRACT(C118,""[A-Z]{2,}"")"),"FMDS")</f>
        <v>FMDS</v>
      </c>
      <c r="E118" s="43" t="s">
        <v>48</v>
      </c>
      <c r="F118" s="43" t="s">
        <v>73</v>
      </c>
      <c r="G118" s="43" t="s">
        <v>50</v>
      </c>
      <c r="H118" s="43">
        <v>0.2</v>
      </c>
      <c r="I118" s="43">
        <v>7.0</v>
      </c>
      <c r="J118" s="14" t="s">
        <v>1148</v>
      </c>
      <c r="K118" s="14" t="s">
        <v>1149</v>
      </c>
      <c r="L118" s="42" t="s">
        <v>1146</v>
      </c>
      <c r="M118" s="43" t="s">
        <v>48</v>
      </c>
      <c r="N118" s="14" t="s">
        <v>1150</v>
      </c>
      <c r="O118" s="42" t="s">
        <v>1146</v>
      </c>
      <c r="P118" s="14">
        <v>2023.0</v>
      </c>
      <c r="Q118" s="14" t="s">
        <v>418</v>
      </c>
      <c r="R118" s="14" t="s">
        <v>419</v>
      </c>
      <c r="S118" s="44" t="s">
        <v>57</v>
      </c>
      <c r="T118" s="16" t="s">
        <v>250</v>
      </c>
      <c r="U118" s="16" t="s">
        <v>59</v>
      </c>
      <c r="V118" s="45">
        <v>9.0</v>
      </c>
      <c r="Z118" s="46" t="s">
        <v>800</v>
      </c>
      <c r="AA118" s="47" t="s">
        <v>421</v>
      </c>
      <c r="AB118" s="16" t="s">
        <v>432</v>
      </c>
      <c r="AC118" s="16" t="s">
        <v>801</v>
      </c>
      <c r="AD118" s="47" t="s">
        <v>802</v>
      </c>
      <c r="AF118" s="16" t="s">
        <v>1040</v>
      </c>
      <c r="AG118" s="47" t="s">
        <v>599</v>
      </c>
      <c r="AH118" s="14" t="s">
        <v>1151</v>
      </c>
      <c r="AI118" s="14">
        <v>2023.0</v>
      </c>
      <c r="AJ118" s="14">
        <v>2023.0</v>
      </c>
      <c r="AK118" s="44" t="s">
        <v>70</v>
      </c>
    </row>
    <row r="119" ht="15.75" customHeight="1">
      <c r="A119" s="41">
        <f t="shared" si="1"/>
        <v>117</v>
      </c>
      <c r="B119" s="42" t="s">
        <v>1152</v>
      </c>
      <c r="C119" s="42" t="s">
        <v>1153</v>
      </c>
      <c r="D119" s="11" t="str">
        <f>IFERROR(__xludf.DUMMYFUNCTION("REGEXEXTRACT(C119,""[A-Z]{2,}"")"),"FMDS")</f>
        <v>FMDS</v>
      </c>
      <c r="E119" s="43" t="s">
        <v>48</v>
      </c>
      <c r="F119" s="43" t="s">
        <v>73</v>
      </c>
      <c r="G119" s="43" t="s">
        <v>50</v>
      </c>
      <c r="H119" s="43">
        <v>0.19</v>
      </c>
      <c r="I119" s="43">
        <v>6.0</v>
      </c>
      <c r="J119" s="14" t="s">
        <v>1154</v>
      </c>
      <c r="K119" s="14" t="s">
        <v>1155</v>
      </c>
      <c r="L119" s="42" t="s">
        <v>1152</v>
      </c>
      <c r="M119" s="43" t="s">
        <v>48</v>
      </c>
      <c r="N119" s="14" t="s">
        <v>1156</v>
      </c>
      <c r="O119" s="42" t="s">
        <v>1152</v>
      </c>
      <c r="P119" s="14">
        <v>2023.0</v>
      </c>
      <c r="Q119" s="14" t="s">
        <v>418</v>
      </c>
      <c r="R119" s="14" t="s">
        <v>419</v>
      </c>
      <c r="S119" s="44" t="s">
        <v>57</v>
      </c>
      <c r="T119" s="16" t="s">
        <v>250</v>
      </c>
      <c r="U119" s="16" t="s">
        <v>59</v>
      </c>
      <c r="V119" s="45">
        <v>9.0</v>
      </c>
      <c r="Z119" s="46" t="s">
        <v>800</v>
      </c>
      <c r="AA119" s="47" t="s">
        <v>421</v>
      </c>
      <c r="AB119" s="16" t="s">
        <v>432</v>
      </c>
      <c r="AC119" s="16" t="s">
        <v>801</v>
      </c>
      <c r="AD119" s="47" t="s">
        <v>802</v>
      </c>
      <c r="AF119" s="16" t="s">
        <v>1040</v>
      </c>
      <c r="AG119" s="47" t="s">
        <v>599</v>
      </c>
      <c r="AH119" s="14" t="s">
        <v>1157</v>
      </c>
      <c r="AI119" s="14">
        <v>2023.0</v>
      </c>
      <c r="AJ119" s="14">
        <v>2023.0</v>
      </c>
      <c r="AK119" s="44" t="s">
        <v>70</v>
      </c>
    </row>
    <row r="120" ht="15.75" customHeight="1">
      <c r="A120" s="41">
        <f t="shared" si="1"/>
        <v>118</v>
      </c>
      <c r="B120" s="42" t="s">
        <v>1158</v>
      </c>
      <c r="C120" s="42" t="s">
        <v>1159</v>
      </c>
      <c r="D120" s="11" t="str">
        <f>IFERROR(__xludf.DUMMYFUNCTION("REGEXEXTRACT(C120,""[A-Z]{2,}"")"),"FMDS")</f>
        <v>FMDS</v>
      </c>
      <c r="E120" s="43" t="s">
        <v>48</v>
      </c>
      <c r="F120" s="43" t="s">
        <v>73</v>
      </c>
      <c r="G120" s="43" t="s">
        <v>50</v>
      </c>
      <c r="H120" s="43">
        <v>0.21</v>
      </c>
      <c r="I120" s="43">
        <v>12.0</v>
      </c>
      <c r="J120" s="14" t="s">
        <v>1160</v>
      </c>
      <c r="K120" s="14" t="s">
        <v>1161</v>
      </c>
      <c r="L120" s="42" t="s">
        <v>1158</v>
      </c>
      <c r="M120" s="43" t="s">
        <v>48</v>
      </c>
      <c r="N120" s="14" t="s">
        <v>1162</v>
      </c>
      <c r="O120" s="42" t="s">
        <v>1158</v>
      </c>
      <c r="P120" s="14">
        <v>2024.0</v>
      </c>
      <c r="Q120" s="14" t="s">
        <v>418</v>
      </c>
      <c r="R120" s="14" t="s">
        <v>419</v>
      </c>
      <c r="S120" s="44" t="s">
        <v>57</v>
      </c>
      <c r="T120" s="16" t="s">
        <v>250</v>
      </c>
      <c r="U120" s="16" t="s">
        <v>59</v>
      </c>
      <c r="V120" s="45">
        <v>9.0</v>
      </c>
      <c r="Z120" s="46" t="s">
        <v>800</v>
      </c>
      <c r="AA120" s="47" t="s">
        <v>421</v>
      </c>
      <c r="AB120" s="16" t="s">
        <v>432</v>
      </c>
      <c r="AC120" s="16" t="s">
        <v>801</v>
      </c>
      <c r="AD120" s="47" t="s">
        <v>802</v>
      </c>
      <c r="AF120" s="16" t="s">
        <v>1040</v>
      </c>
      <c r="AG120" s="47" t="s">
        <v>599</v>
      </c>
      <c r="AH120" s="14" t="s">
        <v>1163</v>
      </c>
      <c r="AI120" s="14">
        <v>2024.0</v>
      </c>
      <c r="AJ120" s="14">
        <v>2024.0</v>
      </c>
      <c r="AK120" s="44" t="s">
        <v>70</v>
      </c>
    </row>
    <row r="121" ht="15.75" customHeight="1">
      <c r="A121" s="41">
        <f t="shared" si="1"/>
        <v>119</v>
      </c>
      <c r="B121" s="42" t="s">
        <v>1164</v>
      </c>
      <c r="C121" s="42" t="s">
        <v>1165</v>
      </c>
      <c r="D121" s="11" t="str">
        <f>IFERROR(__xludf.DUMMYFUNCTION("REGEXEXTRACT(C121,""[A-Z]{2,}"")"),"FMDS")</f>
        <v>FMDS</v>
      </c>
      <c r="E121" s="43" t="s">
        <v>48</v>
      </c>
      <c r="F121" s="43" t="s">
        <v>73</v>
      </c>
      <c r="G121" s="43" t="s">
        <v>50</v>
      </c>
      <c r="H121" s="43">
        <v>0.3</v>
      </c>
      <c r="I121" s="43">
        <v>9.0</v>
      </c>
      <c r="J121" s="14" t="s">
        <v>1166</v>
      </c>
      <c r="K121" s="14" t="s">
        <v>1167</v>
      </c>
      <c r="L121" s="42" t="s">
        <v>1164</v>
      </c>
      <c r="M121" s="43" t="s">
        <v>48</v>
      </c>
      <c r="N121" s="14" t="s">
        <v>1168</v>
      </c>
      <c r="O121" s="42" t="s">
        <v>1164</v>
      </c>
      <c r="P121" s="14">
        <v>2024.0</v>
      </c>
      <c r="Q121" s="14" t="s">
        <v>418</v>
      </c>
      <c r="R121" s="14" t="s">
        <v>419</v>
      </c>
      <c r="S121" s="44" t="s">
        <v>57</v>
      </c>
      <c r="T121" s="16" t="s">
        <v>250</v>
      </c>
      <c r="U121" s="16" t="s">
        <v>59</v>
      </c>
      <c r="V121" s="45">
        <v>9.0</v>
      </c>
      <c r="Z121" s="46" t="s">
        <v>800</v>
      </c>
      <c r="AA121" s="47" t="s">
        <v>421</v>
      </c>
      <c r="AB121" s="16" t="s">
        <v>432</v>
      </c>
      <c r="AC121" s="16" t="s">
        <v>801</v>
      </c>
      <c r="AD121" s="47" t="s">
        <v>802</v>
      </c>
      <c r="AF121" s="16" t="s">
        <v>1040</v>
      </c>
      <c r="AG121" s="47" t="s">
        <v>599</v>
      </c>
      <c r="AH121" s="14" t="s">
        <v>1169</v>
      </c>
      <c r="AI121" s="14">
        <v>2024.0</v>
      </c>
      <c r="AJ121" s="14">
        <v>2024.0</v>
      </c>
      <c r="AK121" s="44" t="s">
        <v>70</v>
      </c>
    </row>
    <row r="122" ht="15.75" customHeight="1">
      <c r="A122" s="41">
        <f t="shared" si="1"/>
        <v>120</v>
      </c>
      <c r="B122" s="42" t="s">
        <v>1170</v>
      </c>
      <c r="C122" s="42" t="s">
        <v>1171</v>
      </c>
      <c r="D122" s="11" t="str">
        <f>IFERROR(__xludf.DUMMYFUNCTION("REGEXEXTRACT(C122,""[A-Z]{2,}"")"),"FMDS")</f>
        <v>FMDS</v>
      </c>
      <c r="E122" s="43" t="s">
        <v>48</v>
      </c>
      <c r="F122" s="43" t="s">
        <v>73</v>
      </c>
      <c r="G122" s="43" t="s">
        <v>50</v>
      </c>
      <c r="H122" s="43">
        <v>0.39</v>
      </c>
      <c r="I122" s="43">
        <v>9.0</v>
      </c>
      <c r="J122" s="14" t="s">
        <v>1172</v>
      </c>
      <c r="K122" s="14" t="s">
        <v>1173</v>
      </c>
      <c r="L122" s="42" t="s">
        <v>1170</v>
      </c>
      <c r="M122" s="43" t="s">
        <v>48</v>
      </c>
      <c r="N122" s="14" t="s">
        <v>1174</v>
      </c>
      <c r="O122" s="42" t="s">
        <v>1170</v>
      </c>
      <c r="P122" s="14">
        <v>2023.0</v>
      </c>
      <c r="Q122" s="14" t="s">
        <v>418</v>
      </c>
      <c r="R122" s="14" t="s">
        <v>419</v>
      </c>
      <c r="S122" s="44" t="s">
        <v>57</v>
      </c>
      <c r="T122" s="16" t="s">
        <v>250</v>
      </c>
      <c r="U122" s="16" t="s">
        <v>59</v>
      </c>
      <c r="V122" s="45">
        <v>9.0</v>
      </c>
      <c r="Z122" s="46" t="s">
        <v>800</v>
      </c>
      <c r="AA122" s="47" t="s">
        <v>421</v>
      </c>
      <c r="AB122" s="16" t="s">
        <v>432</v>
      </c>
      <c r="AC122" s="16" t="s">
        <v>801</v>
      </c>
      <c r="AD122" s="47" t="s">
        <v>802</v>
      </c>
      <c r="AF122" s="16" t="s">
        <v>1040</v>
      </c>
      <c r="AG122" s="47" t="s">
        <v>599</v>
      </c>
      <c r="AH122" s="14" t="s">
        <v>1175</v>
      </c>
      <c r="AI122" s="14">
        <v>2023.0</v>
      </c>
      <c r="AJ122" s="14">
        <v>2023.0</v>
      </c>
      <c r="AK122" s="44" t="s">
        <v>70</v>
      </c>
    </row>
    <row r="123" ht="15.75" customHeight="1">
      <c r="A123" s="41">
        <f t="shared" si="1"/>
        <v>121</v>
      </c>
      <c r="B123" s="42" t="s">
        <v>1176</v>
      </c>
      <c r="C123" s="42" t="s">
        <v>1177</v>
      </c>
      <c r="D123" s="11" t="str">
        <f>IFERROR(__xludf.DUMMYFUNCTION("REGEXEXTRACT(C123,""[A-Z]{2,}"")"),"FMDS")</f>
        <v>FMDS</v>
      </c>
      <c r="E123" s="43" t="s">
        <v>48</v>
      </c>
      <c r="F123" s="43" t="s">
        <v>73</v>
      </c>
      <c r="G123" s="43" t="s">
        <v>50</v>
      </c>
      <c r="H123" s="43">
        <v>0.5</v>
      </c>
      <c r="I123" s="43">
        <v>17.0</v>
      </c>
      <c r="J123" s="14" t="s">
        <v>1178</v>
      </c>
      <c r="K123" s="14" t="s">
        <v>1179</v>
      </c>
      <c r="L123" s="42" t="s">
        <v>1176</v>
      </c>
      <c r="M123" s="43" t="s">
        <v>48</v>
      </c>
      <c r="N123" s="14" t="s">
        <v>1180</v>
      </c>
      <c r="O123" s="42" t="s">
        <v>1176</v>
      </c>
      <c r="P123" s="14">
        <v>2023.0</v>
      </c>
      <c r="Q123" s="14" t="s">
        <v>418</v>
      </c>
      <c r="R123" s="14" t="s">
        <v>419</v>
      </c>
      <c r="S123" s="44" t="s">
        <v>57</v>
      </c>
      <c r="T123" s="16" t="s">
        <v>250</v>
      </c>
      <c r="U123" s="16" t="s">
        <v>59</v>
      </c>
      <c r="V123" s="45">
        <v>9.0</v>
      </c>
      <c r="Z123" s="46" t="s">
        <v>800</v>
      </c>
      <c r="AA123" s="47" t="s">
        <v>421</v>
      </c>
      <c r="AB123" s="16" t="s">
        <v>432</v>
      </c>
      <c r="AC123" s="16" t="s">
        <v>801</v>
      </c>
      <c r="AD123" s="47" t="s">
        <v>802</v>
      </c>
      <c r="AF123" s="16" t="s">
        <v>1040</v>
      </c>
      <c r="AG123" s="47" t="s">
        <v>599</v>
      </c>
      <c r="AH123" s="14" t="s">
        <v>1181</v>
      </c>
      <c r="AI123" s="14">
        <v>2023.0</v>
      </c>
      <c r="AJ123" s="14">
        <v>2023.0</v>
      </c>
      <c r="AK123" s="44" t="s">
        <v>70</v>
      </c>
    </row>
    <row r="124" ht="15.75" customHeight="1">
      <c r="A124" s="41">
        <f t="shared" si="1"/>
        <v>122</v>
      </c>
      <c r="B124" s="42" t="s">
        <v>1182</v>
      </c>
      <c r="C124" s="42" t="s">
        <v>1183</v>
      </c>
      <c r="D124" s="11" t="str">
        <f>IFERROR(__xludf.DUMMYFUNCTION("REGEXEXTRACT(C124,""[A-Z]{2,}"")"),"FMDS")</f>
        <v>FMDS</v>
      </c>
      <c r="E124" s="43" t="s">
        <v>48</v>
      </c>
      <c r="F124" s="43" t="s">
        <v>73</v>
      </c>
      <c r="G124" s="43" t="s">
        <v>50</v>
      </c>
      <c r="H124" s="43">
        <v>0.11</v>
      </c>
      <c r="I124" s="43">
        <v>7.0</v>
      </c>
      <c r="J124" s="14" t="s">
        <v>1184</v>
      </c>
      <c r="K124" s="14" t="s">
        <v>1185</v>
      </c>
      <c r="L124" s="42" t="s">
        <v>1182</v>
      </c>
      <c r="M124" s="43" t="s">
        <v>48</v>
      </c>
      <c r="N124" s="14" t="s">
        <v>1186</v>
      </c>
      <c r="O124" s="42" t="s">
        <v>1182</v>
      </c>
      <c r="P124" s="14">
        <v>2022.0</v>
      </c>
      <c r="Q124" s="14" t="s">
        <v>418</v>
      </c>
      <c r="R124" s="14" t="s">
        <v>419</v>
      </c>
      <c r="S124" s="44" t="s">
        <v>57</v>
      </c>
      <c r="T124" s="16" t="s">
        <v>250</v>
      </c>
      <c r="U124" s="16" t="s">
        <v>59</v>
      </c>
      <c r="V124" s="45">
        <v>9.0</v>
      </c>
      <c r="Z124" s="46" t="s">
        <v>431</v>
      </c>
      <c r="AA124" s="47" t="s">
        <v>421</v>
      </c>
      <c r="AB124" s="16" t="s">
        <v>432</v>
      </c>
      <c r="AC124" s="47" t="s">
        <v>433</v>
      </c>
      <c r="AD124" s="47" t="s">
        <v>434</v>
      </c>
      <c r="AF124" s="47" t="s">
        <v>598</v>
      </c>
      <c r="AG124" s="47" t="s">
        <v>599</v>
      </c>
      <c r="AH124" s="14" t="s">
        <v>1187</v>
      </c>
      <c r="AI124" s="14">
        <v>2022.0</v>
      </c>
      <c r="AJ124" s="14">
        <v>2022.0</v>
      </c>
      <c r="AK124" s="44" t="s">
        <v>70</v>
      </c>
    </row>
    <row r="125" ht="15.75" customHeight="1">
      <c r="A125" s="41">
        <f t="shared" si="1"/>
        <v>123</v>
      </c>
      <c r="B125" s="42" t="s">
        <v>1188</v>
      </c>
      <c r="C125" s="42" t="s">
        <v>1189</v>
      </c>
      <c r="D125" s="11" t="str">
        <f>IFERROR(__xludf.DUMMYFUNCTION("REGEXEXTRACT(C125,""[A-Z]{2,}"")"),"FMDS")</f>
        <v>FMDS</v>
      </c>
      <c r="E125" s="43" t="s">
        <v>48</v>
      </c>
      <c r="F125" s="43" t="s">
        <v>73</v>
      </c>
      <c r="G125" s="43" t="s">
        <v>50</v>
      </c>
      <c r="H125" s="43">
        <v>2.46</v>
      </c>
      <c r="I125" s="43">
        <v>40.0</v>
      </c>
      <c r="J125" s="14" t="s">
        <v>1190</v>
      </c>
      <c r="K125" s="14" t="s">
        <v>1191</v>
      </c>
      <c r="L125" s="42" t="s">
        <v>1188</v>
      </c>
      <c r="M125" s="43" t="s">
        <v>48</v>
      </c>
      <c r="N125" s="14" t="s">
        <v>1192</v>
      </c>
      <c r="O125" s="42" t="s">
        <v>1188</v>
      </c>
      <c r="P125" s="14">
        <v>2025.0</v>
      </c>
      <c r="Q125" s="14" t="s">
        <v>418</v>
      </c>
      <c r="R125" s="14" t="s">
        <v>419</v>
      </c>
      <c r="S125" s="44" t="s">
        <v>57</v>
      </c>
      <c r="T125" s="16" t="s">
        <v>250</v>
      </c>
      <c r="U125" s="16" t="s">
        <v>59</v>
      </c>
      <c r="V125" s="45">
        <v>9.0</v>
      </c>
      <c r="Z125" s="46" t="s">
        <v>800</v>
      </c>
      <c r="AA125" s="47" t="s">
        <v>421</v>
      </c>
      <c r="AB125" s="16" t="s">
        <v>432</v>
      </c>
      <c r="AC125" s="16" t="s">
        <v>801</v>
      </c>
      <c r="AD125" s="47" t="s">
        <v>802</v>
      </c>
      <c r="AF125" s="16" t="s">
        <v>1040</v>
      </c>
      <c r="AG125" s="47" t="s">
        <v>599</v>
      </c>
      <c r="AH125" s="14" t="s">
        <v>1193</v>
      </c>
      <c r="AI125" s="14">
        <v>2025.0</v>
      </c>
      <c r="AJ125" s="14">
        <v>2025.0</v>
      </c>
      <c r="AK125" s="44" t="s">
        <v>70</v>
      </c>
    </row>
    <row r="126" ht="15.75" customHeight="1">
      <c r="A126" s="41">
        <f t="shared" si="1"/>
        <v>124</v>
      </c>
      <c r="B126" s="42" t="s">
        <v>1194</v>
      </c>
      <c r="C126" s="42" t="s">
        <v>1195</v>
      </c>
      <c r="D126" s="11" t="str">
        <f>IFERROR(__xludf.DUMMYFUNCTION("REGEXEXTRACT(C126,""[A-Z]{2,}"")"),"FMDS")</f>
        <v>FMDS</v>
      </c>
      <c r="E126" s="43" t="s">
        <v>48</v>
      </c>
      <c r="F126" s="43" t="s">
        <v>73</v>
      </c>
      <c r="G126" s="43" t="s">
        <v>50</v>
      </c>
      <c r="H126" s="43">
        <v>0.5</v>
      </c>
      <c r="I126" s="43">
        <v>54.0</v>
      </c>
      <c r="J126" s="14" t="s">
        <v>1196</v>
      </c>
      <c r="K126" s="14" t="s">
        <v>1197</v>
      </c>
      <c r="L126" s="42" t="s">
        <v>1194</v>
      </c>
      <c r="M126" s="43" t="s">
        <v>48</v>
      </c>
      <c r="N126" s="14" t="s">
        <v>1198</v>
      </c>
      <c r="O126" s="42" t="s">
        <v>1194</v>
      </c>
      <c r="P126" s="14">
        <v>2022.0</v>
      </c>
      <c r="Q126" s="14" t="s">
        <v>418</v>
      </c>
      <c r="R126" s="14" t="s">
        <v>419</v>
      </c>
      <c r="S126" s="44" t="s">
        <v>57</v>
      </c>
      <c r="T126" s="16" t="s">
        <v>250</v>
      </c>
      <c r="U126" s="16" t="s">
        <v>59</v>
      </c>
      <c r="V126" s="45">
        <v>9.0</v>
      </c>
      <c r="Z126" s="46" t="s">
        <v>800</v>
      </c>
      <c r="AA126" s="47" t="s">
        <v>421</v>
      </c>
      <c r="AB126" s="16" t="s">
        <v>432</v>
      </c>
      <c r="AC126" s="16" t="s">
        <v>801</v>
      </c>
      <c r="AD126" s="47" t="s">
        <v>802</v>
      </c>
      <c r="AF126" s="16" t="s">
        <v>921</v>
      </c>
      <c r="AG126" s="16" t="s">
        <v>630</v>
      </c>
      <c r="AH126" s="14" t="s">
        <v>1199</v>
      </c>
      <c r="AI126" s="14">
        <v>2022.0</v>
      </c>
      <c r="AJ126" s="14">
        <v>2022.0</v>
      </c>
      <c r="AK126" s="44" t="s">
        <v>70</v>
      </c>
    </row>
    <row r="127" ht="15.75" customHeight="1">
      <c r="A127" s="41">
        <f t="shared" si="1"/>
        <v>125</v>
      </c>
      <c r="B127" s="42" t="s">
        <v>1200</v>
      </c>
      <c r="C127" s="42" t="s">
        <v>1201</v>
      </c>
      <c r="D127" s="11" t="str">
        <f>IFERROR(__xludf.DUMMYFUNCTION("REGEXEXTRACT(C127,""[A-Z]{2,}"")"),"FMDS")</f>
        <v>FMDS</v>
      </c>
      <c r="E127" s="43" t="s">
        <v>48</v>
      </c>
      <c r="F127" s="43" t="s">
        <v>73</v>
      </c>
      <c r="G127" s="43" t="s">
        <v>50</v>
      </c>
      <c r="H127" s="43">
        <v>0.45</v>
      </c>
      <c r="I127" s="43">
        <v>20.0</v>
      </c>
      <c r="J127" s="14" t="s">
        <v>1202</v>
      </c>
      <c r="K127" s="14" t="s">
        <v>1203</v>
      </c>
      <c r="L127" s="42" t="s">
        <v>1200</v>
      </c>
      <c r="M127" s="43" t="s">
        <v>48</v>
      </c>
      <c r="N127" s="14" t="s">
        <v>1204</v>
      </c>
      <c r="O127" s="42" t="s">
        <v>1200</v>
      </c>
      <c r="P127" s="14">
        <v>2018.0</v>
      </c>
      <c r="Q127" s="14" t="s">
        <v>418</v>
      </c>
      <c r="R127" s="14" t="s">
        <v>419</v>
      </c>
      <c r="S127" s="44" t="s">
        <v>57</v>
      </c>
      <c r="T127" s="16" t="s">
        <v>250</v>
      </c>
      <c r="U127" s="16" t="s">
        <v>59</v>
      </c>
      <c r="V127" s="45">
        <v>9.0</v>
      </c>
      <c r="Z127" s="46" t="s">
        <v>431</v>
      </c>
      <c r="AA127" s="47" t="s">
        <v>421</v>
      </c>
      <c r="AB127" s="16" t="s">
        <v>432</v>
      </c>
      <c r="AC127" s="47" t="s">
        <v>433</v>
      </c>
      <c r="AD127" s="47" t="s">
        <v>434</v>
      </c>
      <c r="AF127" s="47" t="s">
        <v>598</v>
      </c>
      <c r="AG127" s="16" t="s">
        <v>630</v>
      </c>
      <c r="AH127" s="14" t="s">
        <v>1205</v>
      </c>
      <c r="AI127" s="14">
        <v>2018.0</v>
      </c>
      <c r="AJ127" s="14">
        <v>2018.0</v>
      </c>
      <c r="AK127" s="44" t="s">
        <v>70</v>
      </c>
    </row>
    <row r="128" ht="15.75" customHeight="1">
      <c r="A128" s="41">
        <f t="shared" si="1"/>
        <v>126</v>
      </c>
      <c r="B128" s="42" t="s">
        <v>1206</v>
      </c>
      <c r="C128" s="42" t="s">
        <v>1207</v>
      </c>
      <c r="D128" s="11" t="str">
        <f>IFERROR(__xludf.DUMMYFUNCTION("REGEXEXTRACT(C128,""[A-Z]{2,}"")"),"FMDS")</f>
        <v>FMDS</v>
      </c>
      <c r="E128" s="43" t="s">
        <v>48</v>
      </c>
      <c r="F128" s="43" t="s">
        <v>73</v>
      </c>
      <c r="G128" s="43" t="s">
        <v>50</v>
      </c>
      <c r="H128" s="43">
        <v>0.53</v>
      </c>
      <c r="I128" s="43">
        <v>44.0</v>
      </c>
      <c r="J128" s="14" t="s">
        <v>1208</v>
      </c>
      <c r="K128" s="14" t="s">
        <v>1209</v>
      </c>
      <c r="L128" s="42" t="s">
        <v>1206</v>
      </c>
      <c r="M128" s="43" t="s">
        <v>48</v>
      </c>
      <c r="N128" s="14" t="s">
        <v>1210</v>
      </c>
      <c r="O128" s="42" t="s">
        <v>1206</v>
      </c>
      <c r="P128" s="14">
        <v>2019.0</v>
      </c>
      <c r="Q128" s="14" t="s">
        <v>418</v>
      </c>
      <c r="R128" s="14" t="s">
        <v>419</v>
      </c>
      <c r="S128" s="44" t="s">
        <v>57</v>
      </c>
      <c r="T128" s="16" t="s">
        <v>250</v>
      </c>
      <c r="U128" s="16" t="s">
        <v>59</v>
      </c>
      <c r="V128" s="45">
        <v>9.0</v>
      </c>
      <c r="Z128" s="46" t="s">
        <v>60</v>
      </c>
      <c r="AA128" s="47" t="s">
        <v>421</v>
      </c>
      <c r="AB128" s="16" t="s">
        <v>432</v>
      </c>
      <c r="AC128" s="47" t="s">
        <v>63</v>
      </c>
      <c r="AD128" s="47" t="s">
        <v>423</v>
      </c>
      <c r="AE128" s="14" t="s">
        <v>1025</v>
      </c>
      <c r="AF128" s="47" t="s">
        <v>65</v>
      </c>
      <c r="AG128" s="16" t="s">
        <v>1033</v>
      </c>
      <c r="AH128" s="14" t="s">
        <v>1211</v>
      </c>
      <c r="AI128" s="14">
        <v>2019.0</v>
      </c>
      <c r="AJ128" s="14">
        <v>2019.0</v>
      </c>
      <c r="AK128" s="44" t="s">
        <v>70</v>
      </c>
    </row>
    <row r="129" ht="15.75" customHeight="1">
      <c r="A129" s="41">
        <f t="shared" si="1"/>
        <v>127</v>
      </c>
      <c r="B129" s="42" t="s">
        <v>1212</v>
      </c>
      <c r="C129" s="42" t="s">
        <v>1213</v>
      </c>
      <c r="D129" s="11" t="str">
        <f>IFERROR(__xludf.DUMMYFUNCTION("REGEXEXTRACT(C129,""[A-Z]{2,}"")"),"FMDS")</f>
        <v>FMDS</v>
      </c>
      <c r="E129" s="43" t="s">
        <v>48</v>
      </c>
      <c r="F129" s="43" t="s">
        <v>73</v>
      </c>
      <c r="G129" s="43" t="s">
        <v>50</v>
      </c>
      <c r="H129" s="43">
        <v>0.05</v>
      </c>
      <c r="I129" s="43">
        <v>5.0</v>
      </c>
      <c r="J129" s="14" t="s">
        <v>1214</v>
      </c>
      <c r="K129" s="14" t="s">
        <v>1215</v>
      </c>
      <c r="L129" s="42" t="s">
        <v>1212</v>
      </c>
      <c r="M129" s="43" t="s">
        <v>48</v>
      </c>
      <c r="N129" s="14" t="s">
        <v>1216</v>
      </c>
      <c r="O129" s="42" t="s">
        <v>1212</v>
      </c>
      <c r="P129" s="14">
        <v>2025.0</v>
      </c>
      <c r="Q129" s="14" t="s">
        <v>418</v>
      </c>
      <c r="R129" s="14" t="s">
        <v>419</v>
      </c>
      <c r="S129" s="44" t="s">
        <v>57</v>
      </c>
      <c r="T129" s="16" t="s">
        <v>250</v>
      </c>
      <c r="U129" s="16" t="s">
        <v>59</v>
      </c>
      <c r="V129" s="45">
        <v>9.0</v>
      </c>
      <c r="Z129" s="46" t="s">
        <v>431</v>
      </c>
      <c r="AA129" s="47" t="s">
        <v>421</v>
      </c>
      <c r="AB129" s="16" t="s">
        <v>432</v>
      </c>
      <c r="AC129" s="47" t="s">
        <v>433</v>
      </c>
      <c r="AD129" s="47" t="s">
        <v>434</v>
      </c>
      <c r="AF129" s="47" t="s">
        <v>598</v>
      </c>
      <c r="AG129" s="16" t="s">
        <v>630</v>
      </c>
      <c r="AH129" s="14" t="s">
        <v>1217</v>
      </c>
      <c r="AI129" s="14">
        <v>2025.0</v>
      </c>
      <c r="AJ129" s="14">
        <v>2025.0</v>
      </c>
      <c r="AK129" s="44" t="s">
        <v>70</v>
      </c>
    </row>
    <row r="130" ht="15.75" customHeight="1">
      <c r="A130" s="41">
        <f t="shared" si="1"/>
        <v>128</v>
      </c>
      <c r="B130" s="42" t="s">
        <v>1218</v>
      </c>
      <c r="C130" s="42" t="s">
        <v>1219</v>
      </c>
      <c r="D130" s="11" t="str">
        <f>IFERROR(__xludf.DUMMYFUNCTION("REGEXEXTRACT(C130,""[A-Z]{2,}"")"),"FMDS")</f>
        <v>FMDS</v>
      </c>
      <c r="E130" s="43" t="s">
        <v>48</v>
      </c>
      <c r="F130" s="43" t="s">
        <v>73</v>
      </c>
      <c r="G130" s="43" t="s">
        <v>50</v>
      </c>
      <c r="H130" s="43">
        <v>0.19</v>
      </c>
      <c r="I130" s="43">
        <v>18.0</v>
      </c>
      <c r="J130" s="14" t="s">
        <v>1220</v>
      </c>
      <c r="K130" s="14" t="s">
        <v>1221</v>
      </c>
      <c r="L130" s="42" t="s">
        <v>1218</v>
      </c>
      <c r="M130" s="43" t="s">
        <v>48</v>
      </c>
      <c r="N130" s="14" t="s">
        <v>1222</v>
      </c>
      <c r="O130" s="42" t="s">
        <v>1218</v>
      </c>
      <c r="P130" s="14">
        <v>2012.0</v>
      </c>
      <c r="Q130" s="14" t="s">
        <v>418</v>
      </c>
      <c r="R130" s="14" t="s">
        <v>419</v>
      </c>
      <c r="S130" s="44" t="s">
        <v>57</v>
      </c>
      <c r="T130" s="16" t="s">
        <v>250</v>
      </c>
      <c r="U130" s="16" t="s">
        <v>59</v>
      </c>
      <c r="V130" s="45">
        <v>9.0</v>
      </c>
      <c r="Z130" s="46" t="s">
        <v>60</v>
      </c>
      <c r="AA130" s="47" t="s">
        <v>421</v>
      </c>
      <c r="AB130" s="16" t="s">
        <v>432</v>
      </c>
      <c r="AC130" s="47" t="s">
        <v>63</v>
      </c>
      <c r="AD130" s="47" t="s">
        <v>423</v>
      </c>
      <c r="AE130" s="14" t="s">
        <v>1025</v>
      </c>
      <c r="AF130" s="47" t="s">
        <v>65</v>
      </c>
      <c r="AG130" s="16" t="s">
        <v>1033</v>
      </c>
      <c r="AH130" s="14" t="s">
        <v>1223</v>
      </c>
      <c r="AI130" s="14">
        <v>2012.0</v>
      </c>
      <c r="AJ130" s="14">
        <v>2012.0</v>
      </c>
      <c r="AK130" s="44" t="s">
        <v>70</v>
      </c>
    </row>
    <row r="131" ht="15.75" customHeight="1">
      <c r="A131" s="41">
        <f t="shared" si="1"/>
        <v>129</v>
      </c>
      <c r="B131" s="42" t="s">
        <v>1224</v>
      </c>
      <c r="C131" s="42" t="s">
        <v>1225</v>
      </c>
      <c r="D131" s="11" t="str">
        <f>IFERROR(__xludf.DUMMYFUNCTION("REGEXEXTRACT(C131,""[A-Z]{2,}"")"),"FMDS")</f>
        <v>FMDS</v>
      </c>
      <c r="E131" s="43" t="s">
        <v>48</v>
      </c>
      <c r="F131" s="43" t="s">
        <v>73</v>
      </c>
      <c r="G131" s="43" t="s">
        <v>50</v>
      </c>
      <c r="H131" s="43">
        <v>0.11</v>
      </c>
      <c r="I131" s="43">
        <v>14.0</v>
      </c>
      <c r="J131" s="14" t="s">
        <v>1226</v>
      </c>
      <c r="K131" s="14" t="s">
        <v>1227</v>
      </c>
      <c r="L131" s="42" t="s">
        <v>1224</v>
      </c>
      <c r="M131" s="43" t="s">
        <v>48</v>
      </c>
      <c r="N131" s="14" t="s">
        <v>1228</v>
      </c>
      <c r="O131" s="42" t="s">
        <v>1224</v>
      </c>
      <c r="P131" s="14">
        <v>2023.0</v>
      </c>
      <c r="Q131" s="14" t="s">
        <v>418</v>
      </c>
      <c r="R131" s="14" t="s">
        <v>419</v>
      </c>
      <c r="S131" s="44" t="s">
        <v>57</v>
      </c>
      <c r="T131" s="16" t="s">
        <v>250</v>
      </c>
      <c r="U131" s="16" t="s">
        <v>59</v>
      </c>
      <c r="V131" s="45">
        <v>9.0</v>
      </c>
      <c r="Z131" s="46" t="s">
        <v>800</v>
      </c>
      <c r="AA131" s="47" t="s">
        <v>421</v>
      </c>
      <c r="AB131" s="16" t="s">
        <v>432</v>
      </c>
      <c r="AC131" s="16" t="s">
        <v>801</v>
      </c>
      <c r="AD131" s="47" t="s">
        <v>802</v>
      </c>
      <c r="AF131" s="16" t="s">
        <v>921</v>
      </c>
      <c r="AG131" s="16" t="s">
        <v>630</v>
      </c>
      <c r="AH131" s="14" t="s">
        <v>1229</v>
      </c>
      <c r="AI131" s="14">
        <v>2023.0</v>
      </c>
      <c r="AJ131" s="14">
        <v>2023.0</v>
      </c>
      <c r="AK131" s="44" t="s">
        <v>70</v>
      </c>
    </row>
    <row r="132" ht="15.75" customHeight="1">
      <c r="A132" s="41">
        <f t="shared" si="1"/>
        <v>130</v>
      </c>
      <c r="B132" s="42" t="s">
        <v>1230</v>
      </c>
      <c r="C132" s="42" t="s">
        <v>1231</v>
      </c>
      <c r="D132" s="11" t="str">
        <f>IFERROR(__xludf.DUMMYFUNCTION("REGEXEXTRACT(C132,""[A-Z]{2,}"")"),"FMDS")</f>
        <v>FMDS</v>
      </c>
      <c r="E132" s="43" t="s">
        <v>48</v>
      </c>
      <c r="F132" s="43" t="s">
        <v>73</v>
      </c>
      <c r="G132" s="43" t="s">
        <v>50</v>
      </c>
      <c r="H132" s="43">
        <v>0.3</v>
      </c>
      <c r="I132" s="43">
        <v>18.0</v>
      </c>
      <c r="J132" s="14" t="s">
        <v>1232</v>
      </c>
      <c r="K132" s="14" t="s">
        <v>1233</v>
      </c>
      <c r="L132" s="42" t="s">
        <v>1230</v>
      </c>
      <c r="M132" s="43" t="s">
        <v>48</v>
      </c>
      <c r="N132" s="14" t="s">
        <v>1234</v>
      </c>
      <c r="O132" s="42" t="s">
        <v>1230</v>
      </c>
      <c r="P132" s="14">
        <v>2023.0</v>
      </c>
      <c r="Q132" s="14" t="s">
        <v>418</v>
      </c>
      <c r="R132" s="14" t="s">
        <v>419</v>
      </c>
      <c r="S132" s="44" t="s">
        <v>57</v>
      </c>
      <c r="T132" s="16" t="s">
        <v>250</v>
      </c>
      <c r="U132" s="16" t="s">
        <v>59</v>
      </c>
      <c r="V132" s="45">
        <v>9.0</v>
      </c>
      <c r="Z132" s="46" t="s">
        <v>431</v>
      </c>
      <c r="AA132" s="47" t="s">
        <v>421</v>
      </c>
      <c r="AB132" s="16" t="s">
        <v>432</v>
      </c>
      <c r="AC132" s="47" t="s">
        <v>433</v>
      </c>
      <c r="AD132" s="47" t="s">
        <v>434</v>
      </c>
      <c r="AF132" s="47" t="s">
        <v>598</v>
      </c>
      <c r="AG132" s="16" t="s">
        <v>630</v>
      </c>
      <c r="AH132" s="14" t="s">
        <v>1235</v>
      </c>
      <c r="AI132" s="14">
        <v>2023.0</v>
      </c>
      <c r="AJ132" s="14">
        <v>2023.0</v>
      </c>
      <c r="AK132" s="44" t="s">
        <v>70</v>
      </c>
    </row>
    <row r="133" ht="15.75" customHeight="1">
      <c r="A133" s="41">
        <f t="shared" si="1"/>
        <v>131</v>
      </c>
      <c r="B133" s="42" t="s">
        <v>1236</v>
      </c>
      <c r="C133" s="42" t="s">
        <v>1237</v>
      </c>
      <c r="D133" s="11" t="str">
        <f>IFERROR(__xludf.DUMMYFUNCTION("REGEXEXTRACT(C133,""[A-Z]{2,}"")"),"FMDS")</f>
        <v>FMDS</v>
      </c>
      <c r="E133" s="43" t="s">
        <v>48</v>
      </c>
      <c r="F133" s="43" t="s">
        <v>73</v>
      </c>
      <c r="G133" s="43" t="s">
        <v>50</v>
      </c>
      <c r="H133" s="43">
        <v>0.07</v>
      </c>
      <c r="I133" s="43">
        <v>9.0</v>
      </c>
      <c r="J133" s="14" t="s">
        <v>1238</v>
      </c>
      <c r="K133" s="14" t="s">
        <v>1239</v>
      </c>
      <c r="L133" s="42" t="s">
        <v>1236</v>
      </c>
      <c r="M133" s="43" t="s">
        <v>48</v>
      </c>
      <c r="N133" s="14" t="s">
        <v>1240</v>
      </c>
      <c r="O133" s="42" t="s">
        <v>1236</v>
      </c>
      <c r="P133" s="14">
        <v>2012.0</v>
      </c>
      <c r="Q133" s="14" t="s">
        <v>418</v>
      </c>
      <c r="R133" s="14" t="s">
        <v>419</v>
      </c>
      <c r="S133" s="44" t="s">
        <v>57</v>
      </c>
      <c r="T133" s="16" t="s">
        <v>250</v>
      </c>
      <c r="U133" s="16" t="s">
        <v>59</v>
      </c>
      <c r="V133" s="45">
        <v>9.0</v>
      </c>
      <c r="Z133" s="46" t="s">
        <v>420</v>
      </c>
      <c r="AA133" s="47" t="s">
        <v>421</v>
      </c>
      <c r="AB133" s="16" t="s">
        <v>432</v>
      </c>
      <c r="AC133" s="47" t="s">
        <v>63</v>
      </c>
      <c r="AD133" s="47" t="s">
        <v>423</v>
      </c>
      <c r="AF133" s="47" t="s">
        <v>150</v>
      </c>
      <c r="AG133" s="16" t="s">
        <v>1026</v>
      </c>
      <c r="AH133" s="14" t="s">
        <v>1241</v>
      </c>
      <c r="AI133" s="14">
        <v>2012.0</v>
      </c>
      <c r="AJ133" s="14">
        <v>2012.0</v>
      </c>
      <c r="AK133" s="44" t="s">
        <v>70</v>
      </c>
    </row>
    <row r="134" ht="15.75" customHeight="1">
      <c r="A134" s="41">
        <f t="shared" si="1"/>
        <v>132</v>
      </c>
      <c r="B134" s="42" t="s">
        <v>1242</v>
      </c>
      <c r="C134" s="42" t="s">
        <v>1243</v>
      </c>
      <c r="D134" s="11" t="str">
        <f>IFERROR(__xludf.DUMMYFUNCTION("REGEXEXTRACT(C134,""[A-Z]{2,}"")"),"FMDS")</f>
        <v>FMDS</v>
      </c>
      <c r="E134" s="43" t="s">
        <v>48</v>
      </c>
      <c r="F134" s="43" t="s">
        <v>73</v>
      </c>
      <c r="G134" s="43" t="s">
        <v>50</v>
      </c>
      <c r="H134" s="43">
        <v>0.18</v>
      </c>
      <c r="I134" s="43">
        <v>12.0</v>
      </c>
      <c r="J134" s="14" t="s">
        <v>1244</v>
      </c>
      <c r="K134" s="14" t="s">
        <v>1245</v>
      </c>
      <c r="L134" s="42" t="s">
        <v>1242</v>
      </c>
      <c r="M134" s="43" t="s">
        <v>48</v>
      </c>
      <c r="N134" s="14" t="s">
        <v>1246</v>
      </c>
      <c r="O134" s="42" t="s">
        <v>1242</v>
      </c>
      <c r="P134" s="14">
        <v>2025.0</v>
      </c>
      <c r="Q134" s="14" t="s">
        <v>418</v>
      </c>
      <c r="R134" s="14" t="s">
        <v>419</v>
      </c>
      <c r="S134" s="44" t="s">
        <v>57</v>
      </c>
      <c r="T134" s="16" t="s">
        <v>250</v>
      </c>
      <c r="U134" s="16" t="s">
        <v>59</v>
      </c>
      <c r="V134" s="45">
        <v>9.0</v>
      </c>
      <c r="Z134" s="46" t="s">
        <v>800</v>
      </c>
      <c r="AA134" s="47" t="s">
        <v>421</v>
      </c>
      <c r="AB134" s="16" t="s">
        <v>432</v>
      </c>
      <c r="AC134" s="16" t="s">
        <v>801</v>
      </c>
      <c r="AD134" s="47" t="s">
        <v>802</v>
      </c>
      <c r="AF134" s="16" t="s">
        <v>921</v>
      </c>
      <c r="AG134" s="16" t="s">
        <v>630</v>
      </c>
      <c r="AH134" s="14" t="s">
        <v>1247</v>
      </c>
      <c r="AI134" s="14">
        <v>2025.0</v>
      </c>
      <c r="AJ134" s="14">
        <v>2025.0</v>
      </c>
      <c r="AK134" s="44" t="s">
        <v>70</v>
      </c>
    </row>
    <row r="135" ht="15.75" customHeight="1">
      <c r="A135" s="41">
        <f t="shared" si="1"/>
        <v>133</v>
      </c>
      <c r="B135" s="42" t="s">
        <v>1248</v>
      </c>
      <c r="C135" s="42" t="s">
        <v>1249</v>
      </c>
      <c r="D135" s="11" t="str">
        <f>IFERROR(__xludf.DUMMYFUNCTION("REGEXEXTRACT(C135,""[A-Z]{2,}"")"),"FMDS")</f>
        <v>FMDS</v>
      </c>
      <c r="E135" s="43" t="s">
        <v>48</v>
      </c>
      <c r="F135" s="43" t="s">
        <v>73</v>
      </c>
      <c r="G135" s="43" t="s">
        <v>50</v>
      </c>
      <c r="H135" s="43">
        <v>0.26</v>
      </c>
      <c r="I135" s="43">
        <v>25.0</v>
      </c>
      <c r="J135" s="14" t="s">
        <v>1250</v>
      </c>
      <c r="K135" s="14" t="s">
        <v>1251</v>
      </c>
      <c r="L135" s="42" t="s">
        <v>1248</v>
      </c>
      <c r="M135" s="43" t="s">
        <v>48</v>
      </c>
      <c r="N135" s="14" t="s">
        <v>1252</v>
      </c>
      <c r="O135" s="42" t="s">
        <v>1248</v>
      </c>
      <c r="P135" s="14">
        <v>2025.0</v>
      </c>
      <c r="Q135" s="14" t="s">
        <v>418</v>
      </c>
      <c r="R135" s="14" t="s">
        <v>419</v>
      </c>
      <c r="S135" s="44" t="s">
        <v>57</v>
      </c>
      <c r="T135" s="16" t="s">
        <v>250</v>
      </c>
      <c r="U135" s="16" t="s">
        <v>59</v>
      </c>
      <c r="V135" s="45">
        <v>9.0</v>
      </c>
      <c r="Z135" s="46" t="s">
        <v>431</v>
      </c>
      <c r="AA135" s="47" t="s">
        <v>421</v>
      </c>
      <c r="AB135" s="16" t="s">
        <v>432</v>
      </c>
      <c r="AC135" s="47" t="s">
        <v>433</v>
      </c>
      <c r="AD135" s="47" t="s">
        <v>434</v>
      </c>
      <c r="AF135" s="47" t="s">
        <v>598</v>
      </c>
      <c r="AG135" s="16" t="s">
        <v>630</v>
      </c>
      <c r="AH135" s="14" t="s">
        <v>1253</v>
      </c>
      <c r="AI135" s="14">
        <v>2025.0</v>
      </c>
      <c r="AJ135" s="14">
        <v>2025.0</v>
      </c>
      <c r="AK135" s="44" t="s">
        <v>70</v>
      </c>
    </row>
    <row r="136" ht="15.75" customHeight="1">
      <c r="A136" s="41">
        <f t="shared" si="1"/>
        <v>134</v>
      </c>
      <c r="B136" s="42" t="s">
        <v>1254</v>
      </c>
      <c r="C136" s="42" t="s">
        <v>1255</v>
      </c>
      <c r="D136" s="11" t="str">
        <f>IFERROR(__xludf.DUMMYFUNCTION("REGEXEXTRACT(C136,""[A-Z]{2,}"")"),"FMDS")</f>
        <v>FMDS</v>
      </c>
      <c r="E136" s="43" t="s">
        <v>48</v>
      </c>
      <c r="F136" s="43" t="s">
        <v>73</v>
      </c>
      <c r="G136" s="43" t="s">
        <v>50</v>
      </c>
      <c r="H136" s="43">
        <v>0.26</v>
      </c>
      <c r="I136" s="43">
        <v>31.0</v>
      </c>
      <c r="J136" s="14" t="s">
        <v>1256</v>
      </c>
      <c r="K136" s="14" t="s">
        <v>1257</v>
      </c>
      <c r="L136" s="42" t="s">
        <v>1254</v>
      </c>
      <c r="M136" s="43" t="s">
        <v>48</v>
      </c>
      <c r="N136" s="14" t="s">
        <v>1258</v>
      </c>
      <c r="O136" s="42" t="s">
        <v>1254</v>
      </c>
      <c r="P136" s="14">
        <v>2018.0</v>
      </c>
      <c r="Q136" s="14" t="s">
        <v>418</v>
      </c>
      <c r="R136" s="14" t="s">
        <v>419</v>
      </c>
      <c r="S136" s="44" t="s">
        <v>57</v>
      </c>
      <c r="T136" s="16" t="s">
        <v>250</v>
      </c>
      <c r="U136" s="16" t="s">
        <v>59</v>
      </c>
      <c r="V136" s="45">
        <v>9.0</v>
      </c>
      <c r="Z136" s="46" t="s">
        <v>60</v>
      </c>
      <c r="AA136" s="47" t="s">
        <v>421</v>
      </c>
      <c r="AB136" s="16" t="s">
        <v>432</v>
      </c>
      <c r="AC136" s="47" t="s">
        <v>63</v>
      </c>
      <c r="AD136" s="47" t="s">
        <v>423</v>
      </c>
      <c r="AF136" s="47" t="s">
        <v>150</v>
      </c>
      <c r="AG136" s="16" t="s">
        <v>1026</v>
      </c>
      <c r="AH136" s="14" t="s">
        <v>1259</v>
      </c>
      <c r="AI136" s="14">
        <v>2018.0</v>
      </c>
      <c r="AJ136" s="14">
        <v>2018.0</v>
      </c>
      <c r="AK136" s="44" t="s">
        <v>70</v>
      </c>
    </row>
    <row r="137" ht="15.75" customHeight="1">
      <c r="A137" s="41">
        <f t="shared" si="1"/>
        <v>135</v>
      </c>
      <c r="B137" s="42" t="s">
        <v>1260</v>
      </c>
      <c r="C137" s="42" t="s">
        <v>1261</v>
      </c>
      <c r="D137" s="11" t="str">
        <f>IFERROR(__xludf.DUMMYFUNCTION("REGEXEXTRACT(C137,""[A-Z]{2,}"")"),"FMDS")</f>
        <v>FMDS</v>
      </c>
      <c r="E137" s="43" t="s">
        <v>48</v>
      </c>
      <c r="F137" s="43" t="s">
        <v>73</v>
      </c>
      <c r="G137" s="43" t="s">
        <v>50</v>
      </c>
      <c r="H137" s="43">
        <v>0.09</v>
      </c>
      <c r="I137" s="43">
        <v>15.0</v>
      </c>
      <c r="J137" s="14" t="s">
        <v>1262</v>
      </c>
      <c r="K137" s="14" t="s">
        <v>1263</v>
      </c>
      <c r="L137" s="42" t="s">
        <v>1260</v>
      </c>
      <c r="M137" s="43" t="s">
        <v>48</v>
      </c>
      <c r="N137" s="14" t="s">
        <v>1264</v>
      </c>
      <c r="O137" s="42" t="s">
        <v>1260</v>
      </c>
      <c r="P137" s="14">
        <v>2021.0</v>
      </c>
      <c r="Q137" s="14" t="s">
        <v>418</v>
      </c>
      <c r="R137" s="14" t="s">
        <v>419</v>
      </c>
      <c r="S137" s="44" t="s">
        <v>57</v>
      </c>
      <c r="T137" s="16" t="s">
        <v>250</v>
      </c>
      <c r="U137" s="16" t="s">
        <v>59</v>
      </c>
      <c r="V137" s="45">
        <v>9.0</v>
      </c>
      <c r="Z137" s="46" t="s">
        <v>60</v>
      </c>
      <c r="AA137" s="47" t="s">
        <v>421</v>
      </c>
      <c r="AB137" s="16" t="s">
        <v>432</v>
      </c>
      <c r="AC137" s="47" t="s">
        <v>63</v>
      </c>
      <c r="AD137" s="47" t="s">
        <v>423</v>
      </c>
      <c r="AF137" s="47" t="s">
        <v>150</v>
      </c>
      <c r="AG137" s="16" t="s">
        <v>1026</v>
      </c>
      <c r="AH137" s="14" t="s">
        <v>1265</v>
      </c>
      <c r="AI137" s="14">
        <v>2021.0</v>
      </c>
      <c r="AJ137" s="14">
        <v>2021.0</v>
      </c>
      <c r="AK137" s="44" t="s">
        <v>70</v>
      </c>
    </row>
    <row r="138" ht="15.75" customHeight="1">
      <c r="A138" s="41">
        <f t="shared" si="1"/>
        <v>136</v>
      </c>
      <c r="B138" s="42" t="s">
        <v>1266</v>
      </c>
      <c r="C138" s="42" t="s">
        <v>1267</v>
      </c>
      <c r="D138" s="11" t="str">
        <f>IFERROR(__xludf.DUMMYFUNCTION("REGEXEXTRACT(C138,""[A-Z]{2,}"")"),"FMDS")</f>
        <v>FMDS</v>
      </c>
      <c r="E138" s="43" t="s">
        <v>48</v>
      </c>
      <c r="F138" s="43" t="s">
        <v>73</v>
      </c>
      <c r="G138" s="43" t="s">
        <v>50</v>
      </c>
      <c r="H138" s="43">
        <v>2.88</v>
      </c>
      <c r="I138" s="43">
        <v>157.0</v>
      </c>
      <c r="J138" s="14" t="s">
        <v>1268</v>
      </c>
      <c r="K138" s="14" t="s">
        <v>1269</v>
      </c>
      <c r="L138" s="42" t="s">
        <v>1266</v>
      </c>
      <c r="M138" s="43" t="s">
        <v>48</v>
      </c>
      <c r="N138" s="14" t="s">
        <v>1270</v>
      </c>
      <c r="O138" s="42" t="s">
        <v>1266</v>
      </c>
      <c r="P138" s="14">
        <v>2025.0</v>
      </c>
      <c r="Q138" s="14" t="s">
        <v>418</v>
      </c>
      <c r="R138" s="14" t="s">
        <v>419</v>
      </c>
      <c r="S138" s="44" t="s">
        <v>57</v>
      </c>
      <c r="T138" s="16" t="s">
        <v>250</v>
      </c>
      <c r="U138" s="16" t="s">
        <v>59</v>
      </c>
      <c r="V138" s="45">
        <v>9.0</v>
      </c>
      <c r="Z138" s="46" t="s">
        <v>60</v>
      </c>
      <c r="AA138" s="47" t="s">
        <v>421</v>
      </c>
      <c r="AB138" s="16" t="s">
        <v>432</v>
      </c>
      <c r="AC138" s="47" t="s">
        <v>63</v>
      </c>
      <c r="AD138" s="47" t="s">
        <v>423</v>
      </c>
      <c r="AF138" s="47" t="s">
        <v>65</v>
      </c>
      <c r="AG138" s="16" t="s">
        <v>1271</v>
      </c>
      <c r="AH138" s="14" t="s">
        <v>1272</v>
      </c>
      <c r="AI138" s="14">
        <v>2025.0</v>
      </c>
      <c r="AJ138" s="14">
        <v>2025.0</v>
      </c>
      <c r="AK138" s="44" t="s">
        <v>70</v>
      </c>
    </row>
    <row r="139" ht="15.75" customHeight="1">
      <c r="A139" s="41">
        <f t="shared" si="1"/>
        <v>137</v>
      </c>
      <c r="B139" s="42" t="s">
        <v>1273</v>
      </c>
      <c r="C139" s="42" t="s">
        <v>1274</v>
      </c>
      <c r="D139" s="11" t="str">
        <f>IFERROR(__xludf.DUMMYFUNCTION("REGEXEXTRACT(C139,""[A-Z]{2,}"")"),"FMDS")</f>
        <v>FMDS</v>
      </c>
      <c r="E139" s="43" t="s">
        <v>48</v>
      </c>
      <c r="F139" s="43" t="s">
        <v>73</v>
      </c>
      <c r="G139" s="43" t="s">
        <v>50</v>
      </c>
      <c r="H139" s="43">
        <v>0.63</v>
      </c>
      <c r="I139" s="43">
        <v>66.0</v>
      </c>
      <c r="J139" s="14" t="s">
        <v>1275</v>
      </c>
      <c r="K139" s="14" t="s">
        <v>1276</v>
      </c>
      <c r="L139" s="42" t="s">
        <v>1273</v>
      </c>
      <c r="M139" s="43" t="s">
        <v>48</v>
      </c>
      <c r="N139" s="14" t="s">
        <v>1277</v>
      </c>
      <c r="O139" s="42" t="s">
        <v>1273</v>
      </c>
      <c r="P139" s="14">
        <v>2024.0</v>
      </c>
      <c r="Q139" s="14" t="s">
        <v>418</v>
      </c>
      <c r="R139" s="14" t="s">
        <v>419</v>
      </c>
      <c r="S139" s="44" t="s">
        <v>57</v>
      </c>
      <c r="T139" s="16" t="s">
        <v>250</v>
      </c>
      <c r="U139" s="16" t="s">
        <v>59</v>
      </c>
      <c r="V139" s="45">
        <v>9.0</v>
      </c>
      <c r="Z139" s="46" t="s">
        <v>60</v>
      </c>
      <c r="AA139" s="47" t="s">
        <v>421</v>
      </c>
      <c r="AB139" s="16" t="s">
        <v>432</v>
      </c>
      <c r="AC139" s="47" t="s">
        <v>63</v>
      </c>
      <c r="AD139" s="47" t="s">
        <v>423</v>
      </c>
      <c r="AF139" s="47" t="s">
        <v>65</v>
      </c>
      <c r="AG139" s="16" t="s">
        <v>1271</v>
      </c>
      <c r="AH139" s="14" t="s">
        <v>1278</v>
      </c>
      <c r="AI139" s="14">
        <v>2024.0</v>
      </c>
      <c r="AJ139" s="14">
        <v>2024.0</v>
      </c>
      <c r="AK139" s="44" t="s">
        <v>70</v>
      </c>
    </row>
    <row r="140" ht="15.75" customHeight="1">
      <c r="A140" s="41">
        <f t="shared" si="1"/>
        <v>138</v>
      </c>
      <c r="B140" s="42" t="s">
        <v>1279</v>
      </c>
      <c r="C140" s="42" t="s">
        <v>1280</v>
      </c>
      <c r="D140" s="11" t="str">
        <f>IFERROR(__xludf.DUMMYFUNCTION("REGEXEXTRACT(C140,""[A-Z]{2,}"")"),"FMDS")</f>
        <v>FMDS</v>
      </c>
      <c r="E140" s="43" t="s">
        <v>48</v>
      </c>
      <c r="F140" s="43" t="s">
        <v>73</v>
      </c>
      <c r="G140" s="43" t="s">
        <v>50</v>
      </c>
      <c r="H140" s="43">
        <v>0.6</v>
      </c>
      <c r="I140" s="43">
        <v>62.0</v>
      </c>
      <c r="J140" s="14" t="s">
        <v>1281</v>
      </c>
      <c r="K140" s="14" t="s">
        <v>1282</v>
      </c>
      <c r="L140" s="42" t="s">
        <v>1279</v>
      </c>
      <c r="M140" s="43" t="s">
        <v>48</v>
      </c>
      <c r="N140" s="14" t="s">
        <v>1283</v>
      </c>
      <c r="O140" s="42" t="s">
        <v>1279</v>
      </c>
      <c r="P140" s="14">
        <v>2024.0</v>
      </c>
      <c r="Q140" s="14" t="s">
        <v>418</v>
      </c>
      <c r="R140" s="14" t="s">
        <v>419</v>
      </c>
      <c r="S140" s="44" t="s">
        <v>57</v>
      </c>
      <c r="T140" s="16" t="s">
        <v>250</v>
      </c>
      <c r="U140" s="16" t="s">
        <v>59</v>
      </c>
      <c r="V140" s="45">
        <v>9.0</v>
      </c>
      <c r="Z140" s="46" t="s">
        <v>60</v>
      </c>
      <c r="AA140" s="47" t="s">
        <v>421</v>
      </c>
      <c r="AB140" s="16" t="s">
        <v>432</v>
      </c>
      <c r="AC140" s="47" t="s">
        <v>63</v>
      </c>
      <c r="AD140" s="47" t="s">
        <v>423</v>
      </c>
      <c r="AF140" s="47" t="s">
        <v>150</v>
      </c>
      <c r="AG140" s="16" t="s">
        <v>1026</v>
      </c>
      <c r="AH140" s="14" t="s">
        <v>1284</v>
      </c>
      <c r="AI140" s="14">
        <v>2024.0</v>
      </c>
      <c r="AJ140" s="14">
        <v>2024.0</v>
      </c>
      <c r="AK140" s="44" t="s">
        <v>70</v>
      </c>
    </row>
    <row r="141" ht="15.75" customHeight="1">
      <c r="A141" s="41">
        <f t="shared" si="1"/>
        <v>139</v>
      </c>
      <c r="B141" s="42" t="s">
        <v>1285</v>
      </c>
      <c r="C141" s="42" t="s">
        <v>1286</v>
      </c>
      <c r="D141" s="11" t="str">
        <f>IFERROR(__xludf.DUMMYFUNCTION("REGEXEXTRACT(C141,""[A-Z]{2,}"")"),"FMDS")</f>
        <v>FMDS</v>
      </c>
      <c r="E141" s="43" t="s">
        <v>48</v>
      </c>
      <c r="F141" s="43" t="s">
        <v>73</v>
      </c>
      <c r="G141" s="43" t="s">
        <v>50</v>
      </c>
      <c r="H141" s="43">
        <v>0.36</v>
      </c>
      <c r="I141" s="43">
        <v>43.0</v>
      </c>
      <c r="J141" s="14" t="s">
        <v>1287</v>
      </c>
      <c r="K141" s="14" t="s">
        <v>1288</v>
      </c>
      <c r="L141" s="42" t="s">
        <v>1285</v>
      </c>
      <c r="M141" s="43" t="s">
        <v>48</v>
      </c>
      <c r="N141" s="14" t="s">
        <v>1289</v>
      </c>
      <c r="O141" s="42" t="s">
        <v>1285</v>
      </c>
      <c r="P141" s="14">
        <v>2025.0</v>
      </c>
      <c r="Q141" s="14" t="s">
        <v>418</v>
      </c>
      <c r="R141" s="14" t="s">
        <v>419</v>
      </c>
      <c r="S141" s="44" t="s">
        <v>57</v>
      </c>
      <c r="T141" s="16" t="s">
        <v>250</v>
      </c>
      <c r="U141" s="16" t="s">
        <v>59</v>
      </c>
      <c r="V141" s="45">
        <v>9.0</v>
      </c>
      <c r="Z141" s="46" t="s">
        <v>431</v>
      </c>
      <c r="AA141" s="47" t="s">
        <v>421</v>
      </c>
      <c r="AB141" s="16" t="s">
        <v>432</v>
      </c>
      <c r="AC141" s="47" t="s">
        <v>433</v>
      </c>
      <c r="AD141" s="47" t="s">
        <v>434</v>
      </c>
      <c r="AF141" s="47" t="s">
        <v>598</v>
      </c>
      <c r="AG141" s="16" t="s">
        <v>630</v>
      </c>
      <c r="AH141" s="14" t="s">
        <v>1290</v>
      </c>
      <c r="AI141" s="14">
        <v>2025.0</v>
      </c>
      <c r="AJ141" s="14">
        <v>2025.0</v>
      </c>
      <c r="AK141" s="44" t="s">
        <v>70</v>
      </c>
    </row>
    <row r="142" ht="15.75" customHeight="1">
      <c r="A142" s="41">
        <f t="shared" si="1"/>
        <v>140</v>
      </c>
      <c r="B142" s="42" t="s">
        <v>1291</v>
      </c>
      <c r="C142" s="42" t="s">
        <v>1292</v>
      </c>
      <c r="D142" s="11" t="str">
        <f>IFERROR(__xludf.DUMMYFUNCTION("REGEXEXTRACT(C142,""[A-Z]{2,}"")"),"FMDS")</f>
        <v>FMDS</v>
      </c>
      <c r="E142" s="43" t="s">
        <v>48</v>
      </c>
      <c r="F142" s="43" t="s">
        <v>73</v>
      </c>
      <c r="G142" s="43" t="s">
        <v>50</v>
      </c>
      <c r="H142" s="43">
        <v>2.0</v>
      </c>
      <c r="I142" s="43">
        <v>22.0</v>
      </c>
      <c r="J142" s="14" t="s">
        <v>1293</v>
      </c>
      <c r="K142" s="14" t="s">
        <v>1294</v>
      </c>
      <c r="L142" s="42" t="s">
        <v>1291</v>
      </c>
      <c r="M142" s="43" t="s">
        <v>48</v>
      </c>
      <c r="N142" s="14" t="s">
        <v>1295</v>
      </c>
      <c r="O142" s="42" t="s">
        <v>1291</v>
      </c>
      <c r="P142" s="14">
        <v>2021.0</v>
      </c>
      <c r="Q142" s="14" t="s">
        <v>418</v>
      </c>
      <c r="R142" s="14" t="s">
        <v>419</v>
      </c>
      <c r="S142" s="44" t="s">
        <v>57</v>
      </c>
      <c r="T142" s="16" t="s">
        <v>250</v>
      </c>
      <c r="U142" s="16" t="s">
        <v>59</v>
      </c>
      <c r="V142" s="45">
        <v>9.0</v>
      </c>
      <c r="Z142" s="46" t="s">
        <v>431</v>
      </c>
      <c r="AA142" s="47" t="s">
        <v>421</v>
      </c>
      <c r="AB142" s="16" t="s">
        <v>432</v>
      </c>
      <c r="AC142" s="47" t="s">
        <v>433</v>
      </c>
      <c r="AD142" s="47" t="s">
        <v>434</v>
      </c>
      <c r="AF142" s="47" t="s">
        <v>598</v>
      </c>
      <c r="AG142" s="47" t="s">
        <v>599</v>
      </c>
      <c r="AH142" s="14" t="s">
        <v>1296</v>
      </c>
      <c r="AI142" s="14">
        <v>2021.0</v>
      </c>
      <c r="AJ142" s="14">
        <v>2021.0</v>
      </c>
      <c r="AK142" s="44" t="s">
        <v>70</v>
      </c>
    </row>
    <row r="143" ht="15.75" customHeight="1">
      <c r="A143" s="41">
        <f t="shared" si="1"/>
        <v>141</v>
      </c>
      <c r="B143" s="42" t="s">
        <v>1297</v>
      </c>
      <c r="C143" s="42" t="s">
        <v>1298</v>
      </c>
      <c r="D143" s="11" t="str">
        <f>IFERROR(__xludf.DUMMYFUNCTION("REGEXEXTRACT(C143,""[A-Z]{2,}"")"),"FMDS")</f>
        <v>FMDS</v>
      </c>
      <c r="E143" s="43" t="s">
        <v>48</v>
      </c>
      <c r="F143" s="43" t="s">
        <v>73</v>
      </c>
      <c r="G143" s="43" t="s">
        <v>50</v>
      </c>
      <c r="H143" s="43">
        <v>0.3</v>
      </c>
      <c r="I143" s="43">
        <v>27.0</v>
      </c>
      <c r="J143" s="14" t="s">
        <v>1299</v>
      </c>
      <c r="K143" s="14" t="s">
        <v>1300</v>
      </c>
      <c r="L143" s="42" t="s">
        <v>1297</v>
      </c>
      <c r="M143" s="43" t="s">
        <v>48</v>
      </c>
      <c r="N143" s="14" t="s">
        <v>1301</v>
      </c>
      <c r="O143" s="42" t="s">
        <v>1297</v>
      </c>
      <c r="P143" s="14">
        <v>2021.0</v>
      </c>
      <c r="Q143" s="14" t="s">
        <v>418</v>
      </c>
      <c r="R143" s="14" t="s">
        <v>419</v>
      </c>
      <c r="S143" s="44" t="s">
        <v>57</v>
      </c>
      <c r="T143" s="16" t="s">
        <v>250</v>
      </c>
      <c r="U143" s="16" t="s">
        <v>59</v>
      </c>
      <c r="V143" s="45">
        <v>9.0</v>
      </c>
      <c r="Z143" s="46" t="s">
        <v>431</v>
      </c>
      <c r="AA143" s="47" t="s">
        <v>421</v>
      </c>
      <c r="AB143" s="16" t="s">
        <v>432</v>
      </c>
      <c r="AC143" s="47" t="s">
        <v>433</v>
      </c>
      <c r="AD143" s="47" t="s">
        <v>434</v>
      </c>
      <c r="AF143" s="47" t="s">
        <v>598</v>
      </c>
      <c r="AG143" s="47" t="s">
        <v>599</v>
      </c>
      <c r="AH143" s="14" t="s">
        <v>1302</v>
      </c>
      <c r="AI143" s="14">
        <v>2021.0</v>
      </c>
      <c r="AJ143" s="14">
        <v>2021.0</v>
      </c>
      <c r="AK143" s="44" t="s">
        <v>70</v>
      </c>
    </row>
    <row r="144" ht="15.75" customHeight="1">
      <c r="A144" s="41">
        <f t="shared" si="1"/>
        <v>142</v>
      </c>
      <c r="B144" s="42" t="s">
        <v>1303</v>
      </c>
      <c r="C144" s="42" t="s">
        <v>1304</v>
      </c>
      <c r="D144" s="11" t="str">
        <f>IFERROR(__xludf.DUMMYFUNCTION("REGEXEXTRACT(C144,""[A-Z]{2,}"")"),"FMDS")</f>
        <v>FMDS</v>
      </c>
      <c r="E144" s="43" t="s">
        <v>48</v>
      </c>
      <c r="F144" s="43" t="s">
        <v>73</v>
      </c>
      <c r="G144" s="43" t="s">
        <v>50</v>
      </c>
      <c r="H144" s="43">
        <v>0.16</v>
      </c>
      <c r="I144" s="43">
        <v>10.0</v>
      </c>
      <c r="J144" s="14" t="s">
        <v>1305</v>
      </c>
      <c r="K144" s="14" t="s">
        <v>1306</v>
      </c>
      <c r="L144" s="42" t="s">
        <v>1303</v>
      </c>
      <c r="M144" s="43" t="s">
        <v>48</v>
      </c>
      <c r="N144" s="14" t="s">
        <v>1307</v>
      </c>
      <c r="O144" s="42" t="s">
        <v>1303</v>
      </c>
      <c r="P144" s="14">
        <v>2021.0</v>
      </c>
      <c r="Q144" s="14" t="s">
        <v>418</v>
      </c>
      <c r="R144" s="14" t="s">
        <v>419</v>
      </c>
      <c r="S144" s="44" t="s">
        <v>57</v>
      </c>
      <c r="T144" s="16" t="s">
        <v>250</v>
      </c>
      <c r="U144" s="16" t="s">
        <v>59</v>
      </c>
      <c r="V144" s="45">
        <v>9.0</v>
      </c>
      <c r="Z144" s="46" t="s">
        <v>431</v>
      </c>
      <c r="AA144" s="47" t="s">
        <v>421</v>
      </c>
      <c r="AB144" s="16" t="s">
        <v>432</v>
      </c>
      <c r="AC144" s="47" t="s">
        <v>433</v>
      </c>
      <c r="AD144" s="47" t="s">
        <v>434</v>
      </c>
      <c r="AF144" s="47" t="s">
        <v>598</v>
      </c>
      <c r="AG144" s="47" t="s">
        <v>630</v>
      </c>
      <c r="AH144" s="14" t="s">
        <v>1308</v>
      </c>
      <c r="AI144" s="14">
        <v>2021.0</v>
      </c>
      <c r="AJ144" s="14">
        <v>2021.0</v>
      </c>
      <c r="AK144" s="44" t="s">
        <v>70</v>
      </c>
    </row>
    <row r="145" ht="15.75" customHeight="1">
      <c r="A145" s="41">
        <f t="shared" si="1"/>
        <v>143</v>
      </c>
      <c r="B145" s="42" t="s">
        <v>1309</v>
      </c>
      <c r="C145" s="42" t="s">
        <v>1310</v>
      </c>
      <c r="D145" s="11" t="str">
        <f>IFERROR(__xludf.DUMMYFUNCTION("REGEXEXTRACT(C145,""[A-Z]{2,}"")"),"FMDS")</f>
        <v>FMDS</v>
      </c>
      <c r="E145" s="43" t="s">
        <v>48</v>
      </c>
      <c r="F145" s="43" t="s">
        <v>73</v>
      </c>
      <c r="G145" s="43" t="s">
        <v>50</v>
      </c>
      <c r="H145" s="43">
        <v>0.1</v>
      </c>
      <c r="I145" s="43">
        <v>11.0</v>
      </c>
      <c r="J145" s="14" t="s">
        <v>1311</v>
      </c>
      <c r="K145" s="14" t="s">
        <v>1312</v>
      </c>
      <c r="L145" s="42" t="s">
        <v>1309</v>
      </c>
      <c r="M145" s="43" t="s">
        <v>48</v>
      </c>
      <c r="N145" s="14" t="s">
        <v>1313</v>
      </c>
      <c r="O145" s="42" t="s">
        <v>1309</v>
      </c>
      <c r="P145" s="14">
        <v>2025.0</v>
      </c>
      <c r="Q145" s="14" t="s">
        <v>418</v>
      </c>
      <c r="R145" s="14" t="s">
        <v>419</v>
      </c>
      <c r="S145" s="44" t="s">
        <v>57</v>
      </c>
      <c r="T145" s="16" t="s">
        <v>250</v>
      </c>
      <c r="U145" s="16" t="s">
        <v>59</v>
      </c>
      <c r="V145" s="45">
        <v>9.0</v>
      </c>
      <c r="Z145" s="46" t="s">
        <v>420</v>
      </c>
      <c r="AA145" s="47" t="s">
        <v>421</v>
      </c>
      <c r="AB145" s="16" t="s">
        <v>432</v>
      </c>
      <c r="AC145" s="47" t="s">
        <v>63</v>
      </c>
      <c r="AD145" s="47" t="s">
        <v>423</v>
      </c>
      <c r="AF145" s="47" t="s">
        <v>150</v>
      </c>
      <c r="AG145" s="16" t="s">
        <v>1026</v>
      </c>
      <c r="AH145" s="14" t="s">
        <v>1314</v>
      </c>
      <c r="AI145" s="14">
        <v>2025.0</v>
      </c>
      <c r="AJ145" s="14">
        <v>2025.0</v>
      </c>
      <c r="AK145" s="44" t="s">
        <v>70</v>
      </c>
    </row>
    <row r="146" ht="15.75" customHeight="1">
      <c r="A146" s="41">
        <f t="shared" si="1"/>
        <v>144</v>
      </c>
      <c r="B146" s="42" t="s">
        <v>1315</v>
      </c>
      <c r="C146" s="42" t="s">
        <v>1316</v>
      </c>
      <c r="D146" s="11" t="str">
        <f>IFERROR(__xludf.DUMMYFUNCTION("REGEXEXTRACT(C146,""[A-Z]{2,}"")"),"FMDS")</f>
        <v>FMDS</v>
      </c>
      <c r="E146" s="43" t="s">
        <v>48</v>
      </c>
      <c r="F146" s="43" t="s">
        <v>73</v>
      </c>
      <c r="G146" s="43" t="s">
        <v>50</v>
      </c>
      <c r="H146" s="43">
        <v>0.55</v>
      </c>
      <c r="I146" s="43">
        <v>20.0</v>
      </c>
      <c r="J146" s="14" t="s">
        <v>1317</v>
      </c>
      <c r="K146" s="14" t="s">
        <v>1318</v>
      </c>
      <c r="L146" s="42" t="s">
        <v>1315</v>
      </c>
      <c r="M146" s="43" t="s">
        <v>48</v>
      </c>
      <c r="N146" s="14" t="s">
        <v>1319</v>
      </c>
      <c r="O146" s="42" t="s">
        <v>1315</v>
      </c>
      <c r="P146" s="14">
        <v>2020.0</v>
      </c>
      <c r="Q146" s="14" t="s">
        <v>418</v>
      </c>
      <c r="R146" s="14" t="s">
        <v>419</v>
      </c>
      <c r="S146" s="44" t="s">
        <v>57</v>
      </c>
      <c r="T146" s="16" t="s">
        <v>250</v>
      </c>
      <c r="U146" s="16" t="s">
        <v>59</v>
      </c>
      <c r="V146" s="45">
        <v>9.0</v>
      </c>
      <c r="Z146" s="46" t="s">
        <v>420</v>
      </c>
      <c r="AA146" s="47" t="s">
        <v>421</v>
      </c>
      <c r="AB146" s="16" t="s">
        <v>432</v>
      </c>
      <c r="AC146" s="47" t="s">
        <v>63</v>
      </c>
      <c r="AD146" s="47" t="s">
        <v>423</v>
      </c>
      <c r="AF146" s="47" t="s">
        <v>150</v>
      </c>
      <c r="AG146" s="16" t="s">
        <v>1026</v>
      </c>
      <c r="AH146" s="14" t="s">
        <v>1320</v>
      </c>
      <c r="AI146" s="14">
        <v>2020.0</v>
      </c>
      <c r="AJ146" s="14">
        <v>2020.0</v>
      </c>
      <c r="AK146" s="44" t="s">
        <v>70</v>
      </c>
    </row>
    <row r="147" ht="15.75" customHeight="1">
      <c r="A147" s="41">
        <f t="shared" si="1"/>
        <v>145</v>
      </c>
      <c r="B147" s="42" t="s">
        <v>1321</v>
      </c>
      <c r="C147" s="42" t="s">
        <v>1322</v>
      </c>
      <c r="D147" s="11" t="str">
        <f>IFERROR(__xludf.DUMMYFUNCTION("REGEXEXTRACT(C147,""[A-Z]{2,}"")"),"FMDS")</f>
        <v>FMDS</v>
      </c>
      <c r="E147" s="43" t="s">
        <v>48</v>
      </c>
      <c r="F147" s="43" t="s">
        <v>73</v>
      </c>
      <c r="G147" s="43" t="s">
        <v>50</v>
      </c>
      <c r="H147" s="43">
        <v>0.14</v>
      </c>
      <c r="I147" s="43">
        <v>13.0</v>
      </c>
      <c r="J147" s="14" t="s">
        <v>1323</v>
      </c>
      <c r="K147" s="14" t="s">
        <v>1324</v>
      </c>
      <c r="L147" s="42" t="s">
        <v>1321</v>
      </c>
      <c r="M147" s="43" t="s">
        <v>48</v>
      </c>
      <c r="N147" s="14" t="s">
        <v>1325</v>
      </c>
      <c r="O147" s="42" t="s">
        <v>1321</v>
      </c>
      <c r="P147" s="14">
        <v>2022.0</v>
      </c>
      <c r="Q147" s="14" t="s">
        <v>418</v>
      </c>
      <c r="R147" s="14" t="s">
        <v>419</v>
      </c>
      <c r="S147" s="44" t="s">
        <v>57</v>
      </c>
      <c r="T147" s="16" t="s">
        <v>250</v>
      </c>
      <c r="U147" s="16" t="s">
        <v>59</v>
      </c>
      <c r="V147" s="45">
        <v>9.0</v>
      </c>
      <c r="Z147" s="46" t="s">
        <v>800</v>
      </c>
      <c r="AA147" s="47" t="s">
        <v>421</v>
      </c>
      <c r="AB147" s="16" t="s">
        <v>432</v>
      </c>
      <c r="AC147" s="16" t="s">
        <v>801</v>
      </c>
      <c r="AD147" s="47" t="s">
        <v>802</v>
      </c>
      <c r="AF147" s="16" t="s">
        <v>921</v>
      </c>
      <c r="AG147" s="47" t="s">
        <v>630</v>
      </c>
      <c r="AH147" s="14" t="s">
        <v>1326</v>
      </c>
      <c r="AI147" s="14">
        <v>2022.0</v>
      </c>
      <c r="AJ147" s="14">
        <v>2022.0</v>
      </c>
      <c r="AK147" s="44" t="s">
        <v>70</v>
      </c>
    </row>
    <row r="148" ht="15.75" customHeight="1">
      <c r="A148" s="41">
        <f t="shared" si="1"/>
        <v>146</v>
      </c>
      <c r="B148" s="42" t="s">
        <v>1327</v>
      </c>
      <c r="C148" s="42" t="s">
        <v>1328</v>
      </c>
      <c r="D148" s="11" t="str">
        <f>IFERROR(__xludf.DUMMYFUNCTION("REGEXEXTRACT(C148,""[A-Z]{2,}"")"),"FMDS")</f>
        <v>FMDS</v>
      </c>
      <c r="E148" s="43" t="s">
        <v>48</v>
      </c>
      <c r="F148" s="43" t="s">
        <v>73</v>
      </c>
      <c r="G148" s="43" t="s">
        <v>50</v>
      </c>
      <c r="H148" s="43">
        <v>0.79</v>
      </c>
      <c r="I148" s="43">
        <v>16.0</v>
      </c>
      <c r="J148" s="14" t="s">
        <v>1329</v>
      </c>
      <c r="K148" s="14" t="s">
        <v>1330</v>
      </c>
      <c r="L148" s="42" t="s">
        <v>1327</v>
      </c>
      <c r="M148" s="43" t="s">
        <v>48</v>
      </c>
      <c r="N148" s="14" t="s">
        <v>1331</v>
      </c>
      <c r="O148" s="42" t="s">
        <v>1327</v>
      </c>
      <c r="P148" s="14">
        <v>2019.0</v>
      </c>
      <c r="Q148" s="14" t="s">
        <v>418</v>
      </c>
      <c r="R148" s="14" t="s">
        <v>419</v>
      </c>
      <c r="S148" s="44" t="s">
        <v>57</v>
      </c>
      <c r="T148" s="16" t="s">
        <v>250</v>
      </c>
      <c r="U148" s="16" t="s">
        <v>59</v>
      </c>
      <c r="V148" s="45">
        <v>9.0</v>
      </c>
      <c r="Z148" s="46" t="s">
        <v>60</v>
      </c>
      <c r="AA148" s="47" t="s">
        <v>421</v>
      </c>
      <c r="AB148" s="16" t="s">
        <v>432</v>
      </c>
      <c r="AC148" s="47" t="s">
        <v>63</v>
      </c>
      <c r="AD148" s="47" t="s">
        <v>423</v>
      </c>
      <c r="AF148" s="47" t="s">
        <v>150</v>
      </c>
      <c r="AG148" s="16" t="s">
        <v>1026</v>
      </c>
      <c r="AH148" s="14" t="s">
        <v>1332</v>
      </c>
      <c r="AI148" s="14">
        <v>2019.0</v>
      </c>
      <c r="AJ148" s="14">
        <v>2019.0</v>
      </c>
      <c r="AK148" s="44" t="s">
        <v>70</v>
      </c>
    </row>
    <row r="149" ht="15.75" customHeight="1">
      <c r="A149" s="41">
        <f t="shared" si="1"/>
        <v>147</v>
      </c>
      <c r="B149" s="42" t="s">
        <v>1333</v>
      </c>
      <c r="C149" s="42" t="s">
        <v>1334</v>
      </c>
      <c r="D149" s="11" t="str">
        <f>IFERROR(__xludf.DUMMYFUNCTION("REGEXEXTRACT(C149,""[A-Z]{2,}"")"),"FMDS")</f>
        <v>FMDS</v>
      </c>
      <c r="E149" s="43" t="s">
        <v>48</v>
      </c>
      <c r="F149" s="43" t="s">
        <v>73</v>
      </c>
      <c r="G149" s="43" t="s">
        <v>50</v>
      </c>
      <c r="H149" s="43">
        <v>0.13</v>
      </c>
      <c r="I149" s="43">
        <v>26.0</v>
      </c>
      <c r="J149" s="14" t="s">
        <v>1335</v>
      </c>
      <c r="K149" s="14" t="s">
        <v>1336</v>
      </c>
      <c r="L149" s="42" t="s">
        <v>1333</v>
      </c>
      <c r="M149" s="43" t="s">
        <v>48</v>
      </c>
      <c r="N149" s="14" t="s">
        <v>1337</v>
      </c>
      <c r="O149" s="42" t="s">
        <v>1333</v>
      </c>
      <c r="P149" s="14">
        <v>2018.0</v>
      </c>
      <c r="Q149" s="14" t="s">
        <v>418</v>
      </c>
      <c r="R149" s="14" t="s">
        <v>419</v>
      </c>
      <c r="S149" s="44" t="s">
        <v>57</v>
      </c>
      <c r="T149" s="16" t="s">
        <v>250</v>
      </c>
      <c r="U149" s="16" t="s">
        <v>59</v>
      </c>
      <c r="V149" s="45">
        <v>9.0</v>
      </c>
      <c r="Z149" s="46" t="s">
        <v>420</v>
      </c>
      <c r="AA149" s="47" t="s">
        <v>421</v>
      </c>
      <c r="AB149" s="16" t="s">
        <v>432</v>
      </c>
      <c r="AC149" s="47" t="s">
        <v>63</v>
      </c>
      <c r="AD149" s="47" t="s">
        <v>423</v>
      </c>
      <c r="AF149" s="47" t="s">
        <v>150</v>
      </c>
      <c r="AG149" s="16" t="s">
        <v>1026</v>
      </c>
      <c r="AH149" s="14" t="s">
        <v>1338</v>
      </c>
      <c r="AI149" s="14">
        <v>2018.0</v>
      </c>
      <c r="AJ149" s="14">
        <v>2018.0</v>
      </c>
      <c r="AK149" s="44" t="s">
        <v>70</v>
      </c>
    </row>
    <row r="150" ht="15.75" customHeight="1">
      <c r="A150" s="41">
        <f t="shared" si="1"/>
        <v>148</v>
      </c>
      <c r="B150" s="42" t="s">
        <v>1339</v>
      </c>
      <c r="C150" s="42" t="s">
        <v>1340</v>
      </c>
      <c r="D150" s="11" t="str">
        <f>IFERROR(__xludf.DUMMYFUNCTION("REGEXEXTRACT(C150,""[A-Z]{2,}"")"),"FMDS")</f>
        <v>FMDS</v>
      </c>
      <c r="E150" s="43" t="s">
        <v>48</v>
      </c>
      <c r="F150" s="43" t="s">
        <v>73</v>
      </c>
      <c r="G150" s="43" t="s">
        <v>50</v>
      </c>
      <c r="H150" s="43">
        <v>0.28</v>
      </c>
      <c r="I150" s="43">
        <v>26.0</v>
      </c>
      <c r="J150" s="14" t="s">
        <v>1341</v>
      </c>
      <c r="K150" s="14" t="s">
        <v>1342</v>
      </c>
      <c r="L150" s="42" t="s">
        <v>1339</v>
      </c>
      <c r="M150" s="43" t="s">
        <v>48</v>
      </c>
      <c r="N150" s="14" t="s">
        <v>1343</v>
      </c>
      <c r="O150" s="42" t="s">
        <v>1339</v>
      </c>
      <c r="P150" s="14">
        <v>2023.0</v>
      </c>
      <c r="Q150" s="14" t="s">
        <v>418</v>
      </c>
      <c r="R150" s="14" t="s">
        <v>419</v>
      </c>
      <c r="S150" s="44" t="s">
        <v>57</v>
      </c>
      <c r="T150" s="16" t="s">
        <v>250</v>
      </c>
      <c r="U150" s="16" t="s">
        <v>59</v>
      </c>
      <c r="V150" s="45">
        <v>9.0</v>
      </c>
      <c r="Z150" s="46" t="s">
        <v>420</v>
      </c>
      <c r="AA150" s="47" t="s">
        <v>421</v>
      </c>
      <c r="AB150" s="16" t="s">
        <v>432</v>
      </c>
      <c r="AC150" s="47" t="s">
        <v>63</v>
      </c>
      <c r="AD150" s="47" t="s">
        <v>423</v>
      </c>
      <c r="AF150" s="47" t="s">
        <v>65</v>
      </c>
      <c r="AG150" s="16" t="s">
        <v>1126</v>
      </c>
      <c r="AH150" s="14" t="s">
        <v>1344</v>
      </c>
      <c r="AI150" s="14">
        <v>2023.0</v>
      </c>
      <c r="AJ150" s="14">
        <v>2023.0</v>
      </c>
      <c r="AK150" s="44" t="s">
        <v>70</v>
      </c>
    </row>
    <row r="151" ht="15.75" customHeight="1">
      <c r="A151" s="41">
        <f t="shared" si="1"/>
        <v>149</v>
      </c>
      <c r="B151" s="42" t="s">
        <v>1345</v>
      </c>
      <c r="C151" s="42" t="s">
        <v>1346</v>
      </c>
      <c r="D151" s="11" t="str">
        <f>IFERROR(__xludf.DUMMYFUNCTION("REGEXEXTRACT(C151,""[A-Z]{2,}"")"),"FMDS")</f>
        <v>FMDS</v>
      </c>
      <c r="E151" s="43" t="s">
        <v>48</v>
      </c>
      <c r="F151" s="43" t="s">
        <v>73</v>
      </c>
      <c r="G151" s="43" t="s">
        <v>50</v>
      </c>
      <c r="H151" s="43">
        <v>0.77</v>
      </c>
      <c r="I151" s="43">
        <v>54.0</v>
      </c>
      <c r="J151" s="14" t="s">
        <v>1347</v>
      </c>
      <c r="K151" s="14" t="s">
        <v>1348</v>
      </c>
      <c r="L151" s="42" t="s">
        <v>1345</v>
      </c>
      <c r="M151" s="43" t="s">
        <v>48</v>
      </c>
      <c r="N151" s="14" t="s">
        <v>1349</v>
      </c>
      <c r="O151" s="42" t="s">
        <v>1345</v>
      </c>
      <c r="P151" s="14">
        <v>2024.0</v>
      </c>
      <c r="Q151" s="14" t="s">
        <v>418</v>
      </c>
      <c r="R151" s="14" t="s">
        <v>419</v>
      </c>
      <c r="S151" s="44" t="s">
        <v>57</v>
      </c>
      <c r="T151" s="16" t="s">
        <v>250</v>
      </c>
      <c r="U151" s="16" t="s">
        <v>59</v>
      </c>
      <c r="V151" s="45">
        <v>9.0</v>
      </c>
      <c r="Z151" s="46" t="s">
        <v>800</v>
      </c>
      <c r="AA151" s="47" t="s">
        <v>421</v>
      </c>
      <c r="AB151" s="16" t="s">
        <v>432</v>
      </c>
      <c r="AC151" s="16" t="s">
        <v>801</v>
      </c>
      <c r="AD151" s="47" t="s">
        <v>802</v>
      </c>
      <c r="AF151" s="16" t="s">
        <v>1040</v>
      </c>
      <c r="AG151" s="47" t="s">
        <v>599</v>
      </c>
      <c r="AH151" s="14" t="s">
        <v>1350</v>
      </c>
      <c r="AI151" s="14">
        <v>2024.0</v>
      </c>
      <c r="AJ151" s="14">
        <v>2024.0</v>
      </c>
      <c r="AK151" s="44" t="s">
        <v>70</v>
      </c>
    </row>
    <row r="152" ht="15.75" customHeight="1">
      <c r="A152" s="41">
        <f t="shared" si="1"/>
        <v>150</v>
      </c>
      <c r="B152" s="42" t="s">
        <v>1351</v>
      </c>
      <c r="C152" s="42" t="s">
        <v>1352</v>
      </c>
      <c r="D152" s="11" t="str">
        <f>IFERROR(__xludf.DUMMYFUNCTION("REGEXEXTRACT(C152,""[A-Z]{2,}"")"),"FMDS")</f>
        <v>FMDS</v>
      </c>
      <c r="E152" s="43" t="s">
        <v>48</v>
      </c>
      <c r="F152" s="43" t="s">
        <v>73</v>
      </c>
      <c r="G152" s="43" t="s">
        <v>50</v>
      </c>
      <c r="H152" s="43">
        <v>0.81</v>
      </c>
      <c r="I152" s="43">
        <v>31.0</v>
      </c>
      <c r="J152" s="14" t="s">
        <v>1353</v>
      </c>
      <c r="K152" s="14" t="s">
        <v>1354</v>
      </c>
      <c r="L152" s="42" t="s">
        <v>1351</v>
      </c>
      <c r="M152" s="43" t="s">
        <v>48</v>
      </c>
      <c r="N152" s="14" t="s">
        <v>1355</v>
      </c>
      <c r="O152" s="42" t="s">
        <v>1351</v>
      </c>
      <c r="P152" s="14">
        <v>2023.0</v>
      </c>
      <c r="Q152" s="14" t="s">
        <v>418</v>
      </c>
      <c r="R152" s="14" t="s">
        <v>419</v>
      </c>
      <c r="S152" s="44" t="s">
        <v>57</v>
      </c>
      <c r="T152" s="16" t="s">
        <v>250</v>
      </c>
      <c r="U152" s="16" t="s">
        <v>59</v>
      </c>
      <c r="V152" s="45">
        <v>9.0</v>
      </c>
      <c r="Z152" s="46" t="s">
        <v>60</v>
      </c>
      <c r="AA152" s="47" t="s">
        <v>421</v>
      </c>
      <c r="AB152" s="16" t="s">
        <v>432</v>
      </c>
      <c r="AC152" s="47" t="s">
        <v>63</v>
      </c>
      <c r="AD152" s="47" t="s">
        <v>423</v>
      </c>
      <c r="AF152" s="47" t="s">
        <v>150</v>
      </c>
      <c r="AG152" s="16" t="s">
        <v>1026</v>
      </c>
      <c r="AH152" s="14" t="s">
        <v>1356</v>
      </c>
      <c r="AI152" s="14">
        <v>2023.0</v>
      </c>
      <c r="AJ152" s="14">
        <v>2023.0</v>
      </c>
      <c r="AK152" s="44" t="s">
        <v>70</v>
      </c>
    </row>
    <row r="153" ht="15.75" customHeight="1">
      <c r="A153" s="41">
        <f t="shared" si="1"/>
        <v>151</v>
      </c>
      <c r="B153" s="42" t="s">
        <v>1357</v>
      </c>
      <c r="C153" s="42" t="s">
        <v>1358</v>
      </c>
      <c r="D153" s="11" t="str">
        <f>IFERROR(__xludf.DUMMYFUNCTION("REGEXEXTRACT(C153,""[A-Z]{2,}"")"),"FMDS")</f>
        <v>FMDS</v>
      </c>
      <c r="E153" s="43" t="s">
        <v>48</v>
      </c>
      <c r="F153" s="43" t="s">
        <v>73</v>
      </c>
      <c r="G153" s="43" t="s">
        <v>50</v>
      </c>
      <c r="H153" s="43">
        <v>0.11</v>
      </c>
      <c r="I153" s="43">
        <v>19.0</v>
      </c>
      <c r="J153" s="14" t="s">
        <v>1359</v>
      </c>
      <c r="K153" s="14" t="s">
        <v>1360</v>
      </c>
      <c r="L153" s="42" t="s">
        <v>1357</v>
      </c>
      <c r="M153" s="43" t="s">
        <v>48</v>
      </c>
      <c r="N153" s="14" t="s">
        <v>1361</v>
      </c>
      <c r="O153" s="42" t="s">
        <v>1357</v>
      </c>
      <c r="P153" s="14">
        <v>2023.0</v>
      </c>
      <c r="Q153" s="14" t="s">
        <v>418</v>
      </c>
      <c r="R153" s="14" t="s">
        <v>419</v>
      </c>
      <c r="S153" s="44" t="s">
        <v>57</v>
      </c>
      <c r="T153" s="16" t="s">
        <v>250</v>
      </c>
      <c r="U153" s="16" t="s">
        <v>59</v>
      </c>
      <c r="V153" s="45">
        <v>9.0</v>
      </c>
      <c r="Z153" s="46" t="s">
        <v>420</v>
      </c>
      <c r="AA153" s="47" t="s">
        <v>421</v>
      </c>
      <c r="AB153" s="16" t="s">
        <v>432</v>
      </c>
      <c r="AC153" s="47" t="s">
        <v>63</v>
      </c>
      <c r="AD153" s="47" t="s">
        <v>423</v>
      </c>
      <c r="AF153" s="47" t="s">
        <v>150</v>
      </c>
      <c r="AG153" s="16" t="s">
        <v>1026</v>
      </c>
      <c r="AH153" s="14" t="s">
        <v>1362</v>
      </c>
      <c r="AI153" s="14">
        <v>2023.0</v>
      </c>
      <c r="AJ153" s="14">
        <v>2023.0</v>
      </c>
      <c r="AK153" s="44" t="s">
        <v>70</v>
      </c>
    </row>
    <row r="154" ht="15.75" customHeight="1">
      <c r="A154" s="41">
        <f t="shared" si="1"/>
        <v>152</v>
      </c>
      <c r="B154" s="42" t="s">
        <v>1363</v>
      </c>
      <c r="C154" s="42" t="s">
        <v>1364</v>
      </c>
      <c r="D154" s="11" t="str">
        <f>IFERROR(__xludf.DUMMYFUNCTION("REGEXEXTRACT(C154,""[A-Z]{2,}"")"),"FMDS")</f>
        <v>FMDS</v>
      </c>
      <c r="E154" s="43" t="s">
        <v>48</v>
      </c>
      <c r="F154" s="43" t="s">
        <v>73</v>
      </c>
      <c r="G154" s="43" t="s">
        <v>50</v>
      </c>
      <c r="H154" s="43">
        <v>0.55</v>
      </c>
      <c r="I154" s="43">
        <v>16.0</v>
      </c>
      <c r="J154" s="14" t="s">
        <v>1365</v>
      </c>
      <c r="K154" s="14" t="s">
        <v>1366</v>
      </c>
      <c r="L154" s="42" t="s">
        <v>1363</v>
      </c>
      <c r="M154" s="43" t="s">
        <v>48</v>
      </c>
      <c r="N154" s="14" t="s">
        <v>1367</v>
      </c>
      <c r="O154" s="42" t="s">
        <v>1363</v>
      </c>
      <c r="P154" s="14">
        <v>2012.0</v>
      </c>
      <c r="Q154" s="14" t="s">
        <v>418</v>
      </c>
      <c r="R154" s="14" t="s">
        <v>419</v>
      </c>
      <c r="S154" s="44" t="s">
        <v>57</v>
      </c>
      <c r="T154" s="16" t="s">
        <v>250</v>
      </c>
      <c r="U154" s="16" t="s">
        <v>59</v>
      </c>
      <c r="V154" s="45">
        <v>9.0</v>
      </c>
      <c r="Z154" s="46" t="s">
        <v>800</v>
      </c>
      <c r="AA154" s="47" t="s">
        <v>421</v>
      </c>
      <c r="AB154" s="16" t="s">
        <v>432</v>
      </c>
      <c r="AC154" s="16" t="s">
        <v>801</v>
      </c>
      <c r="AD154" s="47" t="s">
        <v>802</v>
      </c>
      <c r="AF154" s="16" t="s">
        <v>1040</v>
      </c>
      <c r="AG154" s="47" t="s">
        <v>599</v>
      </c>
      <c r="AH154" s="14" t="s">
        <v>1368</v>
      </c>
      <c r="AI154" s="14">
        <v>2012.0</v>
      </c>
      <c r="AJ154" s="14">
        <v>2012.0</v>
      </c>
      <c r="AK154" s="44" t="s">
        <v>70</v>
      </c>
    </row>
    <row r="155" ht="15.75" customHeight="1">
      <c r="A155" s="41">
        <f t="shared" si="1"/>
        <v>153</v>
      </c>
      <c r="B155" s="42" t="s">
        <v>1369</v>
      </c>
      <c r="C155" s="42" t="s">
        <v>1370</v>
      </c>
      <c r="D155" s="11" t="str">
        <f>IFERROR(__xludf.DUMMYFUNCTION("REGEXEXTRACT(C155,""[A-Z]{2,}"")"),"FMDS")</f>
        <v>FMDS</v>
      </c>
      <c r="E155" s="43" t="s">
        <v>48</v>
      </c>
      <c r="F155" s="43" t="s">
        <v>73</v>
      </c>
      <c r="G155" s="43" t="s">
        <v>50</v>
      </c>
      <c r="H155" s="43">
        <v>0.31</v>
      </c>
      <c r="I155" s="43">
        <v>8.0</v>
      </c>
      <c r="J155" s="14" t="s">
        <v>1371</v>
      </c>
      <c r="K155" s="14" t="s">
        <v>1372</v>
      </c>
      <c r="L155" s="42" t="s">
        <v>1369</v>
      </c>
      <c r="M155" s="43" t="s">
        <v>48</v>
      </c>
      <c r="N155" s="14" t="s">
        <v>1373</v>
      </c>
      <c r="O155" s="42" t="s">
        <v>1369</v>
      </c>
      <c r="P155" s="14">
        <v>2012.0</v>
      </c>
      <c r="Q155" s="14" t="s">
        <v>418</v>
      </c>
      <c r="R155" s="14" t="s">
        <v>419</v>
      </c>
      <c r="S155" s="44" t="s">
        <v>57</v>
      </c>
      <c r="T155" s="16" t="s">
        <v>250</v>
      </c>
      <c r="U155" s="16" t="s">
        <v>59</v>
      </c>
      <c r="V155" s="45">
        <v>9.0</v>
      </c>
      <c r="Z155" s="46" t="s">
        <v>800</v>
      </c>
      <c r="AA155" s="47" t="s">
        <v>421</v>
      </c>
      <c r="AB155" s="16" t="s">
        <v>432</v>
      </c>
      <c r="AC155" s="16" t="s">
        <v>801</v>
      </c>
      <c r="AD155" s="47" t="s">
        <v>802</v>
      </c>
      <c r="AF155" s="16" t="s">
        <v>1040</v>
      </c>
      <c r="AG155" s="47" t="s">
        <v>599</v>
      </c>
      <c r="AH155" s="14" t="s">
        <v>1374</v>
      </c>
      <c r="AI155" s="14">
        <v>2012.0</v>
      </c>
      <c r="AJ155" s="14">
        <v>2012.0</v>
      </c>
      <c r="AK155" s="44" t="s">
        <v>70</v>
      </c>
    </row>
    <row r="156" ht="15.75" customHeight="1">
      <c r="A156" s="41">
        <f t="shared" si="1"/>
        <v>154</v>
      </c>
      <c r="B156" s="42" t="s">
        <v>1375</v>
      </c>
      <c r="C156" s="42" t="s">
        <v>1376</v>
      </c>
      <c r="D156" s="11" t="str">
        <f>IFERROR(__xludf.DUMMYFUNCTION("REGEXEXTRACT(C156,""[A-Z]{2,}"")"),"FMDS")</f>
        <v>FMDS</v>
      </c>
      <c r="E156" s="43" t="s">
        <v>48</v>
      </c>
      <c r="F156" s="43" t="s">
        <v>73</v>
      </c>
      <c r="G156" s="43" t="s">
        <v>50</v>
      </c>
      <c r="H156" s="43">
        <v>0.23</v>
      </c>
      <c r="I156" s="43">
        <v>17.0</v>
      </c>
      <c r="J156" s="14" t="s">
        <v>1377</v>
      </c>
      <c r="K156" s="14" t="s">
        <v>1378</v>
      </c>
      <c r="L156" s="42" t="s">
        <v>1375</v>
      </c>
      <c r="M156" s="43" t="s">
        <v>48</v>
      </c>
      <c r="N156" s="14" t="s">
        <v>1379</v>
      </c>
      <c r="O156" s="42" t="s">
        <v>1375</v>
      </c>
      <c r="P156" s="14">
        <v>2023.0</v>
      </c>
      <c r="Q156" s="14" t="s">
        <v>418</v>
      </c>
      <c r="R156" s="14" t="s">
        <v>419</v>
      </c>
      <c r="S156" s="44" t="s">
        <v>57</v>
      </c>
      <c r="T156" s="16" t="s">
        <v>250</v>
      </c>
      <c r="U156" s="16" t="s">
        <v>59</v>
      </c>
      <c r="V156" s="45">
        <v>9.0</v>
      </c>
      <c r="Z156" s="46" t="s">
        <v>800</v>
      </c>
      <c r="AA156" s="47" t="s">
        <v>421</v>
      </c>
      <c r="AB156" s="16" t="s">
        <v>432</v>
      </c>
      <c r="AC156" s="16" t="s">
        <v>801</v>
      </c>
      <c r="AD156" s="47" t="s">
        <v>802</v>
      </c>
      <c r="AF156" s="16" t="s">
        <v>803</v>
      </c>
      <c r="AG156" s="47" t="s">
        <v>1101</v>
      </c>
      <c r="AH156" s="14" t="s">
        <v>1380</v>
      </c>
      <c r="AI156" s="14">
        <v>2023.0</v>
      </c>
      <c r="AJ156" s="14">
        <v>2023.0</v>
      </c>
      <c r="AK156" s="44" t="s">
        <v>70</v>
      </c>
    </row>
    <row r="157" ht="15.75" customHeight="1">
      <c r="A157" s="41">
        <f t="shared" si="1"/>
        <v>155</v>
      </c>
      <c r="B157" s="42" t="s">
        <v>1381</v>
      </c>
      <c r="C157" s="42" t="s">
        <v>1382</v>
      </c>
      <c r="D157" s="11" t="str">
        <f>IFERROR(__xludf.DUMMYFUNCTION("REGEXEXTRACT(C157,""[A-Z]{2,}"")"),"FMDS")</f>
        <v>FMDS</v>
      </c>
      <c r="E157" s="43" t="s">
        <v>48</v>
      </c>
      <c r="F157" s="43" t="s">
        <v>73</v>
      </c>
      <c r="G157" s="43" t="s">
        <v>50</v>
      </c>
      <c r="H157" s="43">
        <v>0.63</v>
      </c>
      <c r="I157" s="43">
        <v>34.0</v>
      </c>
      <c r="J157" s="14" t="s">
        <v>1383</v>
      </c>
      <c r="K157" s="14" t="s">
        <v>1384</v>
      </c>
      <c r="L157" s="42" t="s">
        <v>1381</v>
      </c>
      <c r="M157" s="43" t="s">
        <v>48</v>
      </c>
      <c r="N157" s="14" t="s">
        <v>1385</v>
      </c>
      <c r="O157" s="42" t="s">
        <v>1381</v>
      </c>
      <c r="P157" s="14">
        <v>2013.0</v>
      </c>
      <c r="Q157" s="14" t="s">
        <v>418</v>
      </c>
      <c r="R157" s="14" t="s">
        <v>419</v>
      </c>
      <c r="S157" s="44" t="s">
        <v>57</v>
      </c>
      <c r="T157" s="16" t="s">
        <v>250</v>
      </c>
      <c r="U157" s="16" t="s">
        <v>59</v>
      </c>
      <c r="V157" s="45">
        <v>9.0</v>
      </c>
      <c r="Z157" s="46" t="s">
        <v>800</v>
      </c>
      <c r="AA157" s="47" t="s">
        <v>421</v>
      </c>
      <c r="AB157" s="16" t="s">
        <v>432</v>
      </c>
      <c r="AC157" s="16" t="s">
        <v>801</v>
      </c>
      <c r="AD157" s="47" t="s">
        <v>802</v>
      </c>
      <c r="AF157" s="16" t="s">
        <v>803</v>
      </c>
      <c r="AG157" s="47" t="s">
        <v>1101</v>
      </c>
      <c r="AH157" s="14" t="s">
        <v>1386</v>
      </c>
      <c r="AI157" s="14">
        <v>2013.0</v>
      </c>
      <c r="AJ157" s="14">
        <v>2013.0</v>
      </c>
      <c r="AK157" s="44" t="s">
        <v>70</v>
      </c>
    </row>
    <row r="158" ht="15.75" customHeight="1">
      <c r="A158" s="41">
        <f t="shared" si="1"/>
        <v>156</v>
      </c>
      <c r="B158" s="42" t="s">
        <v>1387</v>
      </c>
      <c r="C158" s="42" t="s">
        <v>1388</v>
      </c>
      <c r="D158" s="11" t="str">
        <f>IFERROR(__xludf.DUMMYFUNCTION("REGEXEXTRACT(C158,""[A-Z]{2,}"")"),"FMDS")</f>
        <v>FMDS</v>
      </c>
      <c r="E158" s="43" t="s">
        <v>48</v>
      </c>
      <c r="F158" s="43" t="s">
        <v>73</v>
      </c>
      <c r="G158" s="43" t="s">
        <v>50</v>
      </c>
      <c r="H158" s="43">
        <v>0.09</v>
      </c>
      <c r="I158" s="43">
        <v>10.0</v>
      </c>
      <c r="J158" s="14" t="s">
        <v>1389</v>
      </c>
      <c r="K158" s="14" t="s">
        <v>1390</v>
      </c>
      <c r="L158" s="42" t="s">
        <v>1387</v>
      </c>
      <c r="M158" s="43" t="s">
        <v>48</v>
      </c>
      <c r="N158" s="14" t="s">
        <v>1391</v>
      </c>
      <c r="O158" s="42" t="s">
        <v>1387</v>
      </c>
      <c r="P158" s="14">
        <v>2016.0</v>
      </c>
      <c r="Q158" s="14" t="s">
        <v>418</v>
      </c>
      <c r="R158" s="14" t="s">
        <v>419</v>
      </c>
      <c r="S158" s="44" t="s">
        <v>57</v>
      </c>
      <c r="T158" s="16" t="s">
        <v>250</v>
      </c>
      <c r="U158" s="16" t="s">
        <v>59</v>
      </c>
      <c r="V158" s="45">
        <v>9.0</v>
      </c>
      <c r="Z158" s="46" t="s">
        <v>431</v>
      </c>
      <c r="AA158" s="47" t="s">
        <v>421</v>
      </c>
      <c r="AB158" s="16" t="s">
        <v>432</v>
      </c>
      <c r="AC158" s="47" t="s">
        <v>433</v>
      </c>
      <c r="AD158" s="47" t="s">
        <v>434</v>
      </c>
      <c r="AF158" s="47" t="s">
        <v>598</v>
      </c>
      <c r="AG158" s="47" t="s">
        <v>630</v>
      </c>
      <c r="AH158" s="14" t="s">
        <v>1392</v>
      </c>
      <c r="AI158" s="14">
        <v>2016.0</v>
      </c>
      <c r="AJ158" s="14">
        <v>2016.0</v>
      </c>
      <c r="AK158" s="44" t="s">
        <v>70</v>
      </c>
    </row>
    <row r="159" ht="15.75" customHeight="1">
      <c r="A159" s="41">
        <f t="shared" si="1"/>
        <v>157</v>
      </c>
      <c r="B159" s="42" t="s">
        <v>1393</v>
      </c>
      <c r="C159" s="42" t="s">
        <v>1394</v>
      </c>
      <c r="D159" s="11" t="str">
        <f>IFERROR(__xludf.DUMMYFUNCTION("REGEXEXTRACT(C159,""[A-Z]{2,}"")"),"FMDS")</f>
        <v>FMDS</v>
      </c>
      <c r="E159" s="43" t="s">
        <v>48</v>
      </c>
      <c r="F159" s="43" t="s">
        <v>73</v>
      </c>
      <c r="G159" s="43" t="s">
        <v>50</v>
      </c>
      <c r="H159" s="43">
        <v>0.18</v>
      </c>
      <c r="I159" s="43">
        <v>14.0</v>
      </c>
      <c r="J159" s="14" t="s">
        <v>1395</v>
      </c>
      <c r="K159" s="14" t="s">
        <v>1396</v>
      </c>
      <c r="L159" s="42" t="s">
        <v>1393</v>
      </c>
      <c r="M159" s="43" t="s">
        <v>48</v>
      </c>
      <c r="N159" s="14" t="s">
        <v>1397</v>
      </c>
      <c r="O159" s="42" t="s">
        <v>1393</v>
      </c>
      <c r="P159" s="14">
        <v>2025.0</v>
      </c>
      <c r="Q159" s="14" t="s">
        <v>418</v>
      </c>
      <c r="R159" s="14" t="s">
        <v>419</v>
      </c>
      <c r="S159" s="44" t="s">
        <v>57</v>
      </c>
      <c r="T159" s="16" t="s">
        <v>250</v>
      </c>
      <c r="U159" s="16" t="s">
        <v>59</v>
      </c>
      <c r="V159" s="45">
        <v>9.0</v>
      </c>
      <c r="Z159" s="46" t="s">
        <v>800</v>
      </c>
      <c r="AA159" s="47" t="s">
        <v>421</v>
      </c>
      <c r="AB159" s="16" t="s">
        <v>432</v>
      </c>
      <c r="AC159" s="16" t="s">
        <v>801</v>
      </c>
      <c r="AD159" s="47" t="s">
        <v>802</v>
      </c>
      <c r="AF159" s="16" t="s">
        <v>1040</v>
      </c>
      <c r="AG159" s="47" t="s">
        <v>599</v>
      </c>
      <c r="AH159" s="14" t="s">
        <v>1398</v>
      </c>
      <c r="AI159" s="14">
        <v>2025.0</v>
      </c>
      <c r="AJ159" s="14">
        <v>2025.0</v>
      </c>
      <c r="AK159" s="44" t="s">
        <v>70</v>
      </c>
    </row>
    <row r="160" ht="15.75" customHeight="1">
      <c r="A160" s="41">
        <f t="shared" si="1"/>
        <v>158</v>
      </c>
      <c r="B160" s="42" t="s">
        <v>1399</v>
      </c>
      <c r="C160" s="42" t="s">
        <v>1400</v>
      </c>
      <c r="D160" s="11" t="str">
        <f>IFERROR(__xludf.DUMMYFUNCTION("REGEXEXTRACT(C160,""[A-Z]{2,}"")"),"FMDS")</f>
        <v>FMDS</v>
      </c>
      <c r="E160" s="43" t="s">
        <v>48</v>
      </c>
      <c r="F160" s="43" t="s">
        <v>73</v>
      </c>
      <c r="G160" s="43" t="s">
        <v>50</v>
      </c>
      <c r="H160" s="43">
        <v>0.29</v>
      </c>
      <c r="I160" s="43">
        <v>16.0</v>
      </c>
      <c r="J160" s="14" t="s">
        <v>1401</v>
      </c>
      <c r="K160" s="14" t="s">
        <v>1402</v>
      </c>
      <c r="L160" s="42" t="s">
        <v>1399</v>
      </c>
      <c r="M160" s="43" t="s">
        <v>48</v>
      </c>
      <c r="N160" s="14" t="s">
        <v>1403</v>
      </c>
      <c r="O160" s="42" t="s">
        <v>1399</v>
      </c>
      <c r="P160" s="14">
        <v>2022.0</v>
      </c>
      <c r="Q160" s="14" t="s">
        <v>418</v>
      </c>
      <c r="R160" s="14" t="s">
        <v>419</v>
      </c>
      <c r="S160" s="44" t="s">
        <v>57</v>
      </c>
      <c r="T160" s="16" t="s">
        <v>250</v>
      </c>
      <c r="U160" s="16" t="s">
        <v>59</v>
      </c>
      <c r="V160" s="45">
        <v>9.0</v>
      </c>
      <c r="Z160" s="46" t="s">
        <v>420</v>
      </c>
      <c r="AA160" s="47" t="s">
        <v>421</v>
      </c>
      <c r="AB160" s="16" t="s">
        <v>432</v>
      </c>
      <c r="AC160" s="47" t="s">
        <v>63</v>
      </c>
      <c r="AD160" s="47" t="s">
        <v>423</v>
      </c>
      <c r="AF160" s="47" t="s">
        <v>150</v>
      </c>
      <c r="AG160" s="16" t="s">
        <v>1026</v>
      </c>
      <c r="AH160" s="14" t="s">
        <v>1404</v>
      </c>
      <c r="AI160" s="14">
        <v>2022.0</v>
      </c>
      <c r="AJ160" s="14">
        <v>2022.0</v>
      </c>
      <c r="AK160" s="44" t="s">
        <v>70</v>
      </c>
    </row>
    <row r="161" ht="15.75" customHeight="1">
      <c r="A161" s="41">
        <f t="shared" si="1"/>
        <v>159</v>
      </c>
      <c r="B161" s="42" t="s">
        <v>1405</v>
      </c>
      <c r="C161" s="42" t="s">
        <v>1406</v>
      </c>
      <c r="D161" s="11" t="str">
        <f>IFERROR(__xludf.DUMMYFUNCTION("REGEXEXTRACT(C161,""[A-Z]{2,}"")"),"FMDS")</f>
        <v>FMDS</v>
      </c>
      <c r="E161" s="43" t="s">
        <v>48</v>
      </c>
      <c r="F161" s="43" t="s">
        <v>73</v>
      </c>
      <c r="G161" s="43" t="s">
        <v>50</v>
      </c>
      <c r="H161" s="43">
        <v>3.48</v>
      </c>
      <c r="I161" s="43">
        <v>15.0</v>
      </c>
      <c r="J161" s="14" t="s">
        <v>1407</v>
      </c>
      <c r="K161" s="14" t="s">
        <v>1408</v>
      </c>
      <c r="L161" s="42" t="s">
        <v>1405</v>
      </c>
      <c r="M161" s="43" t="s">
        <v>48</v>
      </c>
      <c r="N161" s="14" t="s">
        <v>1409</v>
      </c>
      <c r="O161" s="42" t="s">
        <v>1405</v>
      </c>
      <c r="P161" s="14">
        <v>2025.0</v>
      </c>
      <c r="Q161" s="14" t="s">
        <v>418</v>
      </c>
      <c r="R161" s="14" t="s">
        <v>419</v>
      </c>
      <c r="S161" s="44" t="s">
        <v>57</v>
      </c>
      <c r="T161" s="16" t="s">
        <v>250</v>
      </c>
      <c r="U161" s="16" t="s">
        <v>59</v>
      </c>
      <c r="V161" s="45">
        <v>9.0</v>
      </c>
      <c r="Z161" s="46" t="s">
        <v>420</v>
      </c>
      <c r="AA161" s="47" t="s">
        <v>421</v>
      </c>
      <c r="AB161" s="16" t="s">
        <v>432</v>
      </c>
      <c r="AC161" s="47" t="s">
        <v>63</v>
      </c>
      <c r="AD161" s="47" t="s">
        <v>423</v>
      </c>
      <c r="AF161" s="47" t="s">
        <v>150</v>
      </c>
      <c r="AG161" s="16" t="s">
        <v>1026</v>
      </c>
      <c r="AH161" s="14" t="s">
        <v>1410</v>
      </c>
      <c r="AI161" s="14">
        <v>2025.0</v>
      </c>
      <c r="AJ161" s="14">
        <v>2025.0</v>
      </c>
      <c r="AK161" s="44" t="s">
        <v>70</v>
      </c>
    </row>
    <row r="162" ht="15.75" customHeight="1">
      <c r="A162" s="41">
        <f t="shared" si="1"/>
        <v>160</v>
      </c>
      <c r="B162" s="42" t="s">
        <v>1411</v>
      </c>
      <c r="C162" s="42" t="s">
        <v>1412</v>
      </c>
      <c r="D162" s="11" t="str">
        <f>IFERROR(__xludf.DUMMYFUNCTION("REGEXEXTRACT(C162,""[A-Z]{2,}"")"),"FMDS")</f>
        <v>FMDS</v>
      </c>
      <c r="E162" s="43" t="s">
        <v>48</v>
      </c>
      <c r="F162" s="43" t="s">
        <v>73</v>
      </c>
      <c r="G162" s="43" t="s">
        <v>50</v>
      </c>
      <c r="H162" s="43">
        <v>0.09</v>
      </c>
      <c r="I162" s="43">
        <v>17.0</v>
      </c>
      <c r="J162" s="14" t="s">
        <v>1413</v>
      </c>
      <c r="K162" s="14" t="s">
        <v>1414</v>
      </c>
      <c r="L162" s="42" t="s">
        <v>1411</v>
      </c>
      <c r="M162" s="43" t="s">
        <v>48</v>
      </c>
      <c r="N162" s="14" t="s">
        <v>1415</v>
      </c>
      <c r="O162" s="42" t="s">
        <v>1411</v>
      </c>
      <c r="P162" s="14">
        <v>2025.0</v>
      </c>
      <c r="Q162" s="14" t="s">
        <v>418</v>
      </c>
      <c r="R162" s="14" t="s">
        <v>419</v>
      </c>
      <c r="S162" s="44" t="s">
        <v>57</v>
      </c>
      <c r="T162" s="16" t="s">
        <v>250</v>
      </c>
      <c r="U162" s="16" t="s">
        <v>59</v>
      </c>
      <c r="V162" s="45">
        <v>9.0</v>
      </c>
      <c r="Z162" s="46" t="s">
        <v>800</v>
      </c>
      <c r="AA162" s="47" t="s">
        <v>421</v>
      </c>
      <c r="AB162" s="16" t="s">
        <v>432</v>
      </c>
      <c r="AC162" s="16" t="s">
        <v>801</v>
      </c>
      <c r="AD162" s="47" t="s">
        <v>802</v>
      </c>
      <c r="AF162" s="16" t="s">
        <v>921</v>
      </c>
      <c r="AG162" s="47" t="s">
        <v>1416</v>
      </c>
      <c r="AH162" s="14" t="s">
        <v>1417</v>
      </c>
      <c r="AI162" s="14">
        <v>2025.0</v>
      </c>
      <c r="AJ162" s="14">
        <v>2025.0</v>
      </c>
      <c r="AK162" s="44" t="s">
        <v>70</v>
      </c>
    </row>
    <row r="163" ht="15.75" customHeight="1">
      <c r="A163" s="41">
        <f t="shared" si="1"/>
        <v>161</v>
      </c>
      <c r="B163" s="42" t="s">
        <v>1418</v>
      </c>
      <c r="C163" s="42" t="s">
        <v>1419</v>
      </c>
      <c r="D163" s="11" t="str">
        <f>IFERROR(__xludf.DUMMYFUNCTION("REGEXEXTRACT(C163,""[A-Z]{2,}"")"),"FMDS")</f>
        <v>FMDS</v>
      </c>
      <c r="E163" s="43" t="s">
        <v>48</v>
      </c>
      <c r="F163" s="43" t="s">
        <v>73</v>
      </c>
      <c r="G163" s="43" t="s">
        <v>50</v>
      </c>
      <c r="H163" s="43">
        <v>0.69</v>
      </c>
      <c r="I163" s="43">
        <v>28.0</v>
      </c>
      <c r="J163" s="14" t="s">
        <v>1420</v>
      </c>
      <c r="K163" s="14" t="s">
        <v>1421</v>
      </c>
      <c r="L163" s="42" t="s">
        <v>1418</v>
      </c>
      <c r="M163" s="43" t="s">
        <v>48</v>
      </c>
      <c r="N163" s="14" t="s">
        <v>1422</v>
      </c>
      <c r="O163" s="42" t="s">
        <v>1418</v>
      </c>
      <c r="P163" s="14">
        <v>2022.0</v>
      </c>
      <c r="Q163" s="14" t="s">
        <v>418</v>
      </c>
      <c r="R163" s="14" t="s">
        <v>419</v>
      </c>
      <c r="S163" s="44" t="s">
        <v>57</v>
      </c>
      <c r="T163" s="16" t="s">
        <v>250</v>
      </c>
      <c r="U163" s="16" t="s">
        <v>59</v>
      </c>
      <c r="V163" s="45">
        <v>9.0</v>
      </c>
      <c r="Z163" s="46" t="s">
        <v>800</v>
      </c>
      <c r="AA163" s="47" t="s">
        <v>421</v>
      </c>
      <c r="AB163" s="16" t="s">
        <v>432</v>
      </c>
      <c r="AC163" s="16" t="s">
        <v>801</v>
      </c>
      <c r="AD163" s="47" t="s">
        <v>802</v>
      </c>
      <c r="AF163" s="16" t="s">
        <v>921</v>
      </c>
      <c r="AG163" s="47" t="s">
        <v>1416</v>
      </c>
      <c r="AH163" s="14" t="s">
        <v>1423</v>
      </c>
      <c r="AI163" s="14">
        <v>2022.0</v>
      </c>
      <c r="AJ163" s="14">
        <v>2022.0</v>
      </c>
      <c r="AK163" s="44" t="s">
        <v>70</v>
      </c>
    </row>
    <row r="164" ht="15.75" customHeight="1">
      <c r="A164" s="41">
        <f t="shared" si="1"/>
        <v>162</v>
      </c>
      <c r="B164" s="42" t="s">
        <v>1424</v>
      </c>
      <c r="C164" s="42" t="s">
        <v>1425</v>
      </c>
      <c r="D164" s="11" t="str">
        <f>IFERROR(__xludf.DUMMYFUNCTION("REGEXEXTRACT(C164,""[A-Z]{2,}"")"),"FMDS")</f>
        <v>FMDS</v>
      </c>
      <c r="E164" s="43" t="s">
        <v>48</v>
      </c>
      <c r="F164" s="43" t="s">
        <v>73</v>
      </c>
      <c r="G164" s="43" t="s">
        <v>50</v>
      </c>
      <c r="H164" s="43">
        <v>0.11</v>
      </c>
      <c r="I164" s="43">
        <v>10.0</v>
      </c>
      <c r="J164" s="14" t="s">
        <v>1426</v>
      </c>
      <c r="K164" s="14" t="s">
        <v>1427</v>
      </c>
      <c r="L164" s="42" t="s">
        <v>1424</v>
      </c>
      <c r="M164" s="43" t="s">
        <v>48</v>
      </c>
      <c r="N164" s="14" t="s">
        <v>1428</v>
      </c>
      <c r="O164" s="42" t="s">
        <v>1424</v>
      </c>
      <c r="P164" s="14">
        <v>2010.0</v>
      </c>
      <c r="Q164" s="14" t="s">
        <v>418</v>
      </c>
      <c r="R164" s="14" t="s">
        <v>419</v>
      </c>
      <c r="S164" s="44" t="s">
        <v>57</v>
      </c>
      <c r="T164" s="16" t="s">
        <v>250</v>
      </c>
      <c r="U164" s="16" t="s">
        <v>59</v>
      </c>
      <c r="V164" s="45">
        <v>9.0</v>
      </c>
      <c r="Z164" s="46" t="s">
        <v>800</v>
      </c>
      <c r="AA164" s="47" t="s">
        <v>421</v>
      </c>
      <c r="AB164" s="16" t="s">
        <v>432</v>
      </c>
      <c r="AC164" s="16" t="s">
        <v>801</v>
      </c>
      <c r="AD164" s="47" t="s">
        <v>802</v>
      </c>
      <c r="AF164" s="16" t="s">
        <v>921</v>
      </c>
      <c r="AG164" s="47" t="s">
        <v>599</v>
      </c>
      <c r="AH164" s="14" t="s">
        <v>1429</v>
      </c>
      <c r="AI164" s="14">
        <v>2010.0</v>
      </c>
      <c r="AJ164" s="14">
        <v>2010.0</v>
      </c>
      <c r="AK164" s="44" t="s">
        <v>70</v>
      </c>
    </row>
    <row r="165" ht="15.75" customHeight="1">
      <c r="A165" s="41">
        <f t="shared" si="1"/>
        <v>163</v>
      </c>
      <c r="B165" s="42" t="s">
        <v>1430</v>
      </c>
      <c r="C165" s="42" t="s">
        <v>1431</v>
      </c>
      <c r="D165" s="11" t="str">
        <f>IFERROR(__xludf.DUMMYFUNCTION("REGEXEXTRACT(C165,""[A-Z]{2,}"")"),"FMDS")</f>
        <v>FMDS</v>
      </c>
      <c r="E165" s="43" t="s">
        <v>48</v>
      </c>
      <c r="F165" s="43" t="s">
        <v>73</v>
      </c>
      <c r="G165" s="43" t="s">
        <v>50</v>
      </c>
      <c r="H165" s="43">
        <v>1.85</v>
      </c>
      <c r="I165" s="43">
        <v>70.0</v>
      </c>
      <c r="J165" s="14" t="s">
        <v>1432</v>
      </c>
      <c r="K165" s="14" t="s">
        <v>1433</v>
      </c>
      <c r="L165" s="42" t="s">
        <v>1430</v>
      </c>
      <c r="M165" s="43" t="s">
        <v>48</v>
      </c>
      <c r="N165" s="14" t="s">
        <v>1434</v>
      </c>
      <c r="O165" s="42" t="s">
        <v>1430</v>
      </c>
      <c r="P165" s="14">
        <v>2024.0</v>
      </c>
      <c r="Q165" s="14" t="s">
        <v>418</v>
      </c>
      <c r="R165" s="14" t="s">
        <v>419</v>
      </c>
      <c r="S165" s="44" t="s">
        <v>57</v>
      </c>
      <c r="T165" s="16" t="s">
        <v>250</v>
      </c>
      <c r="U165" s="16" t="s">
        <v>59</v>
      </c>
      <c r="V165" s="45">
        <v>9.0</v>
      </c>
      <c r="Z165" s="46" t="s">
        <v>60</v>
      </c>
      <c r="AA165" s="47" t="s">
        <v>421</v>
      </c>
      <c r="AB165" s="16" t="s">
        <v>432</v>
      </c>
      <c r="AC165" s="47" t="s">
        <v>63</v>
      </c>
      <c r="AD165" s="47" t="s">
        <v>423</v>
      </c>
      <c r="AF165" s="47" t="s">
        <v>65</v>
      </c>
      <c r="AG165" s="16" t="s">
        <v>1033</v>
      </c>
      <c r="AH165" s="14" t="s">
        <v>1435</v>
      </c>
      <c r="AI165" s="14">
        <v>2024.0</v>
      </c>
      <c r="AJ165" s="14">
        <v>2024.0</v>
      </c>
      <c r="AK165" s="44" t="s">
        <v>70</v>
      </c>
    </row>
    <row r="166" ht="15.75" customHeight="1">
      <c r="A166" s="41">
        <f t="shared" si="1"/>
        <v>164</v>
      </c>
      <c r="B166" s="42" t="s">
        <v>1436</v>
      </c>
      <c r="C166" s="42" t="s">
        <v>1437</v>
      </c>
      <c r="D166" s="11" t="str">
        <f>IFERROR(__xludf.DUMMYFUNCTION("REGEXEXTRACT(C166,""[A-Z]{2,}"")"),"FMDS")</f>
        <v>FMDS</v>
      </c>
      <c r="E166" s="43" t="s">
        <v>48</v>
      </c>
      <c r="F166" s="43" t="s">
        <v>73</v>
      </c>
      <c r="G166" s="43" t="s">
        <v>50</v>
      </c>
      <c r="H166" s="43">
        <v>0.12</v>
      </c>
      <c r="I166" s="43">
        <v>17.0</v>
      </c>
      <c r="J166" s="14" t="s">
        <v>1438</v>
      </c>
      <c r="K166" s="14" t="s">
        <v>1439</v>
      </c>
      <c r="L166" s="42" t="s">
        <v>1436</v>
      </c>
      <c r="M166" s="43" t="s">
        <v>48</v>
      </c>
      <c r="N166" s="14" t="s">
        <v>1440</v>
      </c>
      <c r="O166" s="42" t="s">
        <v>1436</v>
      </c>
      <c r="P166" s="14">
        <v>2024.0</v>
      </c>
      <c r="Q166" s="14" t="s">
        <v>418</v>
      </c>
      <c r="R166" s="14" t="s">
        <v>419</v>
      </c>
      <c r="S166" s="44" t="s">
        <v>57</v>
      </c>
      <c r="T166" s="16" t="s">
        <v>250</v>
      </c>
      <c r="U166" s="16" t="s">
        <v>59</v>
      </c>
      <c r="V166" s="45">
        <v>9.0</v>
      </c>
      <c r="Z166" s="46" t="s">
        <v>800</v>
      </c>
      <c r="AA166" s="47" t="s">
        <v>421</v>
      </c>
      <c r="AB166" s="16" t="s">
        <v>422</v>
      </c>
      <c r="AC166" s="16" t="s">
        <v>801</v>
      </c>
      <c r="AD166" s="47" t="s">
        <v>802</v>
      </c>
      <c r="AF166" s="16" t="s">
        <v>921</v>
      </c>
      <c r="AG166" s="47" t="s">
        <v>1416</v>
      </c>
      <c r="AH166" s="14" t="s">
        <v>1441</v>
      </c>
      <c r="AI166" s="14">
        <v>2024.0</v>
      </c>
      <c r="AJ166" s="14">
        <v>2024.0</v>
      </c>
      <c r="AK166" s="44" t="s">
        <v>70</v>
      </c>
    </row>
    <row r="167" ht="15.75" customHeight="1">
      <c r="A167" s="41">
        <f t="shared" si="1"/>
        <v>165</v>
      </c>
      <c r="B167" s="42" t="s">
        <v>1442</v>
      </c>
      <c r="C167" s="42" t="s">
        <v>1443</v>
      </c>
      <c r="D167" s="11" t="str">
        <f>IFERROR(__xludf.DUMMYFUNCTION("REGEXEXTRACT(C167,""[A-Z]{2,}"")"),"FMDS")</f>
        <v>FMDS</v>
      </c>
      <c r="E167" s="43" t="s">
        <v>48</v>
      </c>
      <c r="F167" s="43" t="s">
        <v>73</v>
      </c>
      <c r="G167" s="43" t="s">
        <v>50</v>
      </c>
      <c r="H167" s="43">
        <v>0.96</v>
      </c>
      <c r="I167" s="43">
        <v>29.0</v>
      </c>
      <c r="J167" s="14" t="s">
        <v>1444</v>
      </c>
      <c r="K167" s="14" t="s">
        <v>1445</v>
      </c>
      <c r="L167" s="42" t="s">
        <v>1442</v>
      </c>
      <c r="M167" s="43" t="s">
        <v>48</v>
      </c>
      <c r="N167" s="14" t="s">
        <v>1446</v>
      </c>
      <c r="O167" s="42" t="s">
        <v>1442</v>
      </c>
      <c r="P167" s="14">
        <v>2024.0</v>
      </c>
      <c r="Q167" s="14" t="s">
        <v>418</v>
      </c>
      <c r="R167" s="14" t="s">
        <v>419</v>
      </c>
      <c r="S167" s="44" t="s">
        <v>57</v>
      </c>
      <c r="T167" s="16" t="s">
        <v>250</v>
      </c>
      <c r="U167" s="16" t="s">
        <v>59</v>
      </c>
      <c r="V167" s="45">
        <v>9.0</v>
      </c>
      <c r="Z167" s="46" t="s">
        <v>431</v>
      </c>
      <c r="AA167" s="47" t="s">
        <v>421</v>
      </c>
      <c r="AB167" s="16" t="s">
        <v>432</v>
      </c>
      <c r="AC167" s="47" t="s">
        <v>433</v>
      </c>
      <c r="AD167" s="47" t="s">
        <v>434</v>
      </c>
      <c r="AF167" s="47" t="s">
        <v>598</v>
      </c>
      <c r="AG167" s="47" t="s">
        <v>630</v>
      </c>
      <c r="AH167" s="14" t="s">
        <v>1447</v>
      </c>
      <c r="AI167" s="14">
        <v>2024.0</v>
      </c>
      <c r="AJ167" s="14">
        <v>2024.0</v>
      </c>
      <c r="AK167" s="44" t="s">
        <v>70</v>
      </c>
    </row>
    <row r="168" ht="15.75" customHeight="1">
      <c r="A168" s="41">
        <f t="shared" si="1"/>
        <v>166</v>
      </c>
      <c r="B168" s="42" t="s">
        <v>1448</v>
      </c>
      <c r="C168" s="42" t="s">
        <v>1449</v>
      </c>
      <c r="D168" s="11" t="str">
        <f>IFERROR(__xludf.DUMMYFUNCTION("REGEXEXTRACT(C168,""[A-Z]{2,}"")"),"FMDS")</f>
        <v>FMDS</v>
      </c>
      <c r="E168" s="43" t="s">
        <v>48</v>
      </c>
      <c r="F168" s="43" t="s">
        <v>73</v>
      </c>
      <c r="G168" s="43" t="s">
        <v>50</v>
      </c>
      <c r="H168" s="43">
        <v>0.47</v>
      </c>
      <c r="I168" s="43">
        <v>43.0</v>
      </c>
      <c r="J168" s="14" t="s">
        <v>1450</v>
      </c>
      <c r="K168" s="14" t="s">
        <v>1451</v>
      </c>
      <c r="L168" s="42" t="s">
        <v>1448</v>
      </c>
      <c r="M168" s="43" t="s">
        <v>48</v>
      </c>
      <c r="N168" s="14" t="s">
        <v>1452</v>
      </c>
      <c r="O168" s="42" t="s">
        <v>1448</v>
      </c>
      <c r="P168" s="14">
        <v>2022.0</v>
      </c>
      <c r="Q168" s="14" t="s">
        <v>418</v>
      </c>
      <c r="R168" s="14" t="s">
        <v>419</v>
      </c>
      <c r="S168" s="44" t="s">
        <v>57</v>
      </c>
      <c r="T168" s="16" t="s">
        <v>250</v>
      </c>
      <c r="U168" s="16" t="s">
        <v>59</v>
      </c>
      <c r="V168" s="45">
        <v>9.0</v>
      </c>
      <c r="Z168" s="46" t="s">
        <v>60</v>
      </c>
      <c r="AA168" s="47" t="s">
        <v>421</v>
      </c>
      <c r="AB168" s="16" t="s">
        <v>432</v>
      </c>
      <c r="AC168" s="47" t="s">
        <v>63</v>
      </c>
      <c r="AD168" s="47" t="s">
        <v>423</v>
      </c>
      <c r="AF168" s="47" t="s">
        <v>65</v>
      </c>
      <c r="AG168" s="16" t="s">
        <v>1033</v>
      </c>
      <c r="AH168" s="14" t="s">
        <v>1453</v>
      </c>
      <c r="AI168" s="14">
        <v>2022.0</v>
      </c>
      <c r="AJ168" s="14">
        <v>2022.0</v>
      </c>
      <c r="AK168" s="44" t="s">
        <v>70</v>
      </c>
    </row>
    <row r="169" ht="15.75" customHeight="1">
      <c r="A169" s="41">
        <f t="shared" si="1"/>
        <v>167</v>
      </c>
      <c r="B169" s="42" t="s">
        <v>1454</v>
      </c>
      <c r="C169" s="42" t="s">
        <v>1455</v>
      </c>
      <c r="D169" s="11" t="str">
        <f>IFERROR(__xludf.DUMMYFUNCTION("REGEXEXTRACT(C169,""[A-Z]{2,}"")"),"FMDS")</f>
        <v>FMDS</v>
      </c>
      <c r="E169" s="43" t="s">
        <v>48</v>
      </c>
      <c r="F169" s="43" t="s">
        <v>73</v>
      </c>
      <c r="G169" s="43" t="s">
        <v>50</v>
      </c>
      <c r="H169" s="43">
        <v>0.52</v>
      </c>
      <c r="I169" s="43">
        <v>37.0</v>
      </c>
      <c r="J169" s="14" t="s">
        <v>1456</v>
      </c>
      <c r="K169" s="14" t="s">
        <v>1457</v>
      </c>
      <c r="L169" s="42" t="s">
        <v>1454</v>
      </c>
      <c r="M169" s="43" t="s">
        <v>48</v>
      </c>
      <c r="N169" s="14" t="s">
        <v>1458</v>
      </c>
      <c r="O169" s="42" t="s">
        <v>1454</v>
      </c>
      <c r="P169" s="14">
        <v>2020.0</v>
      </c>
      <c r="Q169" s="14" t="s">
        <v>418</v>
      </c>
      <c r="R169" s="14" t="s">
        <v>419</v>
      </c>
      <c r="S169" s="44" t="s">
        <v>57</v>
      </c>
      <c r="T169" s="16" t="s">
        <v>250</v>
      </c>
      <c r="U169" s="16" t="s">
        <v>59</v>
      </c>
      <c r="V169" s="45">
        <v>9.0</v>
      </c>
      <c r="Z169" s="46" t="s">
        <v>60</v>
      </c>
      <c r="AA169" s="47" t="s">
        <v>421</v>
      </c>
      <c r="AB169" s="16" t="s">
        <v>432</v>
      </c>
      <c r="AC169" s="47" t="s">
        <v>63</v>
      </c>
      <c r="AD169" s="47" t="s">
        <v>423</v>
      </c>
      <c r="AF169" s="47" t="s">
        <v>150</v>
      </c>
      <c r="AG169" s="16" t="s">
        <v>1026</v>
      </c>
      <c r="AH169" s="14" t="s">
        <v>1459</v>
      </c>
      <c r="AI169" s="14">
        <v>2020.0</v>
      </c>
      <c r="AJ169" s="14">
        <v>2020.0</v>
      </c>
      <c r="AK169" s="44" t="s">
        <v>70</v>
      </c>
    </row>
    <row r="170" ht="15.75" customHeight="1">
      <c r="A170" s="41">
        <f t="shared" si="1"/>
        <v>168</v>
      </c>
      <c r="B170" s="42" t="s">
        <v>1460</v>
      </c>
      <c r="C170" s="42" t="s">
        <v>1461</v>
      </c>
      <c r="D170" s="11" t="str">
        <f>IFERROR(__xludf.DUMMYFUNCTION("REGEXEXTRACT(C170,""[A-Z]{2,}"")"),"FMDS")</f>
        <v>FMDS</v>
      </c>
      <c r="E170" s="43" t="s">
        <v>48</v>
      </c>
      <c r="F170" s="43" t="s">
        <v>73</v>
      </c>
      <c r="G170" s="43" t="s">
        <v>50</v>
      </c>
      <c r="H170" s="43">
        <v>0.94</v>
      </c>
      <c r="I170" s="43">
        <v>24.0</v>
      </c>
      <c r="J170" s="14" t="s">
        <v>1462</v>
      </c>
      <c r="K170" s="14" t="s">
        <v>1463</v>
      </c>
      <c r="L170" s="42" t="s">
        <v>1460</v>
      </c>
      <c r="M170" s="43" t="s">
        <v>48</v>
      </c>
      <c r="N170" s="14" t="s">
        <v>1464</v>
      </c>
      <c r="O170" s="42" t="s">
        <v>1460</v>
      </c>
      <c r="P170" s="14">
        <v>2015.0</v>
      </c>
      <c r="Q170" s="14" t="s">
        <v>418</v>
      </c>
      <c r="R170" s="14" t="s">
        <v>419</v>
      </c>
      <c r="S170" s="44" t="s">
        <v>57</v>
      </c>
      <c r="T170" s="16" t="s">
        <v>250</v>
      </c>
      <c r="U170" s="16" t="s">
        <v>59</v>
      </c>
      <c r="V170" s="45">
        <v>9.0</v>
      </c>
      <c r="Z170" s="46" t="s">
        <v>60</v>
      </c>
      <c r="AA170" s="47" t="s">
        <v>421</v>
      </c>
      <c r="AB170" s="16" t="s">
        <v>432</v>
      </c>
      <c r="AC170" s="47" t="s">
        <v>63</v>
      </c>
      <c r="AD170" s="47" t="s">
        <v>423</v>
      </c>
      <c r="AF170" s="47" t="s">
        <v>150</v>
      </c>
      <c r="AG170" s="16" t="s">
        <v>1026</v>
      </c>
      <c r="AH170" s="14" t="s">
        <v>1465</v>
      </c>
      <c r="AI170" s="14">
        <v>2015.0</v>
      </c>
      <c r="AJ170" s="14">
        <v>2015.0</v>
      </c>
      <c r="AK170" s="44" t="s">
        <v>70</v>
      </c>
    </row>
    <row r="171" ht="15.75" customHeight="1">
      <c r="A171" s="41">
        <f t="shared" si="1"/>
        <v>169</v>
      </c>
      <c r="B171" s="42" t="s">
        <v>1466</v>
      </c>
      <c r="C171" s="42" t="s">
        <v>1467</v>
      </c>
      <c r="D171" s="11" t="str">
        <f>IFERROR(__xludf.DUMMYFUNCTION("REGEXEXTRACT(C171,""[A-Z]{2,}"")"),"FMDS")</f>
        <v>FMDS</v>
      </c>
      <c r="E171" s="43" t="s">
        <v>48</v>
      </c>
      <c r="F171" s="43" t="s">
        <v>73</v>
      </c>
      <c r="G171" s="43" t="s">
        <v>50</v>
      </c>
      <c r="H171" s="43">
        <v>0.17</v>
      </c>
      <c r="I171" s="43">
        <v>18.0</v>
      </c>
      <c r="J171" s="14" t="s">
        <v>1468</v>
      </c>
      <c r="K171" s="14" t="s">
        <v>1469</v>
      </c>
      <c r="L171" s="42" t="s">
        <v>1466</v>
      </c>
      <c r="M171" s="43" t="s">
        <v>48</v>
      </c>
      <c r="N171" s="14" t="s">
        <v>1470</v>
      </c>
      <c r="O171" s="42" t="s">
        <v>1466</v>
      </c>
      <c r="P171" s="14">
        <v>2025.0</v>
      </c>
      <c r="Q171" s="14" t="s">
        <v>418</v>
      </c>
      <c r="R171" s="14" t="s">
        <v>419</v>
      </c>
      <c r="S171" s="44" t="s">
        <v>57</v>
      </c>
      <c r="T171" s="16" t="s">
        <v>250</v>
      </c>
      <c r="U171" s="16" t="s">
        <v>59</v>
      </c>
      <c r="V171" s="45">
        <v>9.0</v>
      </c>
      <c r="Z171" s="46" t="s">
        <v>420</v>
      </c>
      <c r="AA171" s="47" t="s">
        <v>421</v>
      </c>
      <c r="AB171" s="16" t="s">
        <v>432</v>
      </c>
      <c r="AC171" s="47" t="s">
        <v>63</v>
      </c>
      <c r="AD171" s="47" t="s">
        <v>423</v>
      </c>
      <c r="AF171" s="47" t="s">
        <v>65</v>
      </c>
      <c r="AG171" s="47" t="s">
        <v>1271</v>
      </c>
      <c r="AH171" s="14" t="s">
        <v>1471</v>
      </c>
      <c r="AI171" s="14">
        <v>2025.0</v>
      </c>
      <c r="AJ171" s="14">
        <v>2025.0</v>
      </c>
      <c r="AK171" s="44" t="s">
        <v>70</v>
      </c>
    </row>
    <row r="172" ht="15.75" customHeight="1">
      <c r="A172" s="41">
        <f t="shared" si="1"/>
        <v>170</v>
      </c>
      <c r="B172" s="42" t="s">
        <v>1472</v>
      </c>
      <c r="C172" s="42" t="s">
        <v>1473</v>
      </c>
      <c r="D172" s="11" t="str">
        <f>IFERROR(__xludf.DUMMYFUNCTION("REGEXEXTRACT(C172,""[A-Z]{2,}"")"),"FMDS")</f>
        <v>FMDS</v>
      </c>
      <c r="E172" s="43" t="s">
        <v>48</v>
      </c>
      <c r="F172" s="43" t="s">
        <v>73</v>
      </c>
      <c r="G172" s="43" t="s">
        <v>50</v>
      </c>
      <c r="H172" s="43">
        <v>0.05</v>
      </c>
      <c r="I172" s="43">
        <v>4.0</v>
      </c>
      <c r="J172" s="14" t="s">
        <v>1474</v>
      </c>
      <c r="K172" s="14" t="s">
        <v>1475</v>
      </c>
      <c r="L172" s="42" t="s">
        <v>1472</v>
      </c>
      <c r="M172" s="43" t="s">
        <v>48</v>
      </c>
      <c r="N172" s="14" t="s">
        <v>1476</v>
      </c>
      <c r="O172" s="42" t="s">
        <v>1472</v>
      </c>
      <c r="P172" s="14">
        <v>2025.0</v>
      </c>
      <c r="Q172" s="14" t="s">
        <v>418</v>
      </c>
      <c r="R172" s="14" t="s">
        <v>419</v>
      </c>
      <c r="S172" s="44" t="s">
        <v>57</v>
      </c>
      <c r="T172" s="16" t="s">
        <v>250</v>
      </c>
      <c r="U172" s="16" t="s">
        <v>59</v>
      </c>
      <c r="V172" s="45">
        <v>9.0</v>
      </c>
      <c r="Z172" s="46" t="s">
        <v>420</v>
      </c>
      <c r="AA172" s="47" t="s">
        <v>421</v>
      </c>
      <c r="AB172" s="16" t="s">
        <v>432</v>
      </c>
      <c r="AC172" s="47" t="s">
        <v>63</v>
      </c>
      <c r="AD172" s="47" t="s">
        <v>423</v>
      </c>
      <c r="AF172" s="47" t="s">
        <v>150</v>
      </c>
      <c r="AG172" s="16" t="s">
        <v>1026</v>
      </c>
      <c r="AH172" s="14" t="s">
        <v>1477</v>
      </c>
      <c r="AI172" s="14">
        <v>2025.0</v>
      </c>
      <c r="AJ172" s="14">
        <v>2025.0</v>
      </c>
      <c r="AK172" s="44" t="s">
        <v>70</v>
      </c>
    </row>
    <row r="173" ht="15.75" customHeight="1">
      <c r="A173" s="41">
        <f t="shared" si="1"/>
        <v>171</v>
      </c>
      <c r="B173" s="42" t="s">
        <v>1478</v>
      </c>
      <c r="C173" s="42" t="s">
        <v>1479</v>
      </c>
      <c r="D173" s="11" t="str">
        <f>IFERROR(__xludf.DUMMYFUNCTION("REGEXEXTRACT(C173,""[A-Z]{2,}"")"),"FMDS")</f>
        <v>FMDS</v>
      </c>
      <c r="E173" s="43" t="s">
        <v>48</v>
      </c>
      <c r="F173" s="43" t="s">
        <v>73</v>
      </c>
      <c r="G173" s="43" t="s">
        <v>50</v>
      </c>
      <c r="H173" s="43">
        <v>0.45</v>
      </c>
      <c r="I173" s="43">
        <v>28.0</v>
      </c>
      <c r="J173" s="14" t="s">
        <v>1480</v>
      </c>
      <c r="K173" s="14" t="s">
        <v>1481</v>
      </c>
      <c r="L173" s="42" t="s">
        <v>1478</v>
      </c>
      <c r="M173" s="43" t="s">
        <v>48</v>
      </c>
      <c r="N173" s="14" t="s">
        <v>1482</v>
      </c>
      <c r="O173" s="42" t="s">
        <v>1478</v>
      </c>
      <c r="P173" s="14">
        <v>2020.0</v>
      </c>
      <c r="Q173" s="14" t="s">
        <v>418</v>
      </c>
      <c r="R173" s="14" t="s">
        <v>419</v>
      </c>
      <c r="S173" s="44" t="s">
        <v>57</v>
      </c>
      <c r="T173" s="16" t="s">
        <v>250</v>
      </c>
      <c r="U173" s="16" t="s">
        <v>59</v>
      </c>
      <c r="V173" s="45">
        <v>9.0</v>
      </c>
      <c r="Z173" s="46" t="s">
        <v>60</v>
      </c>
      <c r="AA173" s="47" t="s">
        <v>421</v>
      </c>
      <c r="AB173" s="16" t="s">
        <v>432</v>
      </c>
      <c r="AC173" s="47" t="s">
        <v>63</v>
      </c>
      <c r="AD173" s="47" t="s">
        <v>423</v>
      </c>
      <c r="AF173" s="47" t="s">
        <v>65</v>
      </c>
      <c r="AG173" s="47" t="s">
        <v>1271</v>
      </c>
      <c r="AH173" s="14" t="s">
        <v>1483</v>
      </c>
      <c r="AI173" s="14">
        <v>2020.0</v>
      </c>
      <c r="AJ173" s="14">
        <v>2020.0</v>
      </c>
      <c r="AK173" s="44" t="s">
        <v>70</v>
      </c>
    </row>
    <row r="174" ht="15.75" customHeight="1">
      <c r="A174" s="41">
        <f t="shared" si="1"/>
        <v>172</v>
      </c>
      <c r="B174" s="42" t="s">
        <v>1484</v>
      </c>
      <c r="C174" s="42" t="s">
        <v>1485</v>
      </c>
      <c r="D174" s="11" t="str">
        <f>IFERROR(__xludf.DUMMYFUNCTION("REGEXEXTRACT(C174,""[A-Z]{2,}"")"),"FMDS")</f>
        <v>FMDS</v>
      </c>
      <c r="E174" s="43" t="s">
        <v>48</v>
      </c>
      <c r="F174" s="43" t="s">
        <v>73</v>
      </c>
      <c r="G174" s="43" t="s">
        <v>50</v>
      </c>
      <c r="H174" s="43">
        <v>0.23</v>
      </c>
      <c r="I174" s="43">
        <v>16.0</v>
      </c>
      <c r="J174" s="14" t="s">
        <v>1486</v>
      </c>
      <c r="K174" s="14" t="s">
        <v>1487</v>
      </c>
      <c r="L174" s="42" t="s">
        <v>1484</v>
      </c>
      <c r="M174" s="43" t="s">
        <v>48</v>
      </c>
      <c r="N174" s="14" t="s">
        <v>1488</v>
      </c>
      <c r="O174" s="42" t="s">
        <v>1484</v>
      </c>
      <c r="P174" s="14">
        <v>2021.0</v>
      </c>
      <c r="Q174" s="14" t="s">
        <v>418</v>
      </c>
      <c r="R174" s="14" t="s">
        <v>419</v>
      </c>
      <c r="S174" s="44" t="s">
        <v>57</v>
      </c>
      <c r="T174" s="16" t="s">
        <v>250</v>
      </c>
      <c r="U174" s="16" t="s">
        <v>59</v>
      </c>
      <c r="V174" s="45">
        <v>9.0</v>
      </c>
      <c r="Z174" s="46" t="s">
        <v>800</v>
      </c>
      <c r="AA174" s="47" t="s">
        <v>421</v>
      </c>
      <c r="AB174" s="16" t="s">
        <v>432</v>
      </c>
      <c r="AC174" s="16" t="s">
        <v>801</v>
      </c>
      <c r="AD174" s="47" t="s">
        <v>802</v>
      </c>
      <c r="AF174" s="16" t="s">
        <v>1040</v>
      </c>
      <c r="AG174" s="47" t="s">
        <v>599</v>
      </c>
      <c r="AH174" s="14" t="s">
        <v>1489</v>
      </c>
      <c r="AI174" s="14">
        <v>2021.0</v>
      </c>
      <c r="AJ174" s="14">
        <v>2021.0</v>
      </c>
      <c r="AK174" s="44" t="s">
        <v>70</v>
      </c>
    </row>
    <row r="175" ht="15.75" customHeight="1">
      <c r="A175" s="41">
        <f t="shared" si="1"/>
        <v>173</v>
      </c>
      <c r="B175" s="42" t="s">
        <v>1490</v>
      </c>
      <c r="C175" s="42" t="s">
        <v>1491</v>
      </c>
      <c r="D175" s="11" t="str">
        <f>IFERROR(__xludf.DUMMYFUNCTION("REGEXEXTRACT(C175,""[A-Z]{2,}"")"),"FMDS")</f>
        <v>FMDS</v>
      </c>
      <c r="E175" s="43" t="s">
        <v>48</v>
      </c>
      <c r="F175" s="43" t="s">
        <v>73</v>
      </c>
      <c r="G175" s="43" t="s">
        <v>50</v>
      </c>
      <c r="H175" s="43">
        <v>0.5</v>
      </c>
      <c r="I175" s="43">
        <v>22.0</v>
      </c>
      <c r="J175" s="14" t="s">
        <v>1492</v>
      </c>
      <c r="K175" s="14" t="s">
        <v>1493</v>
      </c>
      <c r="L175" s="42" t="s">
        <v>1490</v>
      </c>
      <c r="M175" s="43" t="s">
        <v>48</v>
      </c>
      <c r="N175" s="14" t="s">
        <v>1494</v>
      </c>
      <c r="O175" s="42" t="s">
        <v>1490</v>
      </c>
      <c r="P175" s="14">
        <v>2024.0</v>
      </c>
      <c r="Q175" s="14" t="s">
        <v>418</v>
      </c>
      <c r="R175" s="14" t="s">
        <v>419</v>
      </c>
      <c r="S175" s="44" t="s">
        <v>57</v>
      </c>
      <c r="T175" s="16" t="s">
        <v>250</v>
      </c>
      <c r="U175" s="16" t="s">
        <v>59</v>
      </c>
      <c r="V175" s="45">
        <v>9.0</v>
      </c>
      <c r="Z175" s="46" t="s">
        <v>800</v>
      </c>
      <c r="AA175" s="47" t="s">
        <v>421</v>
      </c>
      <c r="AB175" s="16" t="s">
        <v>432</v>
      </c>
      <c r="AC175" s="16" t="s">
        <v>801</v>
      </c>
      <c r="AD175" s="47" t="s">
        <v>802</v>
      </c>
      <c r="AF175" s="16" t="s">
        <v>1040</v>
      </c>
      <c r="AG175" s="47" t="s">
        <v>599</v>
      </c>
      <c r="AH175" s="14" t="s">
        <v>1495</v>
      </c>
      <c r="AI175" s="14">
        <v>2024.0</v>
      </c>
      <c r="AJ175" s="14">
        <v>2024.0</v>
      </c>
      <c r="AK175" s="44" t="s">
        <v>70</v>
      </c>
    </row>
    <row r="176" ht="15.75" customHeight="1">
      <c r="A176" s="41">
        <f t="shared" si="1"/>
        <v>174</v>
      </c>
      <c r="B176" s="42" t="s">
        <v>1496</v>
      </c>
      <c r="C176" s="42" t="s">
        <v>1497</v>
      </c>
      <c r="D176" s="11" t="str">
        <f>IFERROR(__xludf.DUMMYFUNCTION("REGEXEXTRACT(C176,""[A-Z]{2,}"")"),"FMDS")</f>
        <v>FMDS</v>
      </c>
      <c r="E176" s="43" t="s">
        <v>48</v>
      </c>
      <c r="F176" s="43" t="s">
        <v>73</v>
      </c>
      <c r="G176" s="43" t="s">
        <v>50</v>
      </c>
      <c r="H176" s="43">
        <v>0.16</v>
      </c>
      <c r="I176" s="43">
        <v>19.0</v>
      </c>
      <c r="J176" s="14" t="s">
        <v>1498</v>
      </c>
      <c r="K176" s="14" t="s">
        <v>1499</v>
      </c>
      <c r="L176" s="42" t="s">
        <v>1496</v>
      </c>
      <c r="M176" s="43" t="s">
        <v>48</v>
      </c>
      <c r="N176" s="14" t="s">
        <v>1500</v>
      </c>
      <c r="O176" s="42" t="s">
        <v>1496</v>
      </c>
      <c r="P176" s="14">
        <v>2013.0</v>
      </c>
      <c r="Q176" s="14" t="s">
        <v>418</v>
      </c>
      <c r="R176" s="14" t="s">
        <v>419</v>
      </c>
      <c r="S176" s="44" t="s">
        <v>57</v>
      </c>
      <c r="T176" s="16" t="s">
        <v>250</v>
      </c>
      <c r="U176" s="16" t="s">
        <v>59</v>
      </c>
      <c r="V176" s="45">
        <v>9.0</v>
      </c>
      <c r="Z176" s="46" t="s">
        <v>800</v>
      </c>
      <c r="AA176" s="47" t="s">
        <v>421</v>
      </c>
      <c r="AB176" s="16" t="s">
        <v>432</v>
      </c>
      <c r="AC176" s="16" t="s">
        <v>801</v>
      </c>
      <c r="AD176" s="47" t="s">
        <v>802</v>
      </c>
      <c r="AF176" s="16" t="s">
        <v>1040</v>
      </c>
      <c r="AG176" s="47" t="s">
        <v>599</v>
      </c>
      <c r="AH176" s="14" t="s">
        <v>1501</v>
      </c>
      <c r="AI176" s="14">
        <v>2013.0</v>
      </c>
      <c r="AJ176" s="14">
        <v>2013.0</v>
      </c>
      <c r="AK176" s="44" t="s">
        <v>70</v>
      </c>
    </row>
    <row r="177" ht="15.75" customHeight="1">
      <c r="A177" s="41">
        <f t="shared" si="1"/>
        <v>175</v>
      </c>
      <c r="B177" s="42" t="s">
        <v>1502</v>
      </c>
      <c r="C177" s="42" t="s">
        <v>1503</v>
      </c>
      <c r="D177" s="11" t="str">
        <f>IFERROR(__xludf.DUMMYFUNCTION("REGEXEXTRACT(C177,""[A-Z]{2,}"")"),"FMDS")</f>
        <v>FMDS</v>
      </c>
      <c r="E177" s="43" t="s">
        <v>48</v>
      </c>
      <c r="F177" s="43" t="s">
        <v>73</v>
      </c>
      <c r="G177" s="43" t="s">
        <v>50</v>
      </c>
      <c r="H177" s="43">
        <v>0.48</v>
      </c>
      <c r="I177" s="43">
        <v>27.0</v>
      </c>
      <c r="J177" s="14" t="s">
        <v>1504</v>
      </c>
      <c r="K177" s="14" t="s">
        <v>1505</v>
      </c>
      <c r="L177" s="42" t="s">
        <v>1502</v>
      </c>
      <c r="M177" s="43" t="s">
        <v>48</v>
      </c>
      <c r="N177" s="14" t="s">
        <v>1506</v>
      </c>
      <c r="O177" s="42" t="s">
        <v>1502</v>
      </c>
      <c r="P177" s="14">
        <v>2022.0</v>
      </c>
      <c r="Q177" s="14" t="s">
        <v>418</v>
      </c>
      <c r="R177" s="14" t="s">
        <v>419</v>
      </c>
      <c r="S177" s="44" t="s">
        <v>57</v>
      </c>
      <c r="T177" s="16" t="s">
        <v>250</v>
      </c>
      <c r="U177" s="16" t="s">
        <v>59</v>
      </c>
      <c r="V177" s="45">
        <v>9.0</v>
      </c>
      <c r="Z177" s="46" t="s">
        <v>420</v>
      </c>
      <c r="AA177" s="47" t="s">
        <v>421</v>
      </c>
      <c r="AB177" s="16" t="s">
        <v>432</v>
      </c>
      <c r="AC177" s="47" t="s">
        <v>63</v>
      </c>
      <c r="AD177" s="47" t="s">
        <v>423</v>
      </c>
      <c r="AF177" s="47" t="s">
        <v>65</v>
      </c>
      <c r="AG177" s="47" t="s">
        <v>1033</v>
      </c>
      <c r="AH177" s="14" t="s">
        <v>1507</v>
      </c>
      <c r="AI177" s="14">
        <v>2022.0</v>
      </c>
      <c r="AJ177" s="14">
        <v>2022.0</v>
      </c>
      <c r="AK177" s="44" t="s">
        <v>70</v>
      </c>
    </row>
    <row r="178" ht="15.75" customHeight="1">
      <c r="A178" s="41">
        <f t="shared" si="1"/>
        <v>176</v>
      </c>
      <c r="B178" s="42" t="s">
        <v>1508</v>
      </c>
      <c r="C178" s="42" t="s">
        <v>1509</v>
      </c>
      <c r="D178" s="11" t="str">
        <f>IFERROR(__xludf.DUMMYFUNCTION("REGEXEXTRACT(C178,""[A-Z]{2,}"")"),"FMDS")</f>
        <v>FMDS</v>
      </c>
      <c r="E178" s="43" t="s">
        <v>48</v>
      </c>
      <c r="F178" s="43" t="s">
        <v>73</v>
      </c>
      <c r="G178" s="43" t="s">
        <v>50</v>
      </c>
      <c r="H178" s="43">
        <v>0.13</v>
      </c>
      <c r="I178" s="43">
        <v>17.0</v>
      </c>
      <c r="J178" s="14" t="s">
        <v>1510</v>
      </c>
      <c r="K178" s="14" t="s">
        <v>1511</v>
      </c>
      <c r="L178" s="42" t="s">
        <v>1508</v>
      </c>
      <c r="M178" s="43" t="s">
        <v>48</v>
      </c>
      <c r="N178" s="14" t="s">
        <v>1512</v>
      </c>
      <c r="O178" s="42" t="s">
        <v>1508</v>
      </c>
      <c r="P178" s="14">
        <v>2010.0</v>
      </c>
      <c r="Q178" s="14" t="s">
        <v>418</v>
      </c>
      <c r="R178" s="14" t="s">
        <v>419</v>
      </c>
      <c r="S178" s="44" t="s">
        <v>57</v>
      </c>
      <c r="T178" s="16" t="s">
        <v>250</v>
      </c>
      <c r="U178" s="16" t="s">
        <v>59</v>
      </c>
      <c r="V178" s="45">
        <v>9.0</v>
      </c>
      <c r="Z178" s="46" t="s">
        <v>800</v>
      </c>
      <c r="AA178" s="47" t="s">
        <v>421</v>
      </c>
      <c r="AB178" s="16" t="s">
        <v>432</v>
      </c>
      <c r="AC178" s="16" t="s">
        <v>801</v>
      </c>
      <c r="AD178" s="47" t="s">
        <v>802</v>
      </c>
      <c r="AF178" s="16" t="s">
        <v>1040</v>
      </c>
      <c r="AG178" s="47" t="s">
        <v>599</v>
      </c>
      <c r="AH178" s="14" t="s">
        <v>1513</v>
      </c>
      <c r="AI178" s="14">
        <v>2010.0</v>
      </c>
      <c r="AJ178" s="14">
        <v>2010.0</v>
      </c>
      <c r="AK178" s="44" t="s">
        <v>70</v>
      </c>
    </row>
    <row r="179" ht="15.75" customHeight="1">
      <c r="A179" s="41">
        <f t="shared" si="1"/>
        <v>177</v>
      </c>
      <c r="B179" s="42" t="s">
        <v>1514</v>
      </c>
      <c r="C179" s="42" t="s">
        <v>1515</v>
      </c>
      <c r="D179" s="11" t="str">
        <f>IFERROR(__xludf.DUMMYFUNCTION("REGEXEXTRACT(C179,""[A-Z]{2,}"")"),"FMDS")</f>
        <v>FMDS</v>
      </c>
      <c r="E179" s="43" t="s">
        <v>48</v>
      </c>
      <c r="F179" s="43" t="s">
        <v>73</v>
      </c>
      <c r="G179" s="43" t="s">
        <v>50</v>
      </c>
      <c r="H179" s="43">
        <v>0.11</v>
      </c>
      <c r="I179" s="43">
        <v>20.0</v>
      </c>
      <c r="J179" s="14" t="s">
        <v>1516</v>
      </c>
      <c r="K179" s="14" t="s">
        <v>1517</v>
      </c>
      <c r="L179" s="42" t="s">
        <v>1514</v>
      </c>
      <c r="M179" s="43" t="s">
        <v>48</v>
      </c>
      <c r="N179" s="14" t="s">
        <v>1518</v>
      </c>
      <c r="O179" s="42" t="s">
        <v>1514</v>
      </c>
      <c r="P179" s="14">
        <v>2024.0</v>
      </c>
      <c r="Q179" s="14" t="s">
        <v>418</v>
      </c>
      <c r="R179" s="14" t="s">
        <v>419</v>
      </c>
      <c r="S179" s="44" t="s">
        <v>57</v>
      </c>
      <c r="T179" s="16" t="s">
        <v>250</v>
      </c>
      <c r="U179" s="16" t="s">
        <v>59</v>
      </c>
      <c r="V179" s="45">
        <v>9.0</v>
      </c>
      <c r="Z179" s="46" t="s">
        <v>431</v>
      </c>
      <c r="AA179" s="47" t="s">
        <v>421</v>
      </c>
      <c r="AB179" s="16" t="s">
        <v>432</v>
      </c>
      <c r="AC179" s="47" t="s">
        <v>433</v>
      </c>
      <c r="AD179" s="47" t="s">
        <v>434</v>
      </c>
      <c r="AF179" s="47" t="s">
        <v>598</v>
      </c>
      <c r="AG179" s="47" t="s">
        <v>630</v>
      </c>
      <c r="AH179" s="14" t="s">
        <v>1519</v>
      </c>
      <c r="AI179" s="14">
        <v>2024.0</v>
      </c>
      <c r="AJ179" s="14">
        <v>2024.0</v>
      </c>
      <c r="AK179" s="44" t="s">
        <v>70</v>
      </c>
    </row>
    <row r="180" ht="15.75" customHeight="1">
      <c r="A180" s="41">
        <f t="shared" si="1"/>
        <v>178</v>
      </c>
      <c r="B180" s="42" t="s">
        <v>1520</v>
      </c>
      <c r="C180" s="42" t="s">
        <v>1521</v>
      </c>
      <c r="D180" s="11" t="str">
        <f>IFERROR(__xludf.DUMMYFUNCTION("REGEXEXTRACT(C180,""[A-Z]{2,}"")"),"FMDS")</f>
        <v>FMDS</v>
      </c>
      <c r="E180" s="43" t="s">
        <v>48</v>
      </c>
      <c r="F180" s="43" t="s">
        <v>73</v>
      </c>
      <c r="G180" s="43" t="s">
        <v>50</v>
      </c>
      <c r="H180" s="43">
        <v>1.56</v>
      </c>
      <c r="I180" s="43">
        <v>29.0</v>
      </c>
      <c r="J180" s="14" t="s">
        <v>1522</v>
      </c>
      <c r="K180" s="14" t="s">
        <v>1523</v>
      </c>
      <c r="L180" s="42" t="s">
        <v>1520</v>
      </c>
      <c r="M180" s="43" t="s">
        <v>48</v>
      </c>
      <c r="N180" s="14" t="s">
        <v>1524</v>
      </c>
      <c r="O180" s="42" t="s">
        <v>1520</v>
      </c>
      <c r="P180" s="14">
        <v>2023.0</v>
      </c>
      <c r="Q180" s="14" t="s">
        <v>418</v>
      </c>
      <c r="R180" s="14" t="s">
        <v>419</v>
      </c>
      <c r="S180" s="44" t="s">
        <v>57</v>
      </c>
      <c r="T180" s="16" t="s">
        <v>250</v>
      </c>
      <c r="U180" s="16" t="s">
        <v>59</v>
      </c>
      <c r="V180" s="45">
        <v>9.0</v>
      </c>
      <c r="Z180" s="46" t="s">
        <v>431</v>
      </c>
      <c r="AA180" s="47" t="s">
        <v>421</v>
      </c>
      <c r="AB180" s="16" t="s">
        <v>432</v>
      </c>
      <c r="AC180" s="47" t="s">
        <v>433</v>
      </c>
      <c r="AD180" s="47" t="s">
        <v>434</v>
      </c>
      <c r="AF180" s="47" t="s">
        <v>598</v>
      </c>
      <c r="AG180" s="47" t="s">
        <v>630</v>
      </c>
      <c r="AH180" s="14" t="s">
        <v>1525</v>
      </c>
      <c r="AI180" s="14">
        <v>2023.0</v>
      </c>
      <c r="AJ180" s="14">
        <v>2023.0</v>
      </c>
      <c r="AK180" s="44" t="s">
        <v>70</v>
      </c>
    </row>
    <row r="181" ht="15.75" customHeight="1">
      <c r="A181" s="41">
        <f t="shared" si="1"/>
        <v>179</v>
      </c>
      <c r="B181" s="42" t="s">
        <v>1526</v>
      </c>
      <c r="C181" s="42" t="s">
        <v>1527</v>
      </c>
      <c r="D181" s="11" t="str">
        <f>IFERROR(__xludf.DUMMYFUNCTION("REGEXEXTRACT(C181,""[A-Z]{2,}"")"),"FMDS")</f>
        <v>FMDS</v>
      </c>
      <c r="E181" s="43" t="s">
        <v>48</v>
      </c>
      <c r="F181" s="43" t="s">
        <v>73</v>
      </c>
      <c r="G181" s="43" t="s">
        <v>50</v>
      </c>
      <c r="H181" s="43">
        <v>0.08</v>
      </c>
      <c r="I181" s="43">
        <v>10.0</v>
      </c>
      <c r="J181" s="14" t="s">
        <v>1528</v>
      </c>
      <c r="K181" s="14" t="s">
        <v>1529</v>
      </c>
      <c r="L181" s="42" t="s">
        <v>1526</v>
      </c>
      <c r="M181" s="43" t="s">
        <v>48</v>
      </c>
      <c r="N181" s="14" t="s">
        <v>1530</v>
      </c>
      <c r="O181" s="42" t="s">
        <v>1526</v>
      </c>
      <c r="P181" s="14">
        <v>2022.0</v>
      </c>
      <c r="Q181" s="14" t="s">
        <v>418</v>
      </c>
      <c r="R181" s="14" t="s">
        <v>419</v>
      </c>
      <c r="S181" s="44" t="s">
        <v>57</v>
      </c>
      <c r="T181" s="16" t="s">
        <v>250</v>
      </c>
      <c r="U181" s="16" t="s">
        <v>59</v>
      </c>
      <c r="V181" s="45">
        <v>9.0</v>
      </c>
      <c r="Z181" s="46" t="s">
        <v>431</v>
      </c>
      <c r="AA181" s="47" t="s">
        <v>421</v>
      </c>
      <c r="AB181" s="16" t="s">
        <v>432</v>
      </c>
      <c r="AC181" s="47" t="s">
        <v>433</v>
      </c>
      <c r="AD181" s="47" t="s">
        <v>434</v>
      </c>
      <c r="AF181" s="47" t="s">
        <v>598</v>
      </c>
      <c r="AG181" s="47" t="s">
        <v>630</v>
      </c>
      <c r="AH181" s="14" t="s">
        <v>1531</v>
      </c>
      <c r="AI181" s="14">
        <v>2022.0</v>
      </c>
      <c r="AJ181" s="14">
        <v>2022.0</v>
      </c>
      <c r="AK181" s="44" t="s">
        <v>70</v>
      </c>
    </row>
    <row r="182" ht="15.75" customHeight="1">
      <c r="A182" s="41">
        <f t="shared" si="1"/>
        <v>180</v>
      </c>
      <c r="B182" s="42" t="s">
        <v>1532</v>
      </c>
      <c r="C182" s="42" t="s">
        <v>1533</v>
      </c>
      <c r="D182" s="11" t="str">
        <f>IFERROR(__xludf.DUMMYFUNCTION("REGEXEXTRACT(C182,""[A-Z]{2,}"")"),"FMDS")</f>
        <v>FMDS</v>
      </c>
      <c r="E182" s="43" t="s">
        <v>48</v>
      </c>
      <c r="F182" s="43" t="s">
        <v>73</v>
      </c>
      <c r="G182" s="43" t="s">
        <v>50</v>
      </c>
      <c r="H182" s="43">
        <v>0.29</v>
      </c>
      <c r="I182" s="43">
        <v>12.0</v>
      </c>
      <c r="J182" s="14" t="s">
        <v>1534</v>
      </c>
      <c r="K182" s="14" t="s">
        <v>1535</v>
      </c>
      <c r="L182" s="42" t="s">
        <v>1532</v>
      </c>
      <c r="M182" s="43" t="s">
        <v>48</v>
      </c>
      <c r="N182" s="14" t="s">
        <v>1536</v>
      </c>
      <c r="O182" s="42" t="s">
        <v>1532</v>
      </c>
      <c r="P182" s="14">
        <v>2021.0</v>
      </c>
      <c r="Q182" s="14" t="s">
        <v>418</v>
      </c>
      <c r="R182" s="14" t="s">
        <v>419</v>
      </c>
      <c r="S182" s="44" t="s">
        <v>57</v>
      </c>
      <c r="T182" s="16" t="s">
        <v>250</v>
      </c>
      <c r="U182" s="16" t="s">
        <v>59</v>
      </c>
      <c r="V182" s="45">
        <v>9.0</v>
      </c>
      <c r="Z182" s="46" t="s">
        <v>431</v>
      </c>
      <c r="AA182" s="47" t="s">
        <v>421</v>
      </c>
      <c r="AB182" s="16" t="s">
        <v>432</v>
      </c>
      <c r="AC182" s="47" t="s">
        <v>433</v>
      </c>
      <c r="AD182" s="47" t="s">
        <v>434</v>
      </c>
      <c r="AF182" s="47" t="s">
        <v>598</v>
      </c>
      <c r="AG182" s="47" t="s">
        <v>630</v>
      </c>
      <c r="AH182" s="14" t="s">
        <v>1537</v>
      </c>
      <c r="AI182" s="14">
        <v>2021.0</v>
      </c>
      <c r="AJ182" s="14">
        <v>2021.0</v>
      </c>
      <c r="AK182" s="44" t="s">
        <v>70</v>
      </c>
    </row>
    <row r="183" ht="15.75" customHeight="1">
      <c r="A183" s="41">
        <f t="shared" si="1"/>
        <v>181</v>
      </c>
      <c r="B183" s="42" t="s">
        <v>1538</v>
      </c>
      <c r="C183" s="42" t="s">
        <v>1539</v>
      </c>
      <c r="D183" s="11" t="str">
        <f>IFERROR(__xludf.DUMMYFUNCTION("REGEXEXTRACT(C183,""[A-Z]{2,}"")"),"FMDS")</f>
        <v>FMDS</v>
      </c>
      <c r="E183" s="43" t="s">
        <v>48</v>
      </c>
      <c r="F183" s="43" t="s">
        <v>73</v>
      </c>
      <c r="G183" s="43" t="s">
        <v>50</v>
      </c>
      <c r="H183" s="43">
        <v>1.01</v>
      </c>
      <c r="I183" s="43">
        <v>34.0</v>
      </c>
      <c r="J183" s="14" t="s">
        <v>1540</v>
      </c>
      <c r="K183" s="14" t="s">
        <v>1541</v>
      </c>
      <c r="L183" s="42" t="s">
        <v>1538</v>
      </c>
      <c r="M183" s="43" t="s">
        <v>48</v>
      </c>
      <c r="N183" s="14" t="s">
        <v>1542</v>
      </c>
      <c r="O183" s="42" t="s">
        <v>1538</v>
      </c>
      <c r="P183" s="14">
        <v>2022.0</v>
      </c>
      <c r="Q183" s="14" t="s">
        <v>418</v>
      </c>
      <c r="R183" s="14" t="s">
        <v>419</v>
      </c>
      <c r="S183" s="44" t="s">
        <v>57</v>
      </c>
      <c r="T183" s="16" t="s">
        <v>250</v>
      </c>
      <c r="U183" s="16" t="s">
        <v>59</v>
      </c>
      <c r="V183" s="45">
        <v>9.0</v>
      </c>
      <c r="Z183" s="46" t="s">
        <v>800</v>
      </c>
      <c r="AA183" s="47" t="s">
        <v>421</v>
      </c>
      <c r="AB183" s="16" t="s">
        <v>432</v>
      </c>
      <c r="AC183" s="16" t="s">
        <v>801</v>
      </c>
      <c r="AD183" s="47" t="s">
        <v>802</v>
      </c>
      <c r="AF183" s="16" t="s">
        <v>921</v>
      </c>
      <c r="AG183" s="47" t="s">
        <v>630</v>
      </c>
      <c r="AH183" s="14" t="s">
        <v>1543</v>
      </c>
      <c r="AI183" s="14">
        <v>2022.0</v>
      </c>
      <c r="AJ183" s="14">
        <v>2022.0</v>
      </c>
      <c r="AK183" s="44" t="s">
        <v>70</v>
      </c>
    </row>
    <row r="184" ht="15.75" customHeight="1">
      <c r="A184" s="41">
        <f t="shared" si="1"/>
        <v>182</v>
      </c>
      <c r="B184" s="42" t="s">
        <v>1544</v>
      </c>
      <c r="C184" s="42" t="s">
        <v>1545</v>
      </c>
      <c r="D184" s="11" t="str">
        <f>IFERROR(__xludf.DUMMYFUNCTION("REGEXEXTRACT(C184,""[A-Z]{2,}"")"),"FMDS")</f>
        <v>FMDS</v>
      </c>
      <c r="E184" s="43" t="s">
        <v>48</v>
      </c>
      <c r="F184" s="43" t="s">
        <v>73</v>
      </c>
      <c r="G184" s="43" t="s">
        <v>50</v>
      </c>
      <c r="H184" s="43">
        <v>0.86</v>
      </c>
      <c r="I184" s="43">
        <v>23.0</v>
      </c>
      <c r="J184" s="14" t="s">
        <v>1546</v>
      </c>
      <c r="K184" s="14" t="s">
        <v>1547</v>
      </c>
      <c r="L184" s="42" t="s">
        <v>1544</v>
      </c>
      <c r="M184" s="43" t="s">
        <v>48</v>
      </c>
      <c r="N184" s="14" t="s">
        <v>1548</v>
      </c>
      <c r="O184" s="42" t="s">
        <v>1544</v>
      </c>
      <c r="P184" s="14">
        <v>2024.0</v>
      </c>
      <c r="Q184" s="14" t="s">
        <v>418</v>
      </c>
      <c r="R184" s="14" t="s">
        <v>419</v>
      </c>
      <c r="S184" s="44" t="s">
        <v>57</v>
      </c>
      <c r="T184" s="16" t="s">
        <v>250</v>
      </c>
      <c r="U184" s="16" t="s">
        <v>59</v>
      </c>
      <c r="V184" s="45">
        <v>9.0</v>
      </c>
      <c r="Z184" s="46" t="s">
        <v>60</v>
      </c>
      <c r="AA184" s="47" t="s">
        <v>421</v>
      </c>
      <c r="AB184" s="16" t="s">
        <v>432</v>
      </c>
      <c r="AC184" s="47" t="s">
        <v>63</v>
      </c>
      <c r="AD184" s="47" t="s">
        <v>423</v>
      </c>
      <c r="AF184" s="47" t="s">
        <v>65</v>
      </c>
      <c r="AG184" s="16" t="s">
        <v>1549</v>
      </c>
      <c r="AH184" s="14" t="s">
        <v>1550</v>
      </c>
      <c r="AI184" s="14">
        <v>2024.0</v>
      </c>
      <c r="AJ184" s="14">
        <v>2024.0</v>
      </c>
      <c r="AK184" s="44" t="s">
        <v>70</v>
      </c>
    </row>
    <row r="185" ht="15.75" customHeight="1">
      <c r="A185" s="41">
        <f t="shared" si="1"/>
        <v>183</v>
      </c>
      <c r="B185" s="42" t="s">
        <v>1551</v>
      </c>
      <c r="C185" s="42" t="s">
        <v>1552</v>
      </c>
      <c r="D185" s="11" t="str">
        <f>IFERROR(__xludf.DUMMYFUNCTION("REGEXEXTRACT(C185,""[A-Z]{2,}"")"),"FMDS")</f>
        <v>FMDS</v>
      </c>
      <c r="E185" s="43" t="s">
        <v>48</v>
      </c>
      <c r="F185" s="43" t="s">
        <v>73</v>
      </c>
      <c r="G185" s="43" t="s">
        <v>50</v>
      </c>
      <c r="H185" s="43">
        <v>0.86</v>
      </c>
      <c r="I185" s="43">
        <v>20.0</v>
      </c>
      <c r="J185" s="14" t="s">
        <v>1553</v>
      </c>
      <c r="K185" s="14" t="s">
        <v>1554</v>
      </c>
      <c r="L185" s="42" t="s">
        <v>1551</v>
      </c>
      <c r="M185" s="43" t="s">
        <v>48</v>
      </c>
      <c r="N185" s="14" t="s">
        <v>1555</v>
      </c>
      <c r="O185" s="42" t="s">
        <v>1551</v>
      </c>
      <c r="P185" s="14">
        <v>2009.0</v>
      </c>
      <c r="Q185" s="14" t="s">
        <v>418</v>
      </c>
      <c r="R185" s="14" t="s">
        <v>419</v>
      </c>
      <c r="S185" s="44" t="s">
        <v>57</v>
      </c>
      <c r="T185" s="16" t="s">
        <v>250</v>
      </c>
      <c r="U185" s="16" t="s">
        <v>59</v>
      </c>
      <c r="V185" s="45">
        <v>9.0</v>
      </c>
      <c r="Z185" s="46" t="s">
        <v>60</v>
      </c>
      <c r="AA185" s="47" t="s">
        <v>421</v>
      </c>
      <c r="AB185" s="16" t="s">
        <v>432</v>
      </c>
      <c r="AC185" s="47" t="s">
        <v>63</v>
      </c>
      <c r="AD185" s="47" t="s">
        <v>423</v>
      </c>
      <c r="AF185" s="47" t="s">
        <v>65</v>
      </c>
      <c r="AG185" s="16" t="s">
        <v>1549</v>
      </c>
      <c r="AH185" s="14" t="s">
        <v>1556</v>
      </c>
      <c r="AI185" s="14">
        <v>2009.0</v>
      </c>
      <c r="AJ185" s="14">
        <v>2009.0</v>
      </c>
      <c r="AK185" s="44" t="s">
        <v>70</v>
      </c>
    </row>
    <row r="186" ht="15.75" customHeight="1">
      <c r="A186" s="41">
        <f t="shared" si="1"/>
        <v>184</v>
      </c>
      <c r="B186" s="42" t="s">
        <v>1557</v>
      </c>
      <c r="C186" s="42" t="s">
        <v>1558</v>
      </c>
      <c r="D186" s="11" t="str">
        <f>IFERROR(__xludf.DUMMYFUNCTION("REGEXEXTRACT(C186,""[A-Z]{2,}"")"),"FMDS")</f>
        <v>FMDS</v>
      </c>
      <c r="E186" s="43" t="s">
        <v>48</v>
      </c>
      <c r="F186" s="43" t="s">
        <v>73</v>
      </c>
      <c r="G186" s="43" t="s">
        <v>50</v>
      </c>
      <c r="H186" s="43">
        <v>0.07</v>
      </c>
      <c r="I186" s="43">
        <v>10.0</v>
      </c>
      <c r="J186" s="14" t="s">
        <v>1559</v>
      </c>
      <c r="K186" s="14" t="s">
        <v>1560</v>
      </c>
      <c r="L186" s="42" t="s">
        <v>1557</v>
      </c>
      <c r="M186" s="43" t="s">
        <v>48</v>
      </c>
      <c r="N186" s="14" t="s">
        <v>1561</v>
      </c>
      <c r="O186" s="42" t="s">
        <v>1557</v>
      </c>
      <c r="P186" s="14">
        <v>2017.0</v>
      </c>
      <c r="Q186" s="14" t="s">
        <v>418</v>
      </c>
      <c r="R186" s="14" t="s">
        <v>419</v>
      </c>
      <c r="S186" s="44" t="s">
        <v>57</v>
      </c>
      <c r="T186" s="16" t="s">
        <v>250</v>
      </c>
      <c r="U186" s="16" t="s">
        <v>59</v>
      </c>
      <c r="V186" s="45">
        <v>9.0</v>
      </c>
      <c r="Z186" s="46" t="s">
        <v>60</v>
      </c>
      <c r="AA186" s="47" t="s">
        <v>421</v>
      </c>
      <c r="AB186" s="16" t="s">
        <v>432</v>
      </c>
      <c r="AC186" s="47" t="s">
        <v>63</v>
      </c>
      <c r="AD186" s="47" t="s">
        <v>423</v>
      </c>
      <c r="AF186" s="47" t="s">
        <v>65</v>
      </c>
      <c r="AG186" s="16" t="s">
        <v>1549</v>
      </c>
      <c r="AH186" s="14" t="s">
        <v>1562</v>
      </c>
      <c r="AI186" s="14">
        <v>2017.0</v>
      </c>
      <c r="AJ186" s="14">
        <v>2017.0</v>
      </c>
      <c r="AK186" s="44" t="s">
        <v>70</v>
      </c>
    </row>
    <row r="187" ht="15.75" customHeight="1">
      <c r="A187" s="41">
        <f t="shared" si="1"/>
        <v>185</v>
      </c>
      <c r="B187" s="42" t="s">
        <v>1563</v>
      </c>
      <c r="C187" s="42" t="s">
        <v>1564</v>
      </c>
      <c r="D187" s="11" t="str">
        <f>IFERROR(__xludf.DUMMYFUNCTION("REGEXEXTRACT(C187,""[A-Z]{2,}"")"),"FMDS")</f>
        <v>FMDS</v>
      </c>
      <c r="E187" s="43" t="s">
        <v>48</v>
      </c>
      <c r="F187" s="43" t="s">
        <v>73</v>
      </c>
      <c r="G187" s="43" t="s">
        <v>50</v>
      </c>
      <c r="H187" s="43">
        <v>2.39</v>
      </c>
      <c r="I187" s="43">
        <v>100.0</v>
      </c>
      <c r="J187" s="14" t="s">
        <v>1565</v>
      </c>
      <c r="K187" s="14" t="s">
        <v>1566</v>
      </c>
      <c r="L187" s="42" t="s">
        <v>1563</v>
      </c>
      <c r="M187" s="43" t="s">
        <v>48</v>
      </c>
      <c r="N187" s="14" t="s">
        <v>1567</v>
      </c>
      <c r="O187" s="42" t="s">
        <v>1563</v>
      </c>
      <c r="P187" s="14">
        <v>2025.0</v>
      </c>
      <c r="Q187" s="14" t="s">
        <v>418</v>
      </c>
      <c r="R187" s="14" t="s">
        <v>419</v>
      </c>
      <c r="S187" s="44" t="s">
        <v>57</v>
      </c>
      <c r="T187" s="16" t="s">
        <v>250</v>
      </c>
      <c r="U187" s="16" t="s">
        <v>59</v>
      </c>
      <c r="V187" s="45">
        <v>9.0</v>
      </c>
      <c r="Z187" s="46" t="s">
        <v>60</v>
      </c>
      <c r="AA187" s="47" t="s">
        <v>421</v>
      </c>
      <c r="AB187" s="16" t="s">
        <v>432</v>
      </c>
      <c r="AC187" s="47" t="s">
        <v>63</v>
      </c>
      <c r="AD187" s="47" t="s">
        <v>423</v>
      </c>
      <c r="AF187" s="47" t="s">
        <v>65</v>
      </c>
      <c r="AG187" s="16" t="s">
        <v>1549</v>
      </c>
      <c r="AH187" s="14" t="s">
        <v>1568</v>
      </c>
      <c r="AI187" s="14">
        <v>2025.0</v>
      </c>
      <c r="AJ187" s="14">
        <v>2025.0</v>
      </c>
      <c r="AK187" s="44" t="s">
        <v>70</v>
      </c>
    </row>
    <row r="188" ht="15.75" customHeight="1">
      <c r="A188" s="41">
        <f t="shared" si="1"/>
        <v>186</v>
      </c>
      <c r="B188" s="42" t="s">
        <v>1569</v>
      </c>
      <c r="C188" s="42" t="s">
        <v>1570</v>
      </c>
      <c r="D188" s="11" t="str">
        <f>IFERROR(__xludf.DUMMYFUNCTION("REGEXEXTRACT(C188,""[A-Z]{2,}"")"),"FMDS")</f>
        <v>FMDS</v>
      </c>
      <c r="E188" s="43" t="s">
        <v>48</v>
      </c>
      <c r="F188" s="43" t="s">
        <v>73</v>
      </c>
      <c r="G188" s="43" t="s">
        <v>50</v>
      </c>
      <c r="H188" s="43">
        <v>0.07</v>
      </c>
      <c r="I188" s="43">
        <v>7.0</v>
      </c>
      <c r="J188" s="14" t="s">
        <v>1571</v>
      </c>
      <c r="K188" s="14" t="s">
        <v>1572</v>
      </c>
      <c r="L188" s="42" t="s">
        <v>1569</v>
      </c>
      <c r="M188" s="43" t="s">
        <v>48</v>
      </c>
      <c r="N188" s="14" t="s">
        <v>1573</v>
      </c>
      <c r="O188" s="42" t="s">
        <v>1569</v>
      </c>
      <c r="P188" s="14">
        <v>2003.0</v>
      </c>
      <c r="Q188" s="14" t="s">
        <v>418</v>
      </c>
      <c r="R188" s="14" t="s">
        <v>419</v>
      </c>
      <c r="S188" s="44" t="s">
        <v>57</v>
      </c>
      <c r="T188" s="16" t="s">
        <v>250</v>
      </c>
      <c r="U188" s="16" t="s">
        <v>59</v>
      </c>
      <c r="V188" s="45">
        <v>9.0</v>
      </c>
      <c r="Z188" s="46" t="s">
        <v>800</v>
      </c>
      <c r="AA188" s="47" t="s">
        <v>421</v>
      </c>
      <c r="AB188" s="16" t="s">
        <v>432</v>
      </c>
      <c r="AC188" s="16" t="s">
        <v>801</v>
      </c>
      <c r="AD188" s="47" t="s">
        <v>802</v>
      </c>
      <c r="AF188" s="16" t="s">
        <v>921</v>
      </c>
      <c r="AG188" s="47" t="s">
        <v>630</v>
      </c>
      <c r="AH188" s="14" t="s">
        <v>1574</v>
      </c>
      <c r="AI188" s="14">
        <v>2003.0</v>
      </c>
      <c r="AJ188" s="14">
        <v>2003.0</v>
      </c>
      <c r="AK188" s="44" t="s">
        <v>70</v>
      </c>
    </row>
    <row r="189" ht="15.75" customHeight="1">
      <c r="A189" s="41">
        <f t="shared" si="1"/>
        <v>187</v>
      </c>
      <c r="B189" s="42" t="s">
        <v>1575</v>
      </c>
      <c r="C189" s="42" t="s">
        <v>1576</v>
      </c>
      <c r="D189" s="11" t="str">
        <f>IFERROR(__xludf.DUMMYFUNCTION("REGEXEXTRACT(C189,""[A-Z]{2,}"")"),"FMDS")</f>
        <v>FMDS</v>
      </c>
      <c r="E189" s="43" t="s">
        <v>48</v>
      </c>
      <c r="F189" s="43" t="s">
        <v>73</v>
      </c>
      <c r="G189" s="43" t="s">
        <v>50</v>
      </c>
      <c r="H189" s="43">
        <v>0.18</v>
      </c>
      <c r="I189" s="43">
        <v>28.0</v>
      </c>
      <c r="J189" s="14" t="s">
        <v>1577</v>
      </c>
      <c r="K189" s="14" t="s">
        <v>1578</v>
      </c>
      <c r="L189" s="42" t="s">
        <v>1575</v>
      </c>
      <c r="M189" s="43" t="s">
        <v>48</v>
      </c>
      <c r="N189" s="14" t="s">
        <v>1579</v>
      </c>
      <c r="O189" s="42" t="s">
        <v>1575</v>
      </c>
      <c r="P189" s="14">
        <v>2019.0</v>
      </c>
      <c r="Q189" s="14" t="s">
        <v>418</v>
      </c>
      <c r="R189" s="14" t="s">
        <v>419</v>
      </c>
      <c r="S189" s="44" t="s">
        <v>57</v>
      </c>
      <c r="T189" s="16" t="s">
        <v>250</v>
      </c>
      <c r="U189" s="16" t="s">
        <v>59</v>
      </c>
      <c r="V189" s="45">
        <v>9.0</v>
      </c>
      <c r="Z189" s="46" t="s">
        <v>60</v>
      </c>
      <c r="AA189" s="47" t="s">
        <v>421</v>
      </c>
      <c r="AB189" s="16" t="s">
        <v>432</v>
      </c>
      <c r="AC189" s="47" t="s">
        <v>63</v>
      </c>
      <c r="AD189" s="47" t="s">
        <v>423</v>
      </c>
      <c r="AF189" s="47" t="s">
        <v>65</v>
      </c>
      <c r="AG189" s="16" t="s">
        <v>1549</v>
      </c>
      <c r="AH189" s="14" t="s">
        <v>1580</v>
      </c>
      <c r="AI189" s="14">
        <v>2019.0</v>
      </c>
      <c r="AJ189" s="14">
        <v>2019.0</v>
      </c>
      <c r="AK189" s="44" t="s">
        <v>70</v>
      </c>
    </row>
    <row r="190" ht="15.75" customHeight="1">
      <c r="A190" s="41">
        <f t="shared" si="1"/>
        <v>188</v>
      </c>
      <c r="B190" s="42" t="s">
        <v>1581</v>
      </c>
      <c r="C190" s="42" t="s">
        <v>1582</v>
      </c>
      <c r="D190" s="11" t="str">
        <f>IFERROR(__xludf.DUMMYFUNCTION("REGEXEXTRACT(C190,""[A-Z]{2,}"")"),"FMDS")</f>
        <v>FMDS</v>
      </c>
      <c r="E190" s="43" t="s">
        <v>48</v>
      </c>
      <c r="F190" s="43" t="s">
        <v>73</v>
      </c>
      <c r="G190" s="43" t="s">
        <v>50</v>
      </c>
      <c r="H190" s="43">
        <v>0.29</v>
      </c>
      <c r="I190" s="43">
        <v>20.0</v>
      </c>
      <c r="J190" s="14" t="s">
        <v>1583</v>
      </c>
      <c r="K190" s="14" t="s">
        <v>1584</v>
      </c>
      <c r="L190" s="42" t="s">
        <v>1581</v>
      </c>
      <c r="M190" s="43" t="s">
        <v>48</v>
      </c>
      <c r="N190" s="14" t="s">
        <v>1585</v>
      </c>
      <c r="O190" s="42" t="s">
        <v>1581</v>
      </c>
      <c r="P190" s="14">
        <v>2023.0</v>
      </c>
      <c r="Q190" s="14" t="s">
        <v>418</v>
      </c>
      <c r="R190" s="14" t="s">
        <v>419</v>
      </c>
      <c r="S190" s="44" t="s">
        <v>57</v>
      </c>
      <c r="T190" s="16" t="s">
        <v>250</v>
      </c>
      <c r="U190" s="16" t="s">
        <v>59</v>
      </c>
      <c r="V190" s="45">
        <v>9.0</v>
      </c>
      <c r="Z190" s="46" t="s">
        <v>60</v>
      </c>
      <c r="AA190" s="47" t="s">
        <v>421</v>
      </c>
      <c r="AB190" s="16" t="s">
        <v>432</v>
      </c>
      <c r="AC190" s="47" t="s">
        <v>63</v>
      </c>
      <c r="AD190" s="47" t="s">
        <v>423</v>
      </c>
      <c r="AF190" s="47" t="s">
        <v>65</v>
      </c>
      <c r="AG190" s="16" t="s">
        <v>1549</v>
      </c>
      <c r="AH190" s="14" t="s">
        <v>1586</v>
      </c>
      <c r="AI190" s="14">
        <v>2023.0</v>
      </c>
      <c r="AJ190" s="14">
        <v>2023.0</v>
      </c>
      <c r="AK190" s="44" t="s">
        <v>70</v>
      </c>
    </row>
    <row r="191" ht="15.75" customHeight="1">
      <c r="A191" s="41">
        <f t="shared" si="1"/>
        <v>189</v>
      </c>
      <c r="B191" s="42" t="s">
        <v>1587</v>
      </c>
      <c r="C191" s="42" t="s">
        <v>1588</v>
      </c>
      <c r="D191" s="11" t="str">
        <f>IFERROR(__xludf.DUMMYFUNCTION("REGEXEXTRACT(C191,""[A-Z]{2,}"")"),"FMDS")</f>
        <v>FMDS</v>
      </c>
      <c r="E191" s="43" t="s">
        <v>48</v>
      </c>
      <c r="F191" s="43" t="s">
        <v>73</v>
      </c>
      <c r="G191" s="43" t="s">
        <v>50</v>
      </c>
      <c r="H191" s="43">
        <v>0.05</v>
      </c>
      <c r="I191" s="43">
        <v>4.0</v>
      </c>
      <c r="J191" s="14" t="s">
        <v>1589</v>
      </c>
      <c r="K191" s="14" t="s">
        <v>1590</v>
      </c>
      <c r="L191" s="42" t="s">
        <v>1587</v>
      </c>
      <c r="M191" s="43" t="s">
        <v>48</v>
      </c>
      <c r="N191" s="14" t="s">
        <v>1591</v>
      </c>
      <c r="O191" s="42" t="s">
        <v>1587</v>
      </c>
      <c r="P191" s="14">
        <v>2013.0</v>
      </c>
      <c r="Q191" s="14" t="s">
        <v>418</v>
      </c>
      <c r="R191" s="14" t="s">
        <v>419</v>
      </c>
      <c r="S191" s="44" t="s">
        <v>57</v>
      </c>
      <c r="T191" s="16" t="s">
        <v>250</v>
      </c>
      <c r="U191" s="16" t="s">
        <v>59</v>
      </c>
      <c r="V191" s="45">
        <v>9.0</v>
      </c>
      <c r="Z191" s="46" t="s">
        <v>60</v>
      </c>
      <c r="AA191" s="47" t="s">
        <v>421</v>
      </c>
      <c r="AB191" s="16" t="s">
        <v>432</v>
      </c>
      <c r="AC191" s="47" t="s">
        <v>63</v>
      </c>
      <c r="AD191" s="47" t="s">
        <v>423</v>
      </c>
      <c r="AF191" s="47" t="s">
        <v>65</v>
      </c>
      <c r="AG191" s="16" t="s">
        <v>1549</v>
      </c>
      <c r="AH191" s="14" t="s">
        <v>1592</v>
      </c>
      <c r="AI191" s="14">
        <v>2013.0</v>
      </c>
      <c r="AJ191" s="14">
        <v>2013.0</v>
      </c>
      <c r="AK191" s="44" t="s">
        <v>70</v>
      </c>
    </row>
    <row r="192" ht="15.75" customHeight="1">
      <c r="A192" s="41">
        <f t="shared" si="1"/>
        <v>190</v>
      </c>
      <c r="B192" s="42" t="s">
        <v>1593</v>
      </c>
      <c r="C192" s="42" t="s">
        <v>1594</v>
      </c>
      <c r="D192" s="11" t="str">
        <f>IFERROR(__xludf.DUMMYFUNCTION("REGEXEXTRACT(C192,""[A-Z]{2,}"")"),"FMDS")</f>
        <v>FMDS</v>
      </c>
      <c r="E192" s="43" t="s">
        <v>48</v>
      </c>
      <c r="F192" s="43" t="s">
        <v>73</v>
      </c>
      <c r="G192" s="43" t="s">
        <v>50</v>
      </c>
      <c r="H192" s="43">
        <v>0.13</v>
      </c>
      <c r="I192" s="43">
        <v>31.0</v>
      </c>
      <c r="J192" s="14" t="s">
        <v>1595</v>
      </c>
      <c r="K192" s="14" t="s">
        <v>1596</v>
      </c>
      <c r="L192" s="42" t="s">
        <v>1593</v>
      </c>
      <c r="M192" s="43" t="s">
        <v>48</v>
      </c>
      <c r="N192" s="14" t="s">
        <v>1597</v>
      </c>
      <c r="O192" s="42" t="s">
        <v>1593</v>
      </c>
      <c r="P192" s="14">
        <v>2015.0</v>
      </c>
      <c r="Q192" s="14" t="s">
        <v>418</v>
      </c>
      <c r="R192" s="14" t="s">
        <v>419</v>
      </c>
      <c r="S192" s="44" t="s">
        <v>57</v>
      </c>
      <c r="T192" s="16" t="s">
        <v>250</v>
      </c>
      <c r="U192" s="16" t="s">
        <v>59</v>
      </c>
      <c r="V192" s="45">
        <v>9.0</v>
      </c>
      <c r="Z192" s="46" t="s">
        <v>60</v>
      </c>
      <c r="AA192" s="47" t="s">
        <v>421</v>
      </c>
      <c r="AB192" s="16" t="s">
        <v>432</v>
      </c>
      <c r="AC192" s="47" t="s">
        <v>63</v>
      </c>
      <c r="AD192" s="47" t="s">
        <v>423</v>
      </c>
      <c r="AF192" s="47" t="s">
        <v>65</v>
      </c>
      <c r="AG192" s="16" t="s">
        <v>1549</v>
      </c>
      <c r="AH192" s="14" t="s">
        <v>1598</v>
      </c>
      <c r="AI192" s="14">
        <v>2015.0</v>
      </c>
      <c r="AJ192" s="14">
        <v>2015.0</v>
      </c>
      <c r="AK192" s="44" t="s">
        <v>70</v>
      </c>
    </row>
    <row r="193" ht="15.75" customHeight="1">
      <c r="A193" s="41">
        <f t="shared" si="1"/>
        <v>191</v>
      </c>
      <c r="B193" s="42" t="s">
        <v>1599</v>
      </c>
      <c r="C193" s="42" t="s">
        <v>1600</v>
      </c>
      <c r="D193" s="11" t="str">
        <f>IFERROR(__xludf.DUMMYFUNCTION("REGEXEXTRACT(C193,""[A-Z]{2,}"")"),"FMDS")</f>
        <v>FMDS</v>
      </c>
      <c r="E193" s="43" t="s">
        <v>48</v>
      </c>
      <c r="F193" s="43" t="s">
        <v>73</v>
      </c>
      <c r="G193" s="43" t="s">
        <v>50</v>
      </c>
      <c r="H193" s="43">
        <v>0.05</v>
      </c>
      <c r="I193" s="43">
        <v>6.0</v>
      </c>
      <c r="J193" s="14" t="s">
        <v>1601</v>
      </c>
      <c r="K193" s="14" t="s">
        <v>1602</v>
      </c>
      <c r="L193" s="42" t="s">
        <v>1599</v>
      </c>
      <c r="M193" s="43" t="s">
        <v>48</v>
      </c>
      <c r="N193" s="14" t="s">
        <v>1603</v>
      </c>
      <c r="O193" s="42" t="s">
        <v>1599</v>
      </c>
      <c r="P193" s="14">
        <v>2015.0</v>
      </c>
      <c r="Q193" s="14" t="s">
        <v>418</v>
      </c>
      <c r="R193" s="14" t="s">
        <v>419</v>
      </c>
      <c r="S193" s="44" t="s">
        <v>57</v>
      </c>
      <c r="T193" s="16" t="s">
        <v>250</v>
      </c>
      <c r="U193" s="16" t="s">
        <v>59</v>
      </c>
      <c r="V193" s="45">
        <v>9.0</v>
      </c>
      <c r="Z193" s="46" t="s">
        <v>60</v>
      </c>
      <c r="AA193" s="47" t="s">
        <v>421</v>
      </c>
      <c r="AB193" s="16" t="s">
        <v>432</v>
      </c>
      <c r="AC193" s="47" t="s">
        <v>63</v>
      </c>
      <c r="AD193" s="47" t="s">
        <v>423</v>
      </c>
      <c r="AF193" s="47" t="s">
        <v>65</v>
      </c>
      <c r="AG193" s="16" t="s">
        <v>1549</v>
      </c>
      <c r="AH193" s="14" t="s">
        <v>1604</v>
      </c>
      <c r="AI193" s="14">
        <v>2015.0</v>
      </c>
      <c r="AJ193" s="14">
        <v>2015.0</v>
      </c>
      <c r="AK193" s="44" t="s">
        <v>70</v>
      </c>
    </row>
    <row r="194" ht="15.75" customHeight="1">
      <c r="A194" s="41">
        <f t="shared" si="1"/>
        <v>192</v>
      </c>
      <c r="B194" s="42" t="s">
        <v>1605</v>
      </c>
      <c r="C194" s="42" t="s">
        <v>1606</v>
      </c>
      <c r="D194" s="11" t="str">
        <f>IFERROR(__xludf.DUMMYFUNCTION("REGEXEXTRACT(C194,""[A-Z]{2,}"")"),"FMDS")</f>
        <v>FMDS</v>
      </c>
      <c r="E194" s="43" t="s">
        <v>48</v>
      </c>
      <c r="F194" s="43" t="s">
        <v>73</v>
      </c>
      <c r="G194" s="43" t="s">
        <v>50</v>
      </c>
      <c r="H194" s="43">
        <v>0.06</v>
      </c>
      <c r="I194" s="43">
        <v>6.0</v>
      </c>
      <c r="J194" s="14" t="s">
        <v>1607</v>
      </c>
      <c r="K194" s="14" t="s">
        <v>1608</v>
      </c>
      <c r="L194" s="42" t="s">
        <v>1605</v>
      </c>
      <c r="M194" s="43" t="s">
        <v>48</v>
      </c>
      <c r="N194" s="14" t="s">
        <v>1609</v>
      </c>
      <c r="O194" s="42" t="s">
        <v>1605</v>
      </c>
      <c r="P194" s="14">
        <v>2000.0</v>
      </c>
      <c r="Q194" s="14" t="s">
        <v>418</v>
      </c>
      <c r="R194" s="14" t="s">
        <v>419</v>
      </c>
      <c r="S194" s="44" t="s">
        <v>57</v>
      </c>
      <c r="T194" s="16" t="s">
        <v>250</v>
      </c>
      <c r="U194" s="16" t="s">
        <v>59</v>
      </c>
      <c r="V194" s="45">
        <v>9.0</v>
      </c>
      <c r="Z194" s="46" t="s">
        <v>60</v>
      </c>
      <c r="AA194" s="47" t="s">
        <v>421</v>
      </c>
      <c r="AB194" s="16" t="s">
        <v>432</v>
      </c>
      <c r="AC194" s="47" t="s">
        <v>63</v>
      </c>
      <c r="AD194" s="47" t="s">
        <v>423</v>
      </c>
      <c r="AF194" s="47" t="s">
        <v>65</v>
      </c>
      <c r="AG194" s="16" t="s">
        <v>1549</v>
      </c>
      <c r="AH194" s="14" t="s">
        <v>1610</v>
      </c>
      <c r="AI194" s="14">
        <v>2000.0</v>
      </c>
      <c r="AJ194" s="14">
        <v>2000.0</v>
      </c>
      <c r="AK194" s="44" t="s">
        <v>70</v>
      </c>
    </row>
    <row r="195" ht="15.75" customHeight="1">
      <c r="A195" s="41">
        <f t="shared" si="1"/>
        <v>193</v>
      </c>
      <c r="B195" s="42" t="s">
        <v>1611</v>
      </c>
      <c r="C195" s="42" t="s">
        <v>1612</v>
      </c>
      <c r="D195" s="11" t="str">
        <f>IFERROR(__xludf.DUMMYFUNCTION("REGEXEXTRACT(C195,""[A-Z]{2,}"")"),"FMDS")</f>
        <v>FMDS</v>
      </c>
      <c r="E195" s="43" t="s">
        <v>48</v>
      </c>
      <c r="F195" s="43" t="s">
        <v>73</v>
      </c>
      <c r="G195" s="43" t="s">
        <v>50</v>
      </c>
      <c r="H195" s="43">
        <v>0.16</v>
      </c>
      <c r="I195" s="43">
        <v>12.0</v>
      </c>
      <c r="J195" s="14" t="s">
        <v>1613</v>
      </c>
      <c r="K195" s="14" t="s">
        <v>1614</v>
      </c>
      <c r="L195" s="42" t="s">
        <v>1611</v>
      </c>
      <c r="M195" s="43" t="s">
        <v>48</v>
      </c>
      <c r="N195" s="14" t="s">
        <v>1615</v>
      </c>
      <c r="O195" s="42" t="s">
        <v>1611</v>
      </c>
      <c r="P195" s="14">
        <v>2000.0</v>
      </c>
      <c r="Q195" s="14" t="s">
        <v>418</v>
      </c>
      <c r="R195" s="14" t="s">
        <v>419</v>
      </c>
      <c r="S195" s="44" t="s">
        <v>57</v>
      </c>
      <c r="T195" s="16" t="s">
        <v>250</v>
      </c>
      <c r="U195" s="16" t="s">
        <v>59</v>
      </c>
      <c r="V195" s="45">
        <v>9.0</v>
      </c>
      <c r="Z195" s="46" t="s">
        <v>60</v>
      </c>
      <c r="AA195" s="47" t="s">
        <v>421</v>
      </c>
      <c r="AB195" s="16" t="s">
        <v>432</v>
      </c>
      <c r="AC195" s="47" t="s">
        <v>63</v>
      </c>
      <c r="AD195" s="47" t="s">
        <v>423</v>
      </c>
      <c r="AF195" s="47" t="s">
        <v>65</v>
      </c>
      <c r="AG195" s="16" t="s">
        <v>1549</v>
      </c>
      <c r="AH195" s="14" t="s">
        <v>1616</v>
      </c>
      <c r="AI195" s="14">
        <v>2000.0</v>
      </c>
      <c r="AJ195" s="14">
        <v>2000.0</v>
      </c>
      <c r="AK195" s="44" t="s">
        <v>70</v>
      </c>
    </row>
    <row r="196" ht="15.75" customHeight="1">
      <c r="A196" s="41">
        <f t="shared" si="1"/>
        <v>194</v>
      </c>
      <c r="B196" s="42" t="s">
        <v>1617</v>
      </c>
      <c r="C196" s="42" t="s">
        <v>1618</v>
      </c>
      <c r="D196" s="11" t="str">
        <f>IFERROR(__xludf.DUMMYFUNCTION("REGEXEXTRACT(C196,""[A-Z]{2,}"")"),"FMDS")</f>
        <v>FMDS</v>
      </c>
      <c r="E196" s="43" t="s">
        <v>48</v>
      </c>
      <c r="F196" s="43" t="s">
        <v>73</v>
      </c>
      <c r="G196" s="43" t="s">
        <v>50</v>
      </c>
      <c r="H196" s="43">
        <v>0.12</v>
      </c>
      <c r="I196" s="43">
        <v>8.0</v>
      </c>
      <c r="J196" s="14" t="s">
        <v>1619</v>
      </c>
      <c r="K196" s="14" t="s">
        <v>1620</v>
      </c>
      <c r="L196" s="42" t="s">
        <v>1617</v>
      </c>
      <c r="M196" s="43" t="s">
        <v>48</v>
      </c>
      <c r="N196" s="14" t="s">
        <v>1621</v>
      </c>
      <c r="O196" s="42" t="s">
        <v>1617</v>
      </c>
      <c r="P196" s="14">
        <v>2025.0</v>
      </c>
      <c r="Q196" s="14" t="s">
        <v>418</v>
      </c>
      <c r="R196" s="14" t="s">
        <v>419</v>
      </c>
      <c r="S196" s="44" t="s">
        <v>57</v>
      </c>
      <c r="T196" s="16" t="s">
        <v>250</v>
      </c>
      <c r="U196" s="16" t="s">
        <v>59</v>
      </c>
      <c r="V196" s="45">
        <v>9.0</v>
      </c>
      <c r="Z196" s="46" t="s">
        <v>60</v>
      </c>
      <c r="AA196" s="47" t="s">
        <v>421</v>
      </c>
      <c r="AB196" s="16" t="s">
        <v>432</v>
      </c>
      <c r="AC196" s="47" t="s">
        <v>63</v>
      </c>
      <c r="AD196" s="47" t="s">
        <v>423</v>
      </c>
      <c r="AF196" s="47" t="s">
        <v>65</v>
      </c>
      <c r="AG196" s="16" t="s">
        <v>1549</v>
      </c>
      <c r="AH196" s="14" t="s">
        <v>1622</v>
      </c>
      <c r="AI196" s="14">
        <v>2025.0</v>
      </c>
      <c r="AJ196" s="14">
        <v>2025.0</v>
      </c>
      <c r="AK196" s="44" t="s">
        <v>70</v>
      </c>
    </row>
    <row r="197" ht="15.75" customHeight="1">
      <c r="A197" s="41">
        <f t="shared" si="1"/>
        <v>195</v>
      </c>
      <c r="B197" s="42" t="s">
        <v>1623</v>
      </c>
      <c r="C197" s="42" t="s">
        <v>1624</v>
      </c>
      <c r="D197" s="11" t="str">
        <f>IFERROR(__xludf.DUMMYFUNCTION("REGEXEXTRACT(C197,""[A-Z]{2,}"")"),"FMDS")</f>
        <v>FMDS</v>
      </c>
      <c r="E197" s="43" t="s">
        <v>48</v>
      </c>
      <c r="F197" s="43" t="s">
        <v>73</v>
      </c>
      <c r="G197" s="43" t="s">
        <v>50</v>
      </c>
      <c r="H197" s="43">
        <v>0.4</v>
      </c>
      <c r="I197" s="43">
        <v>18.0</v>
      </c>
      <c r="J197" s="14" t="s">
        <v>1625</v>
      </c>
      <c r="K197" s="14" t="s">
        <v>1626</v>
      </c>
      <c r="L197" s="42" t="s">
        <v>1623</v>
      </c>
      <c r="M197" s="43" t="s">
        <v>48</v>
      </c>
      <c r="N197" s="14" t="s">
        <v>1627</v>
      </c>
      <c r="O197" s="42" t="s">
        <v>1623</v>
      </c>
      <c r="P197" s="14">
        <v>2025.0</v>
      </c>
      <c r="Q197" s="14" t="s">
        <v>418</v>
      </c>
      <c r="R197" s="14" t="s">
        <v>419</v>
      </c>
      <c r="S197" s="44" t="s">
        <v>57</v>
      </c>
      <c r="T197" s="16" t="s">
        <v>250</v>
      </c>
      <c r="U197" s="16" t="s">
        <v>59</v>
      </c>
      <c r="V197" s="45">
        <v>9.0</v>
      </c>
      <c r="Z197" s="46" t="s">
        <v>60</v>
      </c>
      <c r="AA197" s="47" t="s">
        <v>421</v>
      </c>
      <c r="AB197" s="16" t="s">
        <v>432</v>
      </c>
      <c r="AC197" s="47" t="s">
        <v>63</v>
      </c>
      <c r="AD197" s="47" t="s">
        <v>423</v>
      </c>
      <c r="AF197" s="47" t="s">
        <v>65</v>
      </c>
      <c r="AG197" s="16" t="s">
        <v>1549</v>
      </c>
      <c r="AH197" s="14" t="s">
        <v>1628</v>
      </c>
      <c r="AI197" s="14">
        <v>2025.0</v>
      </c>
      <c r="AJ197" s="14">
        <v>2025.0</v>
      </c>
      <c r="AK197" s="44" t="s">
        <v>70</v>
      </c>
    </row>
    <row r="198" ht="15.75" customHeight="1">
      <c r="A198" s="41">
        <f t="shared" si="1"/>
        <v>196</v>
      </c>
      <c r="B198" s="42" t="s">
        <v>1629</v>
      </c>
      <c r="C198" s="42" t="s">
        <v>1630</v>
      </c>
      <c r="D198" s="11" t="str">
        <f>IFERROR(__xludf.DUMMYFUNCTION("REGEXEXTRACT(C198,""[A-Z]{2,}"")"),"FMDS")</f>
        <v>FMDS</v>
      </c>
      <c r="E198" s="43" t="s">
        <v>48</v>
      </c>
      <c r="F198" s="43" t="s">
        <v>73</v>
      </c>
      <c r="G198" s="43" t="s">
        <v>50</v>
      </c>
      <c r="H198" s="43">
        <v>5.74</v>
      </c>
      <c r="I198" s="43">
        <v>119.0</v>
      </c>
      <c r="J198" s="14" t="s">
        <v>1631</v>
      </c>
      <c r="K198" s="14" t="s">
        <v>1632</v>
      </c>
      <c r="L198" s="42" t="s">
        <v>1629</v>
      </c>
      <c r="M198" s="43" t="s">
        <v>48</v>
      </c>
      <c r="N198" s="14" t="s">
        <v>1633</v>
      </c>
      <c r="O198" s="42" t="s">
        <v>1629</v>
      </c>
      <c r="P198" s="14">
        <v>2024.0</v>
      </c>
      <c r="Q198" s="14" t="s">
        <v>418</v>
      </c>
      <c r="R198" s="14" t="s">
        <v>419</v>
      </c>
      <c r="S198" s="44" t="s">
        <v>57</v>
      </c>
      <c r="T198" s="16" t="s">
        <v>250</v>
      </c>
      <c r="U198" s="16" t="s">
        <v>59</v>
      </c>
      <c r="V198" s="45">
        <v>9.0</v>
      </c>
      <c r="Z198" s="46" t="s">
        <v>60</v>
      </c>
      <c r="AA198" s="47" t="s">
        <v>421</v>
      </c>
      <c r="AB198" s="16" t="s">
        <v>432</v>
      </c>
      <c r="AC198" s="47" t="s">
        <v>63</v>
      </c>
      <c r="AD198" s="47" t="s">
        <v>423</v>
      </c>
      <c r="AF198" s="47" t="s">
        <v>65</v>
      </c>
      <c r="AG198" s="47" t="s">
        <v>1549</v>
      </c>
      <c r="AH198" s="14" t="s">
        <v>1634</v>
      </c>
      <c r="AI198" s="14">
        <v>2024.0</v>
      </c>
      <c r="AJ198" s="14">
        <v>2024.0</v>
      </c>
      <c r="AK198" s="44" t="s">
        <v>70</v>
      </c>
    </row>
    <row r="199" ht="15.75" customHeight="1">
      <c r="A199" s="41">
        <f t="shared" si="1"/>
        <v>197</v>
      </c>
      <c r="B199" s="42" t="s">
        <v>1635</v>
      </c>
      <c r="C199" s="42" t="s">
        <v>1636</v>
      </c>
      <c r="D199" s="11" t="str">
        <f>IFERROR(__xludf.DUMMYFUNCTION("REGEXEXTRACT(C199,""[A-Z]{2,}"")"),"FMDS")</f>
        <v>FMDS</v>
      </c>
      <c r="E199" s="43" t="s">
        <v>48</v>
      </c>
      <c r="F199" s="43" t="s">
        <v>73</v>
      </c>
      <c r="G199" s="43" t="s">
        <v>50</v>
      </c>
      <c r="H199" s="43">
        <v>0.34</v>
      </c>
      <c r="I199" s="43">
        <v>47.0</v>
      </c>
      <c r="J199" s="14" t="s">
        <v>1637</v>
      </c>
      <c r="K199" s="14" t="s">
        <v>1638</v>
      </c>
      <c r="L199" s="42" t="s">
        <v>1635</v>
      </c>
      <c r="M199" s="43" t="s">
        <v>48</v>
      </c>
      <c r="N199" s="14" t="s">
        <v>1639</v>
      </c>
      <c r="O199" s="42" t="s">
        <v>1635</v>
      </c>
      <c r="P199" s="14">
        <v>2024.0</v>
      </c>
      <c r="Q199" s="14" t="s">
        <v>418</v>
      </c>
      <c r="R199" s="14" t="s">
        <v>419</v>
      </c>
      <c r="S199" s="44" t="s">
        <v>57</v>
      </c>
      <c r="T199" s="16" t="s">
        <v>250</v>
      </c>
      <c r="U199" s="16" t="s">
        <v>59</v>
      </c>
      <c r="V199" s="45">
        <v>9.0</v>
      </c>
      <c r="Z199" s="46" t="s">
        <v>420</v>
      </c>
      <c r="AA199" s="47" t="s">
        <v>421</v>
      </c>
      <c r="AB199" s="16" t="s">
        <v>432</v>
      </c>
      <c r="AC199" s="47" t="s">
        <v>63</v>
      </c>
      <c r="AD199" s="47" t="s">
        <v>423</v>
      </c>
      <c r="AF199" s="47" t="s">
        <v>65</v>
      </c>
      <c r="AG199" s="16" t="s">
        <v>1640</v>
      </c>
      <c r="AH199" s="14" t="s">
        <v>1641</v>
      </c>
      <c r="AI199" s="14">
        <v>2024.0</v>
      </c>
      <c r="AJ199" s="14">
        <v>2024.0</v>
      </c>
      <c r="AK199" s="44" t="s">
        <v>70</v>
      </c>
    </row>
    <row r="200" ht="15.75" customHeight="1">
      <c r="A200" s="41">
        <f t="shared" si="1"/>
        <v>198</v>
      </c>
      <c r="B200" s="42" t="s">
        <v>1642</v>
      </c>
      <c r="C200" s="42" t="s">
        <v>1643</v>
      </c>
      <c r="D200" s="11" t="str">
        <f>IFERROR(__xludf.DUMMYFUNCTION("REGEXEXTRACT(C200,""[A-Z]{2,}"")"),"FMDS")</f>
        <v>FMDS</v>
      </c>
      <c r="E200" s="43" t="s">
        <v>48</v>
      </c>
      <c r="F200" s="43" t="s">
        <v>73</v>
      </c>
      <c r="G200" s="43" t="s">
        <v>50</v>
      </c>
      <c r="H200" s="43">
        <v>0.23</v>
      </c>
      <c r="I200" s="43">
        <v>31.0</v>
      </c>
      <c r="J200" s="14" t="s">
        <v>1644</v>
      </c>
      <c r="K200" s="14" t="s">
        <v>1645</v>
      </c>
      <c r="L200" s="42" t="s">
        <v>1642</v>
      </c>
      <c r="M200" s="43" t="s">
        <v>48</v>
      </c>
      <c r="N200" s="14" t="s">
        <v>1646</v>
      </c>
      <c r="O200" s="42" t="s">
        <v>1642</v>
      </c>
      <c r="P200" s="14">
        <v>2021.0</v>
      </c>
      <c r="Q200" s="14" t="s">
        <v>418</v>
      </c>
      <c r="R200" s="14" t="s">
        <v>419</v>
      </c>
      <c r="S200" s="44" t="s">
        <v>57</v>
      </c>
      <c r="T200" s="16" t="s">
        <v>250</v>
      </c>
      <c r="U200" s="16" t="s">
        <v>59</v>
      </c>
      <c r="V200" s="45">
        <v>9.0</v>
      </c>
      <c r="Z200" s="46" t="s">
        <v>420</v>
      </c>
      <c r="AA200" s="47" t="s">
        <v>421</v>
      </c>
      <c r="AB200" s="16" t="s">
        <v>432</v>
      </c>
      <c r="AC200" s="47" t="s">
        <v>63</v>
      </c>
      <c r="AD200" s="47" t="s">
        <v>423</v>
      </c>
      <c r="AF200" s="47" t="s">
        <v>150</v>
      </c>
      <c r="AG200" s="16" t="s">
        <v>424</v>
      </c>
      <c r="AH200" s="14" t="s">
        <v>1647</v>
      </c>
      <c r="AI200" s="14">
        <v>2021.0</v>
      </c>
      <c r="AJ200" s="14">
        <v>2021.0</v>
      </c>
      <c r="AK200" s="44" t="s">
        <v>70</v>
      </c>
    </row>
    <row r="201" ht="15.75" customHeight="1">
      <c r="A201" s="41">
        <f t="shared" si="1"/>
        <v>199</v>
      </c>
      <c r="B201" s="42" t="s">
        <v>1648</v>
      </c>
      <c r="C201" s="42" t="s">
        <v>1649</v>
      </c>
      <c r="D201" s="11" t="str">
        <f>IFERROR(__xludf.DUMMYFUNCTION("REGEXEXTRACT(C201,""[A-Z]{2,}"")"),"FMDS")</f>
        <v>FMDS</v>
      </c>
      <c r="E201" s="43" t="s">
        <v>48</v>
      </c>
      <c r="F201" s="43" t="s">
        <v>73</v>
      </c>
      <c r="G201" s="43" t="s">
        <v>50</v>
      </c>
      <c r="H201" s="43">
        <v>0.51</v>
      </c>
      <c r="I201" s="43">
        <v>15.0</v>
      </c>
      <c r="J201" s="14" t="s">
        <v>1650</v>
      </c>
      <c r="K201" s="14" t="s">
        <v>1651</v>
      </c>
      <c r="L201" s="42" t="s">
        <v>1648</v>
      </c>
      <c r="M201" s="43" t="s">
        <v>48</v>
      </c>
      <c r="N201" s="14" t="s">
        <v>1652</v>
      </c>
      <c r="O201" s="42" t="s">
        <v>1648</v>
      </c>
      <c r="P201" s="14">
        <v>2025.0</v>
      </c>
      <c r="Q201" s="14" t="s">
        <v>418</v>
      </c>
      <c r="R201" s="14" t="s">
        <v>419</v>
      </c>
      <c r="S201" s="44" t="s">
        <v>57</v>
      </c>
      <c r="T201" s="16" t="s">
        <v>250</v>
      </c>
      <c r="U201" s="16" t="s">
        <v>59</v>
      </c>
      <c r="V201" s="45">
        <v>9.0</v>
      </c>
      <c r="Z201" s="46" t="s">
        <v>420</v>
      </c>
      <c r="AA201" s="47" t="s">
        <v>421</v>
      </c>
      <c r="AB201" s="16" t="s">
        <v>432</v>
      </c>
      <c r="AC201" s="47" t="s">
        <v>63</v>
      </c>
      <c r="AD201" s="47" t="s">
        <v>423</v>
      </c>
      <c r="AF201" s="47" t="s">
        <v>150</v>
      </c>
      <c r="AG201" s="16" t="s">
        <v>424</v>
      </c>
      <c r="AH201" s="14" t="s">
        <v>1653</v>
      </c>
      <c r="AI201" s="14">
        <v>2025.0</v>
      </c>
      <c r="AJ201" s="14">
        <v>2025.0</v>
      </c>
      <c r="AK201" s="44" t="s">
        <v>70</v>
      </c>
    </row>
    <row r="202" ht="15.75" customHeight="1">
      <c r="A202" s="41">
        <f t="shared" si="1"/>
        <v>200</v>
      </c>
      <c r="B202" s="42" t="s">
        <v>1654</v>
      </c>
      <c r="C202" s="42" t="s">
        <v>1655</v>
      </c>
      <c r="D202" s="11" t="str">
        <f>IFERROR(__xludf.DUMMYFUNCTION("REGEXEXTRACT(C202,""[A-Z]{2,}"")"),"FMDS")</f>
        <v>FMDS</v>
      </c>
      <c r="E202" s="43" t="s">
        <v>48</v>
      </c>
      <c r="F202" s="43" t="s">
        <v>73</v>
      </c>
      <c r="G202" s="43" t="s">
        <v>50</v>
      </c>
      <c r="H202" s="43">
        <v>0.99</v>
      </c>
      <c r="I202" s="43">
        <v>50.0</v>
      </c>
      <c r="J202" s="14" t="s">
        <v>1656</v>
      </c>
      <c r="K202" s="14" t="s">
        <v>1657</v>
      </c>
      <c r="L202" s="42" t="s">
        <v>1654</v>
      </c>
      <c r="M202" s="43" t="s">
        <v>48</v>
      </c>
      <c r="N202" s="14" t="s">
        <v>1658</v>
      </c>
      <c r="O202" s="42" t="s">
        <v>1654</v>
      </c>
      <c r="P202" s="14">
        <v>2025.0</v>
      </c>
      <c r="Q202" s="14" t="s">
        <v>418</v>
      </c>
      <c r="R202" s="14" t="s">
        <v>419</v>
      </c>
      <c r="S202" s="44" t="s">
        <v>57</v>
      </c>
      <c r="T202" s="16" t="s">
        <v>250</v>
      </c>
      <c r="U202" s="16" t="s">
        <v>59</v>
      </c>
      <c r="V202" s="45">
        <v>9.0</v>
      </c>
      <c r="Z202" s="46" t="s">
        <v>420</v>
      </c>
      <c r="AA202" s="47" t="s">
        <v>421</v>
      </c>
      <c r="AB202" s="16" t="s">
        <v>432</v>
      </c>
      <c r="AC202" s="47" t="s">
        <v>63</v>
      </c>
      <c r="AD202" s="47" t="s">
        <v>423</v>
      </c>
      <c r="AF202" s="47" t="s">
        <v>150</v>
      </c>
      <c r="AG202" s="16" t="s">
        <v>424</v>
      </c>
      <c r="AH202" s="14" t="s">
        <v>1659</v>
      </c>
      <c r="AI202" s="14">
        <v>2025.0</v>
      </c>
      <c r="AJ202" s="14">
        <v>2025.0</v>
      </c>
      <c r="AK202" s="44" t="s">
        <v>70</v>
      </c>
    </row>
    <row r="203" ht="15.75" customHeight="1">
      <c r="A203" s="41">
        <f t="shared" si="1"/>
        <v>201</v>
      </c>
      <c r="B203" s="42" t="s">
        <v>1660</v>
      </c>
      <c r="C203" s="42" t="s">
        <v>1661</v>
      </c>
      <c r="D203" s="11" t="str">
        <f>IFERROR(__xludf.DUMMYFUNCTION("REGEXEXTRACT(C203,""[A-Z]{2,}"")"),"FMDS")</f>
        <v>FMDS</v>
      </c>
      <c r="E203" s="43" t="s">
        <v>48</v>
      </c>
      <c r="F203" s="43" t="s">
        <v>73</v>
      </c>
      <c r="G203" s="43" t="s">
        <v>50</v>
      </c>
      <c r="H203" s="43">
        <v>0.27</v>
      </c>
      <c r="I203" s="43">
        <v>26.0</v>
      </c>
      <c r="J203" s="14" t="s">
        <v>1662</v>
      </c>
      <c r="K203" s="14" t="s">
        <v>1663</v>
      </c>
      <c r="L203" s="42" t="s">
        <v>1660</v>
      </c>
      <c r="M203" s="43" t="s">
        <v>48</v>
      </c>
      <c r="N203" s="14" t="s">
        <v>1664</v>
      </c>
      <c r="O203" s="42" t="s">
        <v>1660</v>
      </c>
      <c r="P203" s="14">
        <v>2025.0</v>
      </c>
      <c r="Q203" s="14" t="s">
        <v>418</v>
      </c>
      <c r="R203" s="14" t="s">
        <v>419</v>
      </c>
      <c r="S203" s="44" t="s">
        <v>57</v>
      </c>
      <c r="T203" s="16" t="s">
        <v>250</v>
      </c>
      <c r="U203" s="16" t="s">
        <v>59</v>
      </c>
      <c r="V203" s="45">
        <v>9.0</v>
      </c>
      <c r="Z203" s="46" t="s">
        <v>420</v>
      </c>
      <c r="AA203" s="47" t="s">
        <v>421</v>
      </c>
      <c r="AB203" s="16" t="s">
        <v>432</v>
      </c>
      <c r="AC203" s="47" t="s">
        <v>63</v>
      </c>
      <c r="AD203" s="47" t="s">
        <v>423</v>
      </c>
      <c r="AF203" s="47" t="s">
        <v>150</v>
      </c>
      <c r="AG203" s="16" t="s">
        <v>424</v>
      </c>
      <c r="AH203" s="14" t="s">
        <v>1665</v>
      </c>
      <c r="AI203" s="14">
        <v>2025.0</v>
      </c>
      <c r="AJ203" s="14">
        <v>2025.0</v>
      </c>
      <c r="AK203" s="44" t="s">
        <v>70</v>
      </c>
    </row>
    <row r="204" ht="15.75" customHeight="1">
      <c r="A204" s="41">
        <f t="shared" si="1"/>
        <v>202</v>
      </c>
      <c r="B204" s="42" t="s">
        <v>1666</v>
      </c>
      <c r="C204" s="42" t="s">
        <v>1667</v>
      </c>
      <c r="D204" s="11" t="str">
        <f>IFERROR(__xludf.DUMMYFUNCTION("REGEXEXTRACT(C204,""[A-Z]{2,}"")"),"FMDS")</f>
        <v>FMDS</v>
      </c>
      <c r="E204" s="43" t="s">
        <v>48</v>
      </c>
      <c r="F204" s="43" t="s">
        <v>73</v>
      </c>
      <c r="G204" s="43" t="s">
        <v>50</v>
      </c>
      <c r="H204" s="43">
        <v>1.05</v>
      </c>
      <c r="I204" s="43">
        <v>22.0</v>
      </c>
      <c r="J204" s="14" t="s">
        <v>1668</v>
      </c>
      <c r="K204" s="14" t="s">
        <v>1669</v>
      </c>
      <c r="L204" s="42" t="s">
        <v>1666</v>
      </c>
      <c r="M204" s="43" t="s">
        <v>48</v>
      </c>
      <c r="N204" s="14" t="s">
        <v>1670</v>
      </c>
      <c r="O204" s="42" t="s">
        <v>1666</v>
      </c>
      <c r="P204" s="14">
        <v>2022.0</v>
      </c>
      <c r="Q204" s="14" t="s">
        <v>418</v>
      </c>
      <c r="R204" s="14" t="s">
        <v>419</v>
      </c>
      <c r="S204" s="44" t="s">
        <v>57</v>
      </c>
      <c r="T204" s="16" t="s">
        <v>250</v>
      </c>
      <c r="U204" s="16" t="s">
        <v>59</v>
      </c>
      <c r="V204" s="45">
        <v>9.0</v>
      </c>
      <c r="Z204" s="46" t="s">
        <v>420</v>
      </c>
      <c r="AA204" s="47" t="s">
        <v>421</v>
      </c>
      <c r="AB204" s="16" t="s">
        <v>432</v>
      </c>
      <c r="AC204" s="47" t="s">
        <v>63</v>
      </c>
      <c r="AD204" s="47" t="s">
        <v>423</v>
      </c>
      <c r="AF204" s="47" t="s">
        <v>150</v>
      </c>
      <c r="AG204" s="16" t="s">
        <v>424</v>
      </c>
      <c r="AH204" s="14" t="s">
        <v>1671</v>
      </c>
      <c r="AI204" s="14">
        <v>2022.0</v>
      </c>
      <c r="AJ204" s="14">
        <v>2022.0</v>
      </c>
      <c r="AK204" s="44" t="s">
        <v>70</v>
      </c>
    </row>
    <row r="205" ht="15.75" customHeight="1">
      <c r="A205" s="41">
        <f t="shared" si="1"/>
        <v>203</v>
      </c>
      <c r="B205" s="42" t="s">
        <v>1672</v>
      </c>
      <c r="C205" s="42" t="s">
        <v>1673</v>
      </c>
      <c r="D205" s="11" t="str">
        <f>IFERROR(__xludf.DUMMYFUNCTION("REGEXEXTRACT(C205,""[A-Z]{2,}"")"),"FMDS")</f>
        <v>FMDS</v>
      </c>
      <c r="E205" s="43" t="s">
        <v>48</v>
      </c>
      <c r="F205" s="43" t="s">
        <v>73</v>
      </c>
      <c r="G205" s="43" t="s">
        <v>50</v>
      </c>
      <c r="H205" s="43">
        <v>1.3</v>
      </c>
      <c r="I205" s="43">
        <v>14.0</v>
      </c>
      <c r="J205" s="14" t="s">
        <v>1674</v>
      </c>
      <c r="K205" s="14" t="s">
        <v>1675</v>
      </c>
      <c r="L205" s="42" t="s">
        <v>1672</v>
      </c>
      <c r="M205" s="43" t="s">
        <v>48</v>
      </c>
      <c r="N205" s="14" t="s">
        <v>1676</v>
      </c>
      <c r="O205" s="42" t="s">
        <v>1672</v>
      </c>
      <c r="P205" s="14">
        <v>2024.0</v>
      </c>
      <c r="Q205" s="14" t="s">
        <v>418</v>
      </c>
      <c r="R205" s="14" t="s">
        <v>419</v>
      </c>
      <c r="S205" s="44" t="s">
        <v>57</v>
      </c>
      <c r="T205" s="16" t="s">
        <v>250</v>
      </c>
      <c r="U205" s="16" t="s">
        <v>59</v>
      </c>
      <c r="V205" s="45">
        <v>9.0</v>
      </c>
      <c r="Z205" s="46" t="s">
        <v>420</v>
      </c>
      <c r="AA205" s="47" t="s">
        <v>421</v>
      </c>
      <c r="AB205" s="16" t="s">
        <v>432</v>
      </c>
      <c r="AC205" s="47" t="s">
        <v>63</v>
      </c>
      <c r="AD205" s="47" t="s">
        <v>423</v>
      </c>
      <c r="AF205" s="47" t="s">
        <v>150</v>
      </c>
      <c r="AG205" s="16" t="s">
        <v>424</v>
      </c>
      <c r="AH205" s="14" t="s">
        <v>1677</v>
      </c>
      <c r="AI205" s="14">
        <v>2024.0</v>
      </c>
      <c r="AJ205" s="14">
        <v>2024.0</v>
      </c>
      <c r="AK205" s="44" t="s">
        <v>70</v>
      </c>
    </row>
    <row r="206" ht="15.75" customHeight="1">
      <c r="A206" s="41">
        <f t="shared" si="1"/>
        <v>204</v>
      </c>
      <c r="B206" s="42" t="s">
        <v>1678</v>
      </c>
      <c r="C206" s="42" t="s">
        <v>1679</v>
      </c>
      <c r="D206" s="11" t="str">
        <f>IFERROR(__xludf.DUMMYFUNCTION("REGEXEXTRACT(C206,""[A-Z]{2,}"")"),"FMDS")</f>
        <v>FMDS</v>
      </c>
      <c r="E206" s="43" t="s">
        <v>48</v>
      </c>
      <c r="F206" s="43" t="s">
        <v>73</v>
      </c>
      <c r="G206" s="43" t="s">
        <v>50</v>
      </c>
      <c r="H206" s="43">
        <v>2.18</v>
      </c>
      <c r="I206" s="43">
        <v>10.0</v>
      </c>
      <c r="J206" s="14" t="s">
        <v>1680</v>
      </c>
      <c r="K206" s="14" t="s">
        <v>1681</v>
      </c>
      <c r="L206" s="42" t="s">
        <v>1678</v>
      </c>
      <c r="M206" s="43" t="s">
        <v>48</v>
      </c>
      <c r="N206" s="14" t="s">
        <v>1682</v>
      </c>
      <c r="O206" s="42" t="s">
        <v>1678</v>
      </c>
      <c r="P206" s="14">
        <v>2019.0</v>
      </c>
      <c r="Q206" s="14" t="s">
        <v>418</v>
      </c>
      <c r="R206" s="14" t="s">
        <v>419</v>
      </c>
      <c r="S206" s="44" t="s">
        <v>57</v>
      </c>
      <c r="T206" s="16" t="s">
        <v>250</v>
      </c>
      <c r="U206" s="16" t="s">
        <v>59</v>
      </c>
      <c r="V206" s="45">
        <v>9.0</v>
      </c>
      <c r="Z206" s="46" t="s">
        <v>420</v>
      </c>
      <c r="AA206" s="47" t="s">
        <v>421</v>
      </c>
      <c r="AB206" s="16" t="s">
        <v>432</v>
      </c>
      <c r="AC206" s="47" t="s">
        <v>63</v>
      </c>
      <c r="AD206" s="47" t="s">
        <v>423</v>
      </c>
      <c r="AF206" s="47" t="s">
        <v>150</v>
      </c>
      <c r="AG206" s="16" t="s">
        <v>424</v>
      </c>
      <c r="AH206" s="14" t="s">
        <v>1683</v>
      </c>
      <c r="AI206" s="14">
        <v>2019.0</v>
      </c>
      <c r="AJ206" s="14">
        <v>2019.0</v>
      </c>
      <c r="AK206" s="44" t="s">
        <v>70</v>
      </c>
    </row>
    <row r="207" ht="15.75" customHeight="1">
      <c r="A207" s="41">
        <f t="shared" si="1"/>
        <v>205</v>
      </c>
      <c r="B207" s="42" t="s">
        <v>1684</v>
      </c>
      <c r="C207" s="42" t="s">
        <v>1685</v>
      </c>
      <c r="D207" s="11" t="str">
        <f>IFERROR(__xludf.DUMMYFUNCTION("REGEXEXTRACT(C207,""[A-Z]{2,}"")"),"FMDS")</f>
        <v>FMDS</v>
      </c>
      <c r="E207" s="43" t="s">
        <v>48</v>
      </c>
      <c r="F207" s="43" t="s">
        <v>73</v>
      </c>
      <c r="G207" s="43" t="s">
        <v>50</v>
      </c>
      <c r="H207" s="43">
        <v>0.14</v>
      </c>
      <c r="I207" s="43">
        <v>31.0</v>
      </c>
      <c r="J207" s="14" t="s">
        <v>1686</v>
      </c>
      <c r="K207" s="14" t="s">
        <v>1687</v>
      </c>
      <c r="L207" s="42" t="s">
        <v>1684</v>
      </c>
      <c r="M207" s="43" t="s">
        <v>48</v>
      </c>
      <c r="N207" s="14" t="s">
        <v>1688</v>
      </c>
      <c r="O207" s="42" t="s">
        <v>1684</v>
      </c>
      <c r="P207" s="14">
        <v>2023.0</v>
      </c>
      <c r="Q207" s="14" t="s">
        <v>418</v>
      </c>
      <c r="R207" s="14" t="s">
        <v>419</v>
      </c>
      <c r="S207" s="44" t="s">
        <v>57</v>
      </c>
      <c r="T207" s="16" t="s">
        <v>250</v>
      </c>
      <c r="U207" s="16" t="s">
        <v>59</v>
      </c>
      <c r="V207" s="45">
        <v>9.0</v>
      </c>
      <c r="Z207" s="46" t="s">
        <v>420</v>
      </c>
      <c r="AA207" s="47" t="s">
        <v>421</v>
      </c>
      <c r="AB207" s="16" t="s">
        <v>432</v>
      </c>
      <c r="AC207" s="47" t="s">
        <v>63</v>
      </c>
      <c r="AD207" s="47" t="s">
        <v>423</v>
      </c>
      <c r="AF207" s="47" t="s">
        <v>150</v>
      </c>
      <c r="AG207" s="16" t="s">
        <v>424</v>
      </c>
      <c r="AH207" s="14" t="s">
        <v>1689</v>
      </c>
      <c r="AI207" s="14">
        <v>2023.0</v>
      </c>
      <c r="AJ207" s="14">
        <v>2023.0</v>
      </c>
      <c r="AK207" s="44" t="s">
        <v>70</v>
      </c>
    </row>
    <row r="208" ht="15.75" customHeight="1">
      <c r="A208" s="41">
        <f t="shared" si="1"/>
        <v>206</v>
      </c>
      <c r="B208" s="42" t="s">
        <v>1690</v>
      </c>
      <c r="C208" s="42" t="s">
        <v>1691</v>
      </c>
      <c r="D208" s="11" t="str">
        <f>IFERROR(__xludf.DUMMYFUNCTION("REGEXEXTRACT(C208,""[A-Z]{2,}"")"),"FMDS")</f>
        <v>FMDS</v>
      </c>
      <c r="E208" s="43" t="s">
        <v>48</v>
      </c>
      <c r="F208" s="43" t="s">
        <v>73</v>
      </c>
      <c r="G208" s="43" t="s">
        <v>50</v>
      </c>
      <c r="H208" s="43">
        <v>0.55</v>
      </c>
      <c r="I208" s="43">
        <v>30.0</v>
      </c>
      <c r="J208" s="14" t="s">
        <v>1692</v>
      </c>
      <c r="K208" s="14" t="s">
        <v>1693</v>
      </c>
      <c r="L208" s="42" t="s">
        <v>1690</v>
      </c>
      <c r="M208" s="43" t="s">
        <v>48</v>
      </c>
      <c r="N208" s="14" t="s">
        <v>1694</v>
      </c>
      <c r="O208" s="42" t="s">
        <v>1690</v>
      </c>
      <c r="P208" s="14">
        <v>2021.0</v>
      </c>
      <c r="Q208" s="14" t="s">
        <v>418</v>
      </c>
      <c r="R208" s="14" t="s">
        <v>419</v>
      </c>
      <c r="S208" s="44" t="s">
        <v>57</v>
      </c>
      <c r="T208" s="16" t="s">
        <v>250</v>
      </c>
      <c r="U208" s="16" t="s">
        <v>59</v>
      </c>
      <c r="V208" s="45">
        <v>9.0</v>
      </c>
      <c r="Z208" s="46" t="s">
        <v>420</v>
      </c>
      <c r="AA208" s="47" t="s">
        <v>421</v>
      </c>
      <c r="AB208" s="16" t="s">
        <v>422</v>
      </c>
      <c r="AC208" s="47" t="s">
        <v>63</v>
      </c>
      <c r="AD208" s="47" t="s">
        <v>423</v>
      </c>
      <c r="AF208" s="47" t="s">
        <v>150</v>
      </c>
      <c r="AG208" s="16" t="s">
        <v>424</v>
      </c>
      <c r="AH208" s="14" t="s">
        <v>1695</v>
      </c>
      <c r="AI208" s="14">
        <v>2021.0</v>
      </c>
      <c r="AJ208" s="14">
        <v>2021.0</v>
      </c>
      <c r="AK208" s="44" t="s">
        <v>70</v>
      </c>
    </row>
    <row r="209" ht="15.75" customHeight="1">
      <c r="A209" s="41">
        <f t="shared" si="1"/>
        <v>207</v>
      </c>
      <c r="B209" s="42" t="s">
        <v>1696</v>
      </c>
      <c r="C209" s="42" t="s">
        <v>1697</v>
      </c>
      <c r="D209" s="11" t="str">
        <f>IFERROR(__xludf.DUMMYFUNCTION("REGEXEXTRACT(C209,""[A-Z]{2,}"")"),"FMDS")</f>
        <v>FMDS</v>
      </c>
      <c r="E209" s="43" t="s">
        <v>48</v>
      </c>
      <c r="F209" s="43" t="s">
        <v>73</v>
      </c>
      <c r="G209" s="43" t="s">
        <v>50</v>
      </c>
      <c r="H209" s="43">
        <v>0.06</v>
      </c>
      <c r="I209" s="43">
        <v>7.0</v>
      </c>
      <c r="J209" s="14" t="s">
        <v>1698</v>
      </c>
      <c r="K209" s="14" t="s">
        <v>1699</v>
      </c>
      <c r="L209" s="42" t="s">
        <v>1696</v>
      </c>
      <c r="M209" s="43" t="s">
        <v>48</v>
      </c>
      <c r="N209" s="14" t="s">
        <v>1700</v>
      </c>
      <c r="O209" s="42" t="s">
        <v>1696</v>
      </c>
      <c r="P209" s="14">
        <v>2024.0</v>
      </c>
      <c r="Q209" s="14" t="s">
        <v>418</v>
      </c>
      <c r="R209" s="14" t="s">
        <v>419</v>
      </c>
      <c r="S209" s="44" t="s">
        <v>57</v>
      </c>
      <c r="T209" s="16" t="s">
        <v>250</v>
      </c>
      <c r="U209" s="16" t="s">
        <v>59</v>
      </c>
      <c r="V209" s="45">
        <v>9.0</v>
      </c>
      <c r="Z209" s="46" t="s">
        <v>420</v>
      </c>
      <c r="AA209" s="47" t="s">
        <v>421</v>
      </c>
      <c r="AB209" s="16" t="s">
        <v>422</v>
      </c>
      <c r="AC209" s="47" t="s">
        <v>63</v>
      </c>
      <c r="AD209" s="47" t="s">
        <v>423</v>
      </c>
      <c r="AF209" s="47" t="s">
        <v>150</v>
      </c>
      <c r="AG209" s="16" t="s">
        <v>424</v>
      </c>
      <c r="AH209" s="14" t="s">
        <v>1701</v>
      </c>
      <c r="AI209" s="14">
        <v>2024.0</v>
      </c>
      <c r="AJ209" s="14">
        <v>2024.0</v>
      </c>
      <c r="AK209" s="44" t="s">
        <v>70</v>
      </c>
    </row>
    <row r="210" ht="15.75" customHeight="1">
      <c r="A210" s="41">
        <f t="shared" si="1"/>
        <v>208</v>
      </c>
      <c r="B210" s="42" t="s">
        <v>1702</v>
      </c>
      <c r="C210" s="42" t="s">
        <v>1703</v>
      </c>
      <c r="D210" s="11" t="str">
        <f>IFERROR(__xludf.DUMMYFUNCTION("REGEXEXTRACT(C210,""[A-Z]{2,}"")"),"FMDS")</f>
        <v>FMDS</v>
      </c>
      <c r="E210" s="43" t="s">
        <v>48</v>
      </c>
      <c r="F210" s="43" t="s">
        <v>73</v>
      </c>
      <c r="G210" s="43" t="s">
        <v>50</v>
      </c>
      <c r="H210" s="43">
        <v>0.1</v>
      </c>
      <c r="I210" s="43">
        <v>8.0</v>
      </c>
      <c r="J210" s="14" t="s">
        <v>1704</v>
      </c>
      <c r="K210" s="14" t="s">
        <v>1705</v>
      </c>
      <c r="L210" s="42" t="s">
        <v>1702</v>
      </c>
      <c r="M210" s="43" t="s">
        <v>48</v>
      </c>
      <c r="N210" s="14" t="s">
        <v>1706</v>
      </c>
      <c r="O210" s="42" t="s">
        <v>1702</v>
      </c>
      <c r="P210" s="14">
        <v>2025.0</v>
      </c>
      <c r="Q210" s="14" t="s">
        <v>418</v>
      </c>
      <c r="R210" s="14" t="s">
        <v>419</v>
      </c>
      <c r="S210" s="44" t="s">
        <v>57</v>
      </c>
      <c r="T210" s="16" t="s">
        <v>250</v>
      </c>
      <c r="U210" s="16" t="s">
        <v>59</v>
      </c>
      <c r="V210" s="45">
        <v>9.0</v>
      </c>
      <c r="Z210" s="46" t="s">
        <v>60</v>
      </c>
      <c r="AA210" s="47" t="s">
        <v>421</v>
      </c>
      <c r="AB210" s="16" t="s">
        <v>432</v>
      </c>
      <c r="AC210" s="47" t="s">
        <v>63</v>
      </c>
      <c r="AD210" s="47" t="s">
        <v>423</v>
      </c>
      <c r="AF210" s="47" t="s">
        <v>150</v>
      </c>
      <c r="AG210" s="16" t="s">
        <v>424</v>
      </c>
      <c r="AH210" s="14" t="s">
        <v>1707</v>
      </c>
      <c r="AI210" s="14">
        <v>2025.0</v>
      </c>
      <c r="AJ210" s="14">
        <v>2025.0</v>
      </c>
      <c r="AK210" s="44" t="s">
        <v>70</v>
      </c>
    </row>
    <row r="211" ht="15.75" customHeight="1">
      <c r="A211" s="41">
        <f t="shared" si="1"/>
        <v>209</v>
      </c>
      <c r="B211" s="42" t="s">
        <v>1708</v>
      </c>
      <c r="C211" s="42" t="s">
        <v>1709</v>
      </c>
      <c r="D211" s="11" t="str">
        <f>IFERROR(__xludf.DUMMYFUNCTION("REGEXEXTRACT(C211,""[A-Z]{2,}"")"),"FMDS")</f>
        <v>FMDS</v>
      </c>
      <c r="E211" s="43" t="s">
        <v>48</v>
      </c>
      <c r="F211" s="43" t="s">
        <v>73</v>
      </c>
      <c r="G211" s="43" t="s">
        <v>50</v>
      </c>
      <c r="H211" s="43">
        <v>0.09</v>
      </c>
      <c r="I211" s="43">
        <v>14.0</v>
      </c>
      <c r="J211" s="14" t="s">
        <v>1710</v>
      </c>
      <c r="K211" s="14" t="s">
        <v>1711</v>
      </c>
      <c r="L211" s="42" t="s">
        <v>1708</v>
      </c>
      <c r="M211" s="43" t="s">
        <v>48</v>
      </c>
      <c r="N211" s="14" t="s">
        <v>1712</v>
      </c>
      <c r="O211" s="42" t="s">
        <v>1708</v>
      </c>
      <c r="P211" s="14">
        <v>2025.0</v>
      </c>
      <c r="Q211" s="14" t="s">
        <v>418</v>
      </c>
      <c r="R211" s="14" t="s">
        <v>419</v>
      </c>
      <c r="S211" s="44" t="s">
        <v>57</v>
      </c>
      <c r="T211" s="16" t="s">
        <v>250</v>
      </c>
      <c r="U211" s="16" t="s">
        <v>59</v>
      </c>
      <c r="V211" s="45">
        <v>9.0</v>
      </c>
      <c r="Z211" s="46" t="s">
        <v>60</v>
      </c>
      <c r="AA211" s="47" t="s">
        <v>421</v>
      </c>
      <c r="AB211" s="16" t="s">
        <v>432</v>
      </c>
      <c r="AC211" s="47" t="s">
        <v>63</v>
      </c>
      <c r="AD211" s="47" t="s">
        <v>423</v>
      </c>
      <c r="AF211" s="47" t="s">
        <v>150</v>
      </c>
      <c r="AG211" s="16" t="s">
        <v>424</v>
      </c>
      <c r="AH211" s="14" t="s">
        <v>1713</v>
      </c>
      <c r="AI211" s="14">
        <v>2025.0</v>
      </c>
      <c r="AJ211" s="14">
        <v>2025.0</v>
      </c>
      <c r="AK211" s="44" t="s">
        <v>70</v>
      </c>
    </row>
    <row r="212" ht="15.75" customHeight="1">
      <c r="A212" s="41">
        <f t="shared" si="1"/>
        <v>210</v>
      </c>
      <c r="B212" s="42" t="s">
        <v>1714</v>
      </c>
      <c r="C212" s="42" t="s">
        <v>1715</v>
      </c>
      <c r="D212" s="11" t="str">
        <f>IFERROR(__xludf.DUMMYFUNCTION("REGEXEXTRACT(C212,""[A-Z]{2,}"")"),"FMDS")</f>
        <v>FMDS</v>
      </c>
      <c r="E212" s="43" t="s">
        <v>48</v>
      </c>
      <c r="F212" s="43" t="s">
        <v>73</v>
      </c>
      <c r="G212" s="43" t="s">
        <v>50</v>
      </c>
      <c r="H212" s="43">
        <v>0.6</v>
      </c>
      <c r="I212" s="43">
        <v>8.0</v>
      </c>
      <c r="J212" s="14" t="s">
        <v>1716</v>
      </c>
      <c r="K212" s="14" t="s">
        <v>1717</v>
      </c>
      <c r="L212" s="42" t="s">
        <v>1714</v>
      </c>
      <c r="M212" s="43" t="s">
        <v>48</v>
      </c>
      <c r="N212" s="14" t="s">
        <v>1718</v>
      </c>
      <c r="O212" s="42" t="s">
        <v>1714</v>
      </c>
      <c r="P212" s="14">
        <v>2019.0</v>
      </c>
      <c r="Q212" s="14" t="s">
        <v>418</v>
      </c>
      <c r="R212" s="14" t="s">
        <v>419</v>
      </c>
      <c r="S212" s="44" t="s">
        <v>57</v>
      </c>
      <c r="T212" s="16" t="s">
        <v>250</v>
      </c>
      <c r="U212" s="16" t="s">
        <v>59</v>
      </c>
      <c r="V212" s="45">
        <v>9.0</v>
      </c>
      <c r="Z212" s="46" t="s">
        <v>60</v>
      </c>
      <c r="AA212" s="47" t="s">
        <v>421</v>
      </c>
      <c r="AB212" s="16" t="s">
        <v>422</v>
      </c>
      <c r="AC212" s="47" t="s">
        <v>63</v>
      </c>
      <c r="AD212" s="47" t="s">
        <v>423</v>
      </c>
      <c r="AF212" s="47" t="s">
        <v>65</v>
      </c>
      <c r="AG212" s="16" t="s">
        <v>657</v>
      </c>
      <c r="AH212" s="14" t="s">
        <v>1719</v>
      </c>
      <c r="AI212" s="14">
        <v>2019.0</v>
      </c>
      <c r="AJ212" s="14">
        <v>2019.0</v>
      </c>
      <c r="AK212" s="44" t="s">
        <v>70</v>
      </c>
    </row>
    <row r="213" ht="15.75" customHeight="1">
      <c r="A213" s="41">
        <f t="shared" si="1"/>
        <v>211</v>
      </c>
      <c r="B213" s="42" t="s">
        <v>1720</v>
      </c>
      <c r="C213" s="42" t="s">
        <v>1721</v>
      </c>
      <c r="D213" s="11" t="str">
        <f>IFERROR(__xludf.DUMMYFUNCTION("REGEXEXTRACT(C213,""[A-Z]{2,}"")"),"FMDS")</f>
        <v>FMDS</v>
      </c>
      <c r="E213" s="43" t="s">
        <v>48</v>
      </c>
      <c r="F213" s="43" t="s">
        <v>73</v>
      </c>
      <c r="G213" s="43" t="s">
        <v>50</v>
      </c>
      <c r="H213" s="43">
        <v>0.26</v>
      </c>
      <c r="I213" s="43">
        <v>12.0</v>
      </c>
      <c r="J213" s="14" t="s">
        <v>1722</v>
      </c>
      <c r="K213" s="14" t="s">
        <v>1723</v>
      </c>
      <c r="L213" s="42" t="s">
        <v>1720</v>
      </c>
      <c r="M213" s="43" t="s">
        <v>48</v>
      </c>
      <c r="N213" s="14" t="s">
        <v>1724</v>
      </c>
      <c r="O213" s="42" t="s">
        <v>1720</v>
      </c>
      <c r="P213" s="14">
        <v>2019.0</v>
      </c>
      <c r="Q213" s="14" t="s">
        <v>418</v>
      </c>
      <c r="R213" s="14" t="s">
        <v>419</v>
      </c>
      <c r="S213" s="44" t="s">
        <v>57</v>
      </c>
      <c r="T213" s="16" t="s">
        <v>250</v>
      </c>
      <c r="U213" s="16" t="s">
        <v>59</v>
      </c>
      <c r="V213" s="45">
        <v>9.0</v>
      </c>
      <c r="Z213" s="46" t="s">
        <v>420</v>
      </c>
      <c r="AA213" s="47" t="s">
        <v>421</v>
      </c>
      <c r="AB213" s="16" t="s">
        <v>432</v>
      </c>
      <c r="AC213" s="47" t="s">
        <v>63</v>
      </c>
      <c r="AD213" s="47" t="s">
        <v>423</v>
      </c>
      <c r="AF213" s="47" t="s">
        <v>150</v>
      </c>
      <c r="AG213" s="16" t="s">
        <v>1026</v>
      </c>
      <c r="AH213" s="14" t="s">
        <v>1725</v>
      </c>
      <c r="AI213" s="14">
        <v>2019.0</v>
      </c>
      <c r="AJ213" s="14">
        <v>2019.0</v>
      </c>
      <c r="AK213" s="44" t="s">
        <v>70</v>
      </c>
    </row>
    <row r="214" ht="15.75" customHeight="1">
      <c r="A214" s="41">
        <f t="shared" si="1"/>
        <v>212</v>
      </c>
      <c r="B214" s="42" t="s">
        <v>1726</v>
      </c>
      <c r="C214" s="42" t="s">
        <v>1727</v>
      </c>
      <c r="D214" s="11" t="str">
        <f>IFERROR(__xludf.DUMMYFUNCTION("REGEXEXTRACT(C214,""[A-Z]{2,}"")"),"FMDS")</f>
        <v>FMDS</v>
      </c>
      <c r="E214" s="43" t="s">
        <v>48</v>
      </c>
      <c r="F214" s="43" t="s">
        <v>73</v>
      </c>
      <c r="G214" s="43" t="s">
        <v>50</v>
      </c>
      <c r="H214" s="43">
        <v>1.29</v>
      </c>
      <c r="I214" s="43">
        <v>44.0</v>
      </c>
      <c r="J214" s="14" t="s">
        <v>1728</v>
      </c>
      <c r="K214" s="14" t="s">
        <v>1729</v>
      </c>
      <c r="L214" s="42" t="s">
        <v>1726</v>
      </c>
      <c r="M214" s="43" t="s">
        <v>48</v>
      </c>
      <c r="N214" s="14" t="s">
        <v>1730</v>
      </c>
      <c r="O214" s="42" t="s">
        <v>1726</v>
      </c>
      <c r="P214" s="14">
        <v>2024.0</v>
      </c>
      <c r="Q214" s="14" t="s">
        <v>418</v>
      </c>
      <c r="R214" s="14" t="s">
        <v>419</v>
      </c>
      <c r="S214" s="44" t="s">
        <v>57</v>
      </c>
      <c r="T214" s="16" t="s">
        <v>250</v>
      </c>
      <c r="U214" s="16" t="s">
        <v>59</v>
      </c>
      <c r="V214" s="45">
        <v>9.0</v>
      </c>
      <c r="Z214" s="46" t="s">
        <v>431</v>
      </c>
      <c r="AA214" s="47" t="s">
        <v>421</v>
      </c>
      <c r="AB214" s="16" t="s">
        <v>432</v>
      </c>
      <c r="AC214" s="47" t="s">
        <v>433</v>
      </c>
      <c r="AD214" s="47" t="s">
        <v>434</v>
      </c>
      <c r="AF214" s="47" t="s">
        <v>598</v>
      </c>
      <c r="AG214" s="47" t="s">
        <v>599</v>
      </c>
      <c r="AH214" s="14" t="s">
        <v>1731</v>
      </c>
      <c r="AI214" s="14">
        <v>2024.0</v>
      </c>
      <c r="AJ214" s="14">
        <v>2024.0</v>
      </c>
      <c r="AK214" s="44" t="s">
        <v>70</v>
      </c>
    </row>
    <row r="215" ht="15.75" customHeight="1">
      <c r="A215" s="41">
        <f t="shared" si="1"/>
        <v>213</v>
      </c>
      <c r="B215" s="42" t="s">
        <v>1732</v>
      </c>
      <c r="C215" s="42" t="s">
        <v>1733</v>
      </c>
      <c r="D215" s="11" t="str">
        <f>IFERROR(__xludf.DUMMYFUNCTION("REGEXEXTRACT(C215,""[A-Z]{2,}"")"),"FMDS")</f>
        <v>FMDS</v>
      </c>
      <c r="E215" s="43" t="s">
        <v>48</v>
      </c>
      <c r="F215" s="43" t="s">
        <v>73</v>
      </c>
      <c r="G215" s="43" t="s">
        <v>50</v>
      </c>
      <c r="H215" s="43">
        <v>0.11</v>
      </c>
      <c r="I215" s="43">
        <v>17.0</v>
      </c>
      <c r="J215" s="14" t="s">
        <v>1734</v>
      </c>
      <c r="K215" s="14" t="s">
        <v>1735</v>
      </c>
      <c r="L215" s="42" t="s">
        <v>1732</v>
      </c>
      <c r="M215" s="43" t="s">
        <v>48</v>
      </c>
      <c r="N215" s="14" t="s">
        <v>1736</v>
      </c>
      <c r="O215" s="42" t="s">
        <v>1732</v>
      </c>
      <c r="P215" s="14">
        <v>2025.0</v>
      </c>
      <c r="Q215" s="14" t="s">
        <v>418</v>
      </c>
      <c r="R215" s="14" t="s">
        <v>419</v>
      </c>
      <c r="S215" s="44" t="s">
        <v>57</v>
      </c>
      <c r="T215" s="16" t="s">
        <v>250</v>
      </c>
      <c r="U215" s="16" t="s">
        <v>59</v>
      </c>
      <c r="V215" s="45">
        <v>9.0</v>
      </c>
      <c r="Z215" s="46" t="s">
        <v>800</v>
      </c>
      <c r="AA215" s="47" t="s">
        <v>421</v>
      </c>
      <c r="AB215" s="16" t="s">
        <v>432</v>
      </c>
      <c r="AC215" s="16" t="s">
        <v>801</v>
      </c>
      <c r="AD215" s="47" t="s">
        <v>802</v>
      </c>
      <c r="AF215" s="16" t="s">
        <v>921</v>
      </c>
      <c r="AG215" s="47" t="s">
        <v>1416</v>
      </c>
      <c r="AH215" s="14" t="s">
        <v>1737</v>
      </c>
      <c r="AI215" s="14">
        <v>2025.0</v>
      </c>
      <c r="AJ215" s="14">
        <v>2025.0</v>
      </c>
      <c r="AK215" s="44" t="s">
        <v>70</v>
      </c>
    </row>
    <row r="216" ht="15.75" customHeight="1">
      <c r="A216" s="41">
        <f t="shared" si="1"/>
        <v>214</v>
      </c>
      <c r="B216" s="42" t="s">
        <v>1738</v>
      </c>
      <c r="C216" s="42" t="s">
        <v>1739</v>
      </c>
      <c r="D216" s="11" t="str">
        <f>IFERROR(__xludf.DUMMYFUNCTION("REGEXEXTRACT(C216,""[A-Z]{2,}"")"),"FMDS")</f>
        <v>FMDS</v>
      </c>
      <c r="E216" s="43" t="s">
        <v>48</v>
      </c>
      <c r="F216" s="43" t="s">
        <v>73</v>
      </c>
      <c r="G216" s="43" t="s">
        <v>50</v>
      </c>
      <c r="H216" s="43">
        <v>0.08</v>
      </c>
      <c r="I216" s="43">
        <v>13.0</v>
      </c>
      <c r="J216" s="14" t="s">
        <v>1740</v>
      </c>
      <c r="K216" s="14" t="s">
        <v>1741</v>
      </c>
      <c r="L216" s="42" t="s">
        <v>1738</v>
      </c>
      <c r="M216" s="43" t="s">
        <v>48</v>
      </c>
      <c r="N216" s="14" t="s">
        <v>1742</v>
      </c>
      <c r="O216" s="42" t="s">
        <v>1738</v>
      </c>
      <c r="P216" s="14">
        <v>2025.0</v>
      </c>
      <c r="Q216" s="14" t="s">
        <v>418</v>
      </c>
      <c r="R216" s="14" t="s">
        <v>419</v>
      </c>
      <c r="S216" s="44" t="s">
        <v>57</v>
      </c>
      <c r="T216" s="16" t="s">
        <v>250</v>
      </c>
      <c r="U216" s="16" t="s">
        <v>59</v>
      </c>
      <c r="V216" s="45">
        <v>9.0</v>
      </c>
      <c r="Z216" s="46" t="s">
        <v>420</v>
      </c>
      <c r="AA216" s="47" t="s">
        <v>421</v>
      </c>
      <c r="AB216" s="16" t="s">
        <v>432</v>
      </c>
      <c r="AC216" s="47" t="s">
        <v>63</v>
      </c>
      <c r="AD216" s="47" t="s">
        <v>423</v>
      </c>
      <c r="AF216" s="47" t="s">
        <v>65</v>
      </c>
      <c r="AG216" s="16" t="s">
        <v>1033</v>
      </c>
      <c r="AH216" s="14" t="s">
        <v>1743</v>
      </c>
      <c r="AI216" s="14">
        <v>2025.0</v>
      </c>
      <c r="AJ216" s="14">
        <v>2025.0</v>
      </c>
      <c r="AK216" s="44" t="s">
        <v>70</v>
      </c>
    </row>
    <row r="217" ht="15.75" customHeight="1">
      <c r="A217" s="41">
        <f t="shared" si="1"/>
        <v>215</v>
      </c>
      <c r="B217" s="42" t="s">
        <v>1744</v>
      </c>
      <c r="C217" s="42" t="s">
        <v>1745</v>
      </c>
      <c r="D217" s="11" t="str">
        <f>IFERROR(__xludf.DUMMYFUNCTION("REGEXEXTRACT(C217,""[A-Z]{2,}"")"),"FMDS")</f>
        <v>FMDS</v>
      </c>
      <c r="E217" s="43" t="s">
        <v>48</v>
      </c>
      <c r="F217" s="43" t="s">
        <v>73</v>
      </c>
      <c r="G217" s="43" t="s">
        <v>50</v>
      </c>
      <c r="H217" s="43">
        <v>0.13</v>
      </c>
      <c r="I217" s="43">
        <v>13.0</v>
      </c>
      <c r="J217" s="14" t="s">
        <v>1746</v>
      </c>
      <c r="K217" s="14" t="s">
        <v>1747</v>
      </c>
      <c r="L217" s="42" t="s">
        <v>1744</v>
      </c>
      <c r="M217" s="43" t="s">
        <v>48</v>
      </c>
      <c r="N217" s="14" t="s">
        <v>1748</v>
      </c>
      <c r="O217" s="42" t="s">
        <v>1744</v>
      </c>
      <c r="P217" s="14">
        <v>2013.0</v>
      </c>
      <c r="Q217" s="14" t="s">
        <v>418</v>
      </c>
      <c r="R217" s="14" t="s">
        <v>419</v>
      </c>
      <c r="S217" s="44" t="s">
        <v>57</v>
      </c>
      <c r="T217" s="16" t="s">
        <v>250</v>
      </c>
      <c r="U217" s="16" t="s">
        <v>59</v>
      </c>
      <c r="V217" s="45">
        <v>9.0</v>
      </c>
      <c r="Z217" s="46" t="s">
        <v>420</v>
      </c>
      <c r="AA217" s="47" t="s">
        <v>421</v>
      </c>
      <c r="AB217" s="16" t="s">
        <v>432</v>
      </c>
      <c r="AC217" s="47" t="s">
        <v>63</v>
      </c>
      <c r="AD217" s="47" t="s">
        <v>423</v>
      </c>
      <c r="AF217" s="47" t="s">
        <v>150</v>
      </c>
      <c r="AG217" s="16" t="s">
        <v>1026</v>
      </c>
      <c r="AH217" s="14" t="s">
        <v>1749</v>
      </c>
      <c r="AI217" s="14">
        <v>2013.0</v>
      </c>
      <c r="AJ217" s="14">
        <v>2013.0</v>
      </c>
      <c r="AK217" s="44" t="s">
        <v>70</v>
      </c>
    </row>
    <row r="218" ht="15.75" customHeight="1">
      <c r="A218" s="41">
        <f t="shared" si="1"/>
        <v>216</v>
      </c>
      <c r="B218" s="42" t="s">
        <v>1750</v>
      </c>
      <c r="C218" s="42" t="s">
        <v>1751</v>
      </c>
      <c r="D218" s="11" t="str">
        <f>IFERROR(__xludf.DUMMYFUNCTION("REGEXEXTRACT(C218,""[A-Z]{2,}"")"),"FMDS")</f>
        <v>FMDS</v>
      </c>
      <c r="E218" s="43" t="s">
        <v>48</v>
      </c>
      <c r="F218" s="43" t="s">
        <v>73</v>
      </c>
      <c r="G218" s="43" t="s">
        <v>50</v>
      </c>
      <c r="H218" s="43">
        <v>0.92</v>
      </c>
      <c r="I218" s="43">
        <v>57.0</v>
      </c>
      <c r="J218" s="14" t="s">
        <v>1752</v>
      </c>
      <c r="K218" s="14" t="s">
        <v>1753</v>
      </c>
      <c r="L218" s="42" t="s">
        <v>1750</v>
      </c>
      <c r="M218" s="43" t="s">
        <v>48</v>
      </c>
      <c r="N218" s="14" t="s">
        <v>1754</v>
      </c>
      <c r="O218" s="42" t="s">
        <v>1750</v>
      </c>
      <c r="P218" s="14">
        <v>2025.0</v>
      </c>
      <c r="Q218" s="14" t="s">
        <v>418</v>
      </c>
      <c r="R218" s="14" t="s">
        <v>419</v>
      </c>
      <c r="S218" s="44" t="s">
        <v>57</v>
      </c>
      <c r="T218" s="16" t="s">
        <v>250</v>
      </c>
      <c r="U218" s="16" t="s">
        <v>59</v>
      </c>
      <c r="V218" s="45">
        <v>9.0</v>
      </c>
      <c r="Z218" s="46" t="s">
        <v>800</v>
      </c>
      <c r="AA218" s="47" t="s">
        <v>421</v>
      </c>
      <c r="AB218" s="16" t="s">
        <v>432</v>
      </c>
      <c r="AC218" s="16" t="s">
        <v>801</v>
      </c>
      <c r="AD218" s="47" t="s">
        <v>802</v>
      </c>
      <c r="AF218" s="16" t="s">
        <v>803</v>
      </c>
      <c r="AG218" s="47" t="s">
        <v>1101</v>
      </c>
      <c r="AH218" s="14" t="s">
        <v>1755</v>
      </c>
      <c r="AI218" s="14">
        <v>2025.0</v>
      </c>
      <c r="AJ218" s="14">
        <v>2025.0</v>
      </c>
      <c r="AK218" s="44" t="s">
        <v>70</v>
      </c>
    </row>
    <row r="219" ht="15.75" customHeight="1">
      <c r="A219" s="41">
        <f t="shared" si="1"/>
        <v>217</v>
      </c>
      <c r="B219" s="42" t="s">
        <v>1756</v>
      </c>
      <c r="C219" s="42" t="s">
        <v>1757</v>
      </c>
      <c r="D219" s="11" t="str">
        <f>IFERROR(__xludf.DUMMYFUNCTION("REGEXEXTRACT(C219,""[A-Z]{2,}"")"),"FMDS")</f>
        <v>FMDS</v>
      </c>
      <c r="E219" s="43" t="s">
        <v>48</v>
      </c>
      <c r="F219" s="43" t="s">
        <v>73</v>
      </c>
      <c r="G219" s="43" t="s">
        <v>50</v>
      </c>
      <c r="H219" s="43">
        <v>3.13</v>
      </c>
      <c r="I219" s="43">
        <v>43.0</v>
      </c>
      <c r="J219" s="14" t="s">
        <v>1758</v>
      </c>
      <c r="K219" s="14" t="s">
        <v>1759</v>
      </c>
      <c r="L219" s="42" t="s">
        <v>1756</v>
      </c>
      <c r="M219" s="43" t="s">
        <v>48</v>
      </c>
      <c r="N219" s="14" t="s">
        <v>1760</v>
      </c>
      <c r="O219" s="42" t="s">
        <v>1756</v>
      </c>
      <c r="P219" s="14">
        <v>2023.0</v>
      </c>
      <c r="Q219" s="14" t="s">
        <v>418</v>
      </c>
      <c r="R219" s="14" t="s">
        <v>419</v>
      </c>
      <c r="S219" s="44" t="s">
        <v>57</v>
      </c>
      <c r="T219" s="16" t="s">
        <v>250</v>
      </c>
      <c r="U219" s="16" t="s">
        <v>59</v>
      </c>
      <c r="V219" s="45">
        <v>9.0</v>
      </c>
      <c r="Z219" s="46" t="s">
        <v>431</v>
      </c>
      <c r="AA219" s="47" t="s">
        <v>421</v>
      </c>
      <c r="AB219" s="16" t="s">
        <v>432</v>
      </c>
      <c r="AC219" s="47" t="s">
        <v>433</v>
      </c>
      <c r="AD219" s="47" t="s">
        <v>434</v>
      </c>
      <c r="AF219" s="47" t="s">
        <v>598</v>
      </c>
      <c r="AG219" s="47" t="s">
        <v>599</v>
      </c>
      <c r="AH219" s="14" t="s">
        <v>1761</v>
      </c>
      <c r="AI219" s="14">
        <v>2023.0</v>
      </c>
      <c r="AJ219" s="14">
        <v>2023.0</v>
      </c>
      <c r="AK219" s="44" t="s">
        <v>70</v>
      </c>
    </row>
    <row r="220" ht="15.75" customHeight="1">
      <c r="A220" s="41">
        <f t="shared" si="1"/>
        <v>218</v>
      </c>
      <c r="B220" s="42" t="s">
        <v>1762</v>
      </c>
      <c r="C220" s="42" t="s">
        <v>1763</v>
      </c>
      <c r="D220" s="11" t="str">
        <f>IFERROR(__xludf.DUMMYFUNCTION("REGEXEXTRACT(C220,""[A-Z]{2,}"")"),"FMDS")</f>
        <v>FMDS</v>
      </c>
      <c r="E220" s="43" t="s">
        <v>48</v>
      </c>
      <c r="F220" s="43" t="s">
        <v>73</v>
      </c>
      <c r="G220" s="43" t="s">
        <v>50</v>
      </c>
      <c r="H220" s="43">
        <v>0.06</v>
      </c>
      <c r="I220" s="43">
        <v>6.0</v>
      </c>
      <c r="J220" s="14" t="s">
        <v>1764</v>
      </c>
      <c r="K220" s="14" t="s">
        <v>1765</v>
      </c>
      <c r="L220" s="42" t="s">
        <v>1762</v>
      </c>
      <c r="M220" s="43" t="s">
        <v>48</v>
      </c>
      <c r="N220" s="14" t="s">
        <v>1766</v>
      </c>
      <c r="O220" s="42" t="s">
        <v>1762</v>
      </c>
      <c r="P220" s="14">
        <v>2020.0</v>
      </c>
      <c r="Q220" s="14" t="s">
        <v>418</v>
      </c>
      <c r="R220" s="14" t="s">
        <v>419</v>
      </c>
      <c r="S220" s="44" t="s">
        <v>57</v>
      </c>
      <c r="T220" s="16" t="s">
        <v>250</v>
      </c>
      <c r="U220" s="16" t="s">
        <v>59</v>
      </c>
      <c r="V220" s="45">
        <v>9.0</v>
      </c>
      <c r="Z220" s="46" t="s">
        <v>800</v>
      </c>
      <c r="AA220" s="47" t="s">
        <v>421</v>
      </c>
      <c r="AB220" s="16" t="s">
        <v>432</v>
      </c>
      <c r="AC220" s="16" t="s">
        <v>801</v>
      </c>
      <c r="AD220" s="47" t="s">
        <v>802</v>
      </c>
      <c r="AF220" s="16" t="s">
        <v>921</v>
      </c>
      <c r="AG220" s="47" t="s">
        <v>1416</v>
      </c>
      <c r="AH220" s="14" t="s">
        <v>1767</v>
      </c>
      <c r="AI220" s="14">
        <v>2020.0</v>
      </c>
      <c r="AJ220" s="14">
        <v>2020.0</v>
      </c>
      <c r="AK220" s="44" t="s">
        <v>70</v>
      </c>
    </row>
    <row r="221" ht="15.75" customHeight="1">
      <c r="A221" s="41">
        <f t="shared" si="1"/>
        <v>219</v>
      </c>
      <c r="B221" s="42" t="s">
        <v>1768</v>
      </c>
      <c r="C221" s="42" t="s">
        <v>1769</v>
      </c>
      <c r="D221" s="11" t="str">
        <f>IFERROR(__xludf.DUMMYFUNCTION("REGEXEXTRACT(C221,""[A-Z]{2,}"")"),"FMDS")</f>
        <v>FMDS</v>
      </c>
      <c r="E221" s="43" t="s">
        <v>48</v>
      </c>
      <c r="F221" s="43" t="s">
        <v>73</v>
      </c>
      <c r="G221" s="43" t="s">
        <v>50</v>
      </c>
      <c r="H221" s="43">
        <v>1.9</v>
      </c>
      <c r="I221" s="43">
        <v>56.0</v>
      </c>
      <c r="J221" s="14" t="s">
        <v>1770</v>
      </c>
      <c r="K221" s="14" t="s">
        <v>1771</v>
      </c>
      <c r="L221" s="42" t="s">
        <v>1768</v>
      </c>
      <c r="M221" s="43" t="s">
        <v>48</v>
      </c>
      <c r="N221" s="14" t="s">
        <v>1772</v>
      </c>
      <c r="O221" s="42" t="s">
        <v>1768</v>
      </c>
      <c r="P221" s="14">
        <v>2025.0</v>
      </c>
      <c r="Q221" s="14" t="s">
        <v>418</v>
      </c>
      <c r="R221" s="14" t="s">
        <v>419</v>
      </c>
      <c r="S221" s="44" t="s">
        <v>57</v>
      </c>
      <c r="T221" s="16" t="s">
        <v>250</v>
      </c>
      <c r="U221" s="16" t="s">
        <v>59</v>
      </c>
      <c r="V221" s="45">
        <v>9.0</v>
      </c>
      <c r="Z221" s="46" t="s">
        <v>800</v>
      </c>
      <c r="AA221" s="47" t="s">
        <v>421</v>
      </c>
      <c r="AB221" s="16" t="s">
        <v>432</v>
      </c>
      <c r="AC221" s="16" t="s">
        <v>801</v>
      </c>
      <c r="AD221" s="47" t="s">
        <v>802</v>
      </c>
      <c r="AF221" s="16" t="s">
        <v>803</v>
      </c>
      <c r="AG221" s="47" t="s">
        <v>1101</v>
      </c>
      <c r="AH221" s="14" t="s">
        <v>1773</v>
      </c>
      <c r="AI221" s="14">
        <v>2025.0</v>
      </c>
      <c r="AJ221" s="14">
        <v>2025.0</v>
      </c>
      <c r="AK221" s="44" t="s">
        <v>70</v>
      </c>
    </row>
    <row r="222" ht="15.75" customHeight="1">
      <c r="A222" s="41">
        <f t="shared" si="1"/>
        <v>220</v>
      </c>
      <c r="B222" s="42" t="s">
        <v>1774</v>
      </c>
      <c r="C222" s="42" t="s">
        <v>1775</v>
      </c>
      <c r="D222" s="11" t="str">
        <f>IFERROR(__xludf.DUMMYFUNCTION("REGEXEXTRACT(C222,""[A-Z]{2,}"")"),"FMDS")</f>
        <v>FMDS</v>
      </c>
      <c r="E222" s="43" t="s">
        <v>48</v>
      </c>
      <c r="F222" s="43" t="s">
        <v>73</v>
      </c>
      <c r="G222" s="43" t="s">
        <v>50</v>
      </c>
      <c r="H222" s="43">
        <v>0.19</v>
      </c>
      <c r="I222" s="43">
        <v>36.0</v>
      </c>
      <c r="J222" s="14" t="s">
        <v>1776</v>
      </c>
      <c r="K222" s="14" t="s">
        <v>1777</v>
      </c>
      <c r="L222" s="42" t="s">
        <v>1774</v>
      </c>
      <c r="M222" s="43" t="s">
        <v>48</v>
      </c>
      <c r="N222" s="14" t="s">
        <v>1778</v>
      </c>
      <c r="O222" s="42" t="s">
        <v>1774</v>
      </c>
      <c r="P222" s="14">
        <v>2025.0</v>
      </c>
      <c r="Q222" s="14" t="s">
        <v>418</v>
      </c>
      <c r="R222" s="14" t="s">
        <v>419</v>
      </c>
      <c r="S222" s="44" t="s">
        <v>57</v>
      </c>
      <c r="T222" s="16" t="s">
        <v>250</v>
      </c>
      <c r="U222" s="16" t="s">
        <v>59</v>
      </c>
      <c r="V222" s="45">
        <v>9.0</v>
      </c>
      <c r="Z222" s="46" t="s">
        <v>800</v>
      </c>
      <c r="AA222" s="47" t="s">
        <v>421</v>
      </c>
      <c r="AB222" s="16" t="s">
        <v>432</v>
      </c>
      <c r="AC222" s="16" t="s">
        <v>801</v>
      </c>
      <c r="AD222" s="47" t="s">
        <v>802</v>
      </c>
      <c r="AF222" s="16" t="s">
        <v>803</v>
      </c>
      <c r="AG222" s="47" t="s">
        <v>1101</v>
      </c>
      <c r="AH222" s="14" t="s">
        <v>1779</v>
      </c>
      <c r="AI222" s="14">
        <v>2025.0</v>
      </c>
      <c r="AJ222" s="14">
        <v>2025.0</v>
      </c>
      <c r="AK222" s="44" t="s">
        <v>70</v>
      </c>
    </row>
    <row r="223" ht="15.75" customHeight="1">
      <c r="A223" s="41">
        <f t="shared" si="1"/>
        <v>221</v>
      </c>
      <c r="B223" s="42" t="s">
        <v>1780</v>
      </c>
      <c r="C223" s="42" t="s">
        <v>1781</v>
      </c>
      <c r="D223" s="11" t="str">
        <f>IFERROR(__xludf.DUMMYFUNCTION("REGEXEXTRACT(C223,""[A-Z]{2,}"")"),"FMDS")</f>
        <v>FMDS</v>
      </c>
      <c r="E223" s="43" t="s">
        <v>48</v>
      </c>
      <c r="F223" s="43" t="s">
        <v>73</v>
      </c>
      <c r="G223" s="43" t="s">
        <v>50</v>
      </c>
      <c r="H223" s="43">
        <v>2.99</v>
      </c>
      <c r="I223" s="43">
        <v>16.0</v>
      </c>
      <c r="J223" s="14" t="s">
        <v>1782</v>
      </c>
      <c r="K223" s="14" t="s">
        <v>1783</v>
      </c>
      <c r="L223" s="42" t="s">
        <v>1780</v>
      </c>
      <c r="M223" s="43" t="s">
        <v>48</v>
      </c>
      <c r="N223" s="14" t="s">
        <v>1784</v>
      </c>
      <c r="O223" s="42" t="s">
        <v>1780</v>
      </c>
      <c r="P223" s="14">
        <v>2000.0</v>
      </c>
      <c r="Q223" s="14" t="s">
        <v>418</v>
      </c>
      <c r="R223" s="14" t="s">
        <v>419</v>
      </c>
      <c r="S223" s="44" t="s">
        <v>57</v>
      </c>
      <c r="T223" s="16" t="s">
        <v>250</v>
      </c>
      <c r="U223" s="16" t="s">
        <v>59</v>
      </c>
      <c r="V223" s="45">
        <v>9.0</v>
      </c>
      <c r="Z223" s="46" t="s">
        <v>431</v>
      </c>
      <c r="AA223" s="47" t="s">
        <v>421</v>
      </c>
      <c r="AB223" s="16" t="s">
        <v>432</v>
      </c>
      <c r="AC223" s="47" t="s">
        <v>433</v>
      </c>
      <c r="AD223" s="47" t="s">
        <v>434</v>
      </c>
      <c r="AF223" s="47" t="s">
        <v>598</v>
      </c>
      <c r="AG223" s="47" t="s">
        <v>599</v>
      </c>
      <c r="AH223" s="14" t="s">
        <v>1785</v>
      </c>
      <c r="AI223" s="14">
        <v>2000.0</v>
      </c>
      <c r="AJ223" s="14">
        <v>2000.0</v>
      </c>
      <c r="AK223" s="44" t="s">
        <v>70</v>
      </c>
    </row>
    <row r="224" ht="15.75" customHeight="1">
      <c r="A224" s="41">
        <f t="shared" si="1"/>
        <v>222</v>
      </c>
      <c r="B224" s="42" t="s">
        <v>1786</v>
      </c>
      <c r="C224" s="42" t="s">
        <v>1787</v>
      </c>
      <c r="D224" s="11" t="str">
        <f>IFERROR(__xludf.DUMMYFUNCTION("REGEXEXTRACT(C224,""[A-Z]{2,}"")"),"FMDS")</f>
        <v>FMDS</v>
      </c>
      <c r="E224" s="43" t="s">
        <v>48</v>
      </c>
      <c r="F224" s="43" t="s">
        <v>73</v>
      </c>
      <c r="G224" s="43" t="s">
        <v>50</v>
      </c>
      <c r="H224" s="43">
        <v>0.22</v>
      </c>
      <c r="I224" s="43">
        <v>20.0</v>
      </c>
      <c r="J224" s="14" t="s">
        <v>1788</v>
      </c>
      <c r="K224" s="14" t="s">
        <v>1789</v>
      </c>
      <c r="L224" s="42" t="s">
        <v>1786</v>
      </c>
      <c r="M224" s="43" t="s">
        <v>48</v>
      </c>
      <c r="N224" s="14" t="s">
        <v>1790</v>
      </c>
      <c r="O224" s="42" t="s">
        <v>1786</v>
      </c>
      <c r="P224" s="14">
        <v>2024.0</v>
      </c>
      <c r="Q224" s="14" t="s">
        <v>418</v>
      </c>
      <c r="R224" s="14" t="s">
        <v>419</v>
      </c>
      <c r="S224" s="44" t="s">
        <v>57</v>
      </c>
      <c r="T224" s="16" t="s">
        <v>250</v>
      </c>
      <c r="U224" s="16" t="s">
        <v>59</v>
      </c>
      <c r="V224" s="45">
        <v>9.0</v>
      </c>
      <c r="Z224" s="46" t="s">
        <v>431</v>
      </c>
      <c r="AA224" s="47" t="s">
        <v>421</v>
      </c>
      <c r="AB224" s="16" t="s">
        <v>432</v>
      </c>
      <c r="AC224" s="47" t="s">
        <v>433</v>
      </c>
      <c r="AD224" s="47" t="s">
        <v>434</v>
      </c>
      <c r="AF224" s="47" t="s">
        <v>598</v>
      </c>
      <c r="AG224" s="47" t="s">
        <v>599</v>
      </c>
      <c r="AH224" s="14" t="s">
        <v>1791</v>
      </c>
      <c r="AI224" s="14">
        <v>2024.0</v>
      </c>
      <c r="AJ224" s="14">
        <v>2024.0</v>
      </c>
      <c r="AK224" s="44" t="s">
        <v>70</v>
      </c>
    </row>
    <row r="225" ht="15.75" customHeight="1">
      <c r="A225" s="41">
        <f t="shared" si="1"/>
        <v>223</v>
      </c>
      <c r="B225" s="42" t="s">
        <v>1792</v>
      </c>
      <c r="C225" s="42" t="s">
        <v>1793</v>
      </c>
      <c r="D225" s="11" t="str">
        <f>IFERROR(__xludf.DUMMYFUNCTION("REGEXEXTRACT(C225,""[A-Z]{2,}"")"),"FMDS")</f>
        <v>FMDS</v>
      </c>
      <c r="E225" s="43" t="s">
        <v>48</v>
      </c>
      <c r="F225" s="43" t="s">
        <v>73</v>
      </c>
      <c r="G225" s="43" t="s">
        <v>50</v>
      </c>
      <c r="H225" s="43">
        <v>1.23</v>
      </c>
      <c r="I225" s="43">
        <v>18.0</v>
      </c>
      <c r="J225" s="14" t="s">
        <v>1794</v>
      </c>
      <c r="K225" s="14" t="s">
        <v>1795</v>
      </c>
      <c r="L225" s="42" t="s">
        <v>1792</v>
      </c>
      <c r="M225" s="43" t="s">
        <v>48</v>
      </c>
      <c r="N225" s="14" t="s">
        <v>1796</v>
      </c>
      <c r="O225" s="42" t="s">
        <v>1792</v>
      </c>
      <c r="P225" s="14">
        <v>2020.0</v>
      </c>
      <c r="Q225" s="14" t="s">
        <v>418</v>
      </c>
      <c r="R225" s="14" t="s">
        <v>419</v>
      </c>
      <c r="S225" s="44" t="s">
        <v>57</v>
      </c>
      <c r="T225" s="16" t="s">
        <v>250</v>
      </c>
      <c r="U225" s="16" t="s">
        <v>59</v>
      </c>
      <c r="V225" s="45">
        <v>9.0</v>
      </c>
      <c r="Z225" s="46" t="s">
        <v>431</v>
      </c>
      <c r="AA225" s="47" t="s">
        <v>421</v>
      </c>
      <c r="AB225" s="16" t="s">
        <v>432</v>
      </c>
      <c r="AC225" s="47" t="s">
        <v>433</v>
      </c>
      <c r="AD225" s="47" t="s">
        <v>434</v>
      </c>
      <c r="AF225" s="47" t="s">
        <v>598</v>
      </c>
      <c r="AG225" s="47" t="s">
        <v>630</v>
      </c>
      <c r="AH225" s="14" t="s">
        <v>1797</v>
      </c>
      <c r="AI225" s="14">
        <v>2020.0</v>
      </c>
      <c r="AJ225" s="14">
        <v>2020.0</v>
      </c>
      <c r="AK225" s="44" t="s">
        <v>70</v>
      </c>
    </row>
    <row r="226" ht="15.75" customHeight="1">
      <c r="A226" s="9"/>
      <c r="B226" s="40"/>
      <c r="C226" s="11"/>
      <c r="D226" s="11"/>
      <c r="E226" s="11"/>
      <c r="F226" s="11"/>
      <c r="G226" s="11"/>
      <c r="H226" s="11"/>
      <c r="I226" s="11"/>
      <c r="S226" s="44"/>
    </row>
    <row r="227" ht="15.75" customHeight="1">
      <c r="A227" s="9"/>
      <c r="B227" s="40"/>
      <c r="C227" s="11"/>
      <c r="D227" s="11"/>
      <c r="E227" s="11"/>
      <c r="F227" s="11"/>
      <c r="G227" s="11"/>
      <c r="I227" s="11"/>
      <c r="S227" s="44"/>
    </row>
    <row r="228" ht="15.75" customHeight="1">
      <c r="A228" s="9"/>
      <c r="B228" s="40"/>
      <c r="C228" s="11"/>
      <c r="D228" s="11"/>
      <c r="E228" s="11"/>
      <c r="F228" s="11"/>
      <c r="G228" s="11"/>
      <c r="H228" s="11"/>
      <c r="I228" s="11"/>
      <c r="S228" s="44"/>
    </row>
    <row r="229" ht="15.75" customHeight="1">
      <c r="A229" s="9"/>
      <c r="B229" s="40"/>
      <c r="C229" s="11"/>
      <c r="D229" s="11"/>
      <c r="E229" s="11"/>
      <c r="F229" s="11"/>
      <c r="G229" s="11"/>
      <c r="H229" s="11"/>
      <c r="I229" s="11"/>
      <c r="S229" s="44"/>
    </row>
    <row r="230" ht="15.75" customHeight="1">
      <c r="A230" s="9"/>
      <c r="B230" s="40"/>
      <c r="C230" s="11"/>
      <c r="D230" s="11"/>
      <c r="E230" s="11"/>
      <c r="F230" s="11"/>
      <c r="G230" s="11"/>
      <c r="H230" s="11"/>
      <c r="I230" s="11"/>
      <c r="S230" s="44"/>
    </row>
    <row r="231" ht="15.75" customHeight="1">
      <c r="A231" s="9"/>
      <c r="B231" s="40"/>
      <c r="C231" s="11"/>
      <c r="D231" s="11"/>
      <c r="E231" s="11"/>
      <c r="F231" s="11"/>
      <c r="G231" s="11"/>
      <c r="H231" s="11"/>
      <c r="I231" s="11"/>
      <c r="S231" s="44"/>
    </row>
    <row r="232" ht="15.75" customHeight="1">
      <c r="A232" s="9"/>
      <c r="B232" s="40"/>
      <c r="C232" s="11"/>
      <c r="D232" s="11"/>
      <c r="E232" s="11"/>
      <c r="F232" s="11"/>
      <c r="G232" s="11"/>
      <c r="H232" s="11"/>
      <c r="I232" s="11"/>
      <c r="S232" s="44"/>
    </row>
    <row r="233" ht="15.75" customHeight="1">
      <c r="A233" s="9"/>
      <c r="B233" s="40"/>
      <c r="C233" s="11"/>
      <c r="D233" s="11"/>
      <c r="E233" s="11"/>
      <c r="F233" s="11"/>
      <c r="G233" s="11"/>
      <c r="H233" s="11"/>
      <c r="I233" s="11"/>
      <c r="S233" s="44"/>
    </row>
    <row r="234" ht="15.75" customHeight="1">
      <c r="A234" s="9"/>
      <c r="B234" s="40"/>
      <c r="C234" s="11"/>
      <c r="D234" s="11"/>
      <c r="E234" s="11"/>
      <c r="F234" s="11"/>
      <c r="G234" s="11"/>
      <c r="H234" s="11"/>
      <c r="I234" s="11"/>
      <c r="S234" s="44"/>
    </row>
    <row r="235" ht="15.75" customHeight="1">
      <c r="A235" s="9"/>
      <c r="B235" s="40"/>
      <c r="C235" s="11"/>
      <c r="D235" s="11"/>
      <c r="E235" s="11"/>
      <c r="F235" s="11"/>
      <c r="G235" s="11"/>
      <c r="H235" s="11"/>
      <c r="I235" s="11"/>
      <c r="S235" s="44"/>
    </row>
    <row r="236" ht="15.75" customHeight="1">
      <c r="A236" s="9"/>
      <c r="B236" s="40"/>
      <c r="C236" s="11"/>
      <c r="D236" s="11"/>
      <c r="E236" s="11"/>
      <c r="F236" s="11"/>
      <c r="G236" s="11"/>
      <c r="H236" s="11"/>
      <c r="I236" s="11"/>
      <c r="S236" s="44"/>
    </row>
    <row r="237" ht="15.75" customHeight="1">
      <c r="A237" s="9"/>
      <c r="B237" s="40"/>
      <c r="C237" s="11"/>
      <c r="D237" s="11"/>
      <c r="E237" s="11"/>
      <c r="F237" s="11"/>
      <c r="G237" s="11"/>
      <c r="H237" s="11"/>
      <c r="I237" s="11"/>
      <c r="S237" s="44"/>
    </row>
    <row r="238" ht="15.75" customHeight="1">
      <c r="A238" s="9"/>
      <c r="B238" s="40"/>
      <c r="C238" s="11"/>
      <c r="D238" s="11"/>
      <c r="E238" s="11"/>
      <c r="F238" s="11"/>
      <c r="G238" s="11"/>
      <c r="H238" s="11"/>
      <c r="I238" s="11"/>
      <c r="S238" s="44"/>
    </row>
    <row r="239" ht="15.75" customHeight="1">
      <c r="A239" s="9"/>
      <c r="B239" s="40"/>
      <c r="C239" s="11"/>
      <c r="D239" s="11"/>
      <c r="E239" s="11"/>
      <c r="F239" s="11"/>
      <c r="G239" s="11"/>
      <c r="H239" s="11"/>
      <c r="I239" s="11"/>
      <c r="S239" s="44"/>
    </row>
    <row r="240" ht="15.75" customHeight="1">
      <c r="A240" s="9"/>
      <c r="B240" s="40"/>
      <c r="C240" s="11"/>
      <c r="D240" s="11"/>
      <c r="E240" s="11"/>
      <c r="F240" s="11"/>
      <c r="G240" s="11"/>
      <c r="H240" s="11"/>
      <c r="I240" s="11"/>
      <c r="S240" s="44"/>
    </row>
    <row r="241" ht="15.75" customHeight="1">
      <c r="A241" s="9"/>
      <c r="B241" s="40"/>
      <c r="C241" s="11"/>
      <c r="D241" s="11"/>
      <c r="E241" s="11"/>
      <c r="F241" s="11"/>
      <c r="G241" s="11"/>
      <c r="H241" s="11"/>
      <c r="I241" s="11"/>
      <c r="S241" s="44"/>
    </row>
    <row r="242" ht="15.75" customHeight="1">
      <c r="A242" s="9"/>
      <c r="B242" s="40"/>
      <c r="C242" s="11"/>
      <c r="D242" s="11"/>
      <c r="E242" s="11"/>
      <c r="F242" s="11"/>
      <c r="G242" s="11"/>
      <c r="H242" s="11"/>
      <c r="I242" s="11"/>
      <c r="S242" s="44"/>
    </row>
    <row r="243" ht="15.75" customHeight="1">
      <c r="A243" s="9"/>
      <c r="B243" s="40"/>
      <c r="C243" s="11"/>
      <c r="D243" s="11"/>
      <c r="E243" s="11"/>
      <c r="F243" s="11"/>
      <c r="G243" s="11"/>
      <c r="H243" s="11"/>
      <c r="I243" s="11"/>
      <c r="S243" s="44"/>
    </row>
    <row r="244" ht="15.75" customHeight="1">
      <c r="A244" s="9"/>
      <c r="B244" s="40"/>
      <c r="C244" s="11"/>
      <c r="D244" s="11"/>
      <c r="E244" s="11"/>
      <c r="F244" s="11"/>
      <c r="G244" s="11"/>
      <c r="H244" s="11"/>
      <c r="I244" s="11"/>
      <c r="S244" s="44"/>
    </row>
    <row r="245" ht="15.75" customHeight="1">
      <c r="A245" s="9"/>
      <c r="B245" s="40"/>
      <c r="C245" s="11"/>
      <c r="D245" s="11"/>
      <c r="E245" s="11"/>
      <c r="F245" s="11"/>
      <c r="G245" s="11"/>
      <c r="H245" s="11"/>
      <c r="I245" s="11"/>
      <c r="S245" s="44"/>
    </row>
    <row r="246" ht="15.75" customHeight="1">
      <c r="A246" s="9"/>
      <c r="B246" s="40"/>
      <c r="C246" s="11"/>
      <c r="D246" s="11"/>
      <c r="E246" s="11"/>
      <c r="F246" s="11"/>
      <c r="G246" s="11"/>
      <c r="H246" s="11"/>
      <c r="I246" s="11"/>
      <c r="S246" s="44"/>
    </row>
    <row r="247" ht="15.75" customHeight="1">
      <c r="A247" s="9"/>
      <c r="B247" s="40"/>
      <c r="C247" s="11"/>
      <c r="D247" s="11"/>
      <c r="E247" s="11"/>
      <c r="F247" s="11"/>
      <c r="G247" s="11"/>
      <c r="H247" s="11"/>
      <c r="I247" s="11"/>
      <c r="S247" s="44"/>
    </row>
    <row r="248" ht="15.75" customHeight="1">
      <c r="A248" s="9"/>
      <c r="B248" s="40"/>
      <c r="C248" s="11"/>
      <c r="D248" s="11"/>
      <c r="E248" s="11"/>
      <c r="F248" s="11"/>
      <c r="G248" s="11"/>
      <c r="H248" s="11"/>
      <c r="I248" s="11"/>
      <c r="S248" s="44"/>
    </row>
    <row r="249" ht="15.75" customHeight="1">
      <c r="A249" s="9"/>
      <c r="B249" s="40"/>
      <c r="C249" s="11"/>
      <c r="D249" s="11"/>
      <c r="E249" s="11"/>
      <c r="F249" s="11"/>
      <c r="G249" s="11"/>
      <c r="H249" s="11"/>
      <c r="I249" s="11"/>
      <c r="S249" s="44"/>
    </row>
    <row r="250" ht="15.75" customHeight="1">
      <c r="A250" s="9"/>
      <c r="B250" s="40"/>
      <c r="C250" s="11"/>
      <c r="D250" s="11"/>
      <c r="E250" s="11"/>
      <c r="F250" s="11"/>
      <c r="G250" s="11"/>
      <c r="H250" s="11"/>
      <c r="I250" s="11"/>
      <c r="S250" s="44"/>
    </row>
    <row r="251" ht="15.75" customHeight="1">
      <c r="A251" s="9"/>
      <c r="B251" s="40"/>
      <c r="C251" s="11"/>
      <c r="D251" s="11"/>
      <c r="E251" s="11"/>
      <c r="F251" s="11"/>
      <c r="G251" s="11"/>
      <c r="H251" s="11"/>
      <c r="I251" s="11"/>
      <c r="S251" s="44"/>
    </row>
    <row r="252" ht="15.75" customHeight="1">
      <c r="A252" s="9"/>
      <c r="B252" s="40"/>
      <c r="C252" s="11"/>
      <c r="D252" s="11"/>
      <c r="E252" s="11"/>
      <c r="F252" s="11"/>
      <c r="G252" s="11"/>
      <c r="H252" s="11"/>
      <c r="I252" s="11"/>
      <c r="S252" s="44"/>
    </row>
    <row r="253" ht="15.75" customHeight="1">
      <c r="A253" s="9"/>
      <c r="B253" s="40"/>
      <c r="C253" s="11"/>
      <c r="D253" s="11"/>
      <c r="E253" s="11"/>
      <c r="F253" s="11"/>
      <c r="G253" s="11"/>
      <c r="H253" s="11"/>
      <c r="I253" s="11"/>
      <c r="S253" s="44"/>
    </row>
    <row r="254" ht="15.75" customHeight="1">
      <c r="A254" s="9"/>
      <c r="B254" s="40"/>
      <c r="C254" s="11"/>
      <c r="D254" s="11"/>
      <c r="E254" s="11"/>
      <c r="F254" s="11"/>
      <c r="G254" s="11"/>
      <c r="H254" s="11"/>
      <c r="I254" s="11"/>
      <c r="S254" s="44"/>
    </row>
    <row r="255" ht="15.75" customHeight="1">
      <c r="A255" s="9"/>
      <c r="B255" s="40"/>
      <c r="C255" s="11"/>
      <c r="D255" s="11"/>
      <c r="E255" s="11"/>
      <c r="F255" s="11"/>
      <c r="G255" s="11"/>
      <c r="H255" s="11"/>
      <c r="I255" s="11"/>
      <c r="S255" s="44"/>
    </row>
    <row r="256" ht="15.75" customHeight="1">
      <c r="A256" s="9"/>
      <c r="B256" s="40"/>
      <c r="C256" s="11"/>
      <c r="D256" s="11"/>
      <c r="E256" s="11"/>
      <c r="F256" s="11"/>
      <c r="G256" s="11"/>
      <c r="H256" s="11"/>
      <c r="I256" s="11"/>
      <c r="S256" s="44"/>
    </row>
    <row r="257" ht="15.75" customHeight="1">
      <c r="A257" s="9"/>
      <c r="B257" s="40"/>
      <c r="C257" s="11"/>
      <c r="D257" s="11"/>
      <c r="E257" s="11"/>
      <c r="F257" s="11"/>
      <c r="G257" s="11"/>
      <c r="H257" s="11"/>
      <c r="I257" s="11"/>
      <c r="S257" s="44"/>
    </row>
    <row r="258" ht="15.75" customHeight="1">
      <c r="A258" s="9"/>
      <c r="B258" s="40"/>
      <c r="C258" s="11"/>
      <c r="D258" s="11"/>
      <c r="E258" s="11"/>
      <c r="F258" s="11"/>
      <c r="G258" s="11"/>
      <c r="H258" s="11"/>
      <c r="I258" s="11"/>
      <c r="S258" s="44"/>
    </row>
    <row r="259" ht="15.75" customHeight="1">
      <c r="A259" s="9"/>
      <c r="B259" s="40"/>
      <c r="C259" s="11"/>
      <c r="D259" s="11"/>
      <c r="E259" s="11"/>
      <c r="F259" s="11"/>
      <c r="G259" s="11"/>
      <c r="H259" s="11"/>
      <c r="I259" s="11"/>
      <c r="S259" s="44"/>
    </row>
    <row r="260" ht="15.75" customHeight="1">
      <c r="A260" s="9"/>
      <c r="B260" s="40"/>
      <c r="C260" s="11"/>
      <c r="D260" s="11"/>
      <c r="E260" s="11"/>
      <c r="F260" s="11"/>
      <c r="G260" s="11"/>
      <c r="H260" s="11"/>
      <c r="I260" s="11"/>
      <c r="S260" s="44"/>
    </row>
    <row r="261" ht="15.75" customHeight="1">
      <c r="A261" s="9"/>
      <c r="B261" s="40"/>
      <c r="C261" s="11"/>
      <c r="D261" s="11"/>
      <c r="E261" s="11"/>
      <c r="F261" s="11"/>
      <c r="G261" s="11"/>
      <c r="H261" s="11"/>
      <c r="I261" s="11"/>
      <c r="S261" s="44"/>
    </row>
    <row r="262" ht="15.75" customHeight="1">
      <c r="A262" s="9"/>
      <c r="B262" s="40"/>
      <c r="C262" s="11"/>
      <c r="D262" s="11"/>
      <c r="E262" s="11"/>
      <c r="F262" s="11"/>
      <c r="G262" s="11"/>
      <c r="H262" s="11"/>
      <c r="I262" s="11"/>
      <c r="S262" s="44"/>
    </row>
    <row r="263" ht="15.75" customHeight="1">
      <c r="A263" s="9"/>
      <c r="B263" s="40"/>
      <c r="C263" s="11"/>
      <c r="D263" s="11"/>
      <c r="E263" s="11"/>
      <c r="F263" s="11"/>
      <c r="G263" s="11"/>
      <c r="H263" s="11"/>
      <c r="I263" s="11"/>
      <c r="S263" s="44"/>
    </row>
    <row r="264" ht="15.75" customHeight="1">
      <c r="A264" s="9"/>
      <c r="B264" s="40"/>
      <c r="C264" s="11"/>
      <c r="D264" s="11"/>
      <c r="E264" s="11"/>
      <c r="F264" s="11"/>
      <c r="G264" s="11"/>
      <c r="H264" s="11"/>
      <c r="I264" s="11"/>
      <c r="S264" s="44"/>
    </row>
    <row r="265" ht="15.75" customHeight="1">
      <c r="A265" s="9"/>
      <c r="B265" s="40"/>
      <c r="C265" s="11"/>
      <c r="D265" s="11"/>
      <c r="E265" s="11"/>
      <c r="F265" s="11"/>
      <c r="G265" s="11"/>
      <c r="H265" s="11"/>
      <c r="I265" s="11"/>
      <c r="S265" s="44"/>
    </row>
    <row r="266" ht="15.75" customHeight="1">
      <c r="A266" s="9"/>
      <c r="B266" s="40"/>
      <c r="C266" s="11"/>
      <c r="D266" s="11"/>
      <c r="E266" s="11"/>
      <c r="F266" s="11"/>
      <c r="G266" s="11"/>
      <c r="H266" s="11"/>
      <c r="I266" s="11"/>
      <c r="S266" s="44"/>
    </row>
    <row r="267" ht="15.75" customHeight="1">
      <c r="A267" s="9"/>
      <c r="B267" s="40"/>
      <c r="C267" s="11"/>
      <c r="D267" s="11"/>
      <c r="E267" s="11"/>
      <c r="F267" s="11"/>
      <c r="G267" s="11"/>
      <c r="H267" s="11"/>
      <c r="I267" s="11"/>
      <c r="S267" s="44"/>
    </row>
    <row r="268" ht="15.75" customHeight="1">
      <c r="S268" s="44"/>
    </row>
    <row r="269" ht="15.75" customHeight="1">
      <c r="S269" s="44"/>
    </row>
    <row r="270" ht="15.75" customHeight="1">
      <c r="S270" s="44"/>
    </row>
    <row r="271" ht="15.75" customHeight="1">
      <c r="S271" s="44"/>
    </row>
    <row r="272" ht="15.75" customHeight="1">
      <c r="S272" s="44"/>
    </row>
    <row r="273" ht="15.75" customHeight="1">
      <c r="S273" s="44"/>
    </row>
    <row r="274" ht="15.75" customHeight="1">
      <c r="S274" s="44"/>
    </row>
    <row r="275" ht="15.75" customHeight="1">
      <c r="S275" s="44"/>
    </row>
    <row r="276" ht="15.75" customHeight="1">
      <c r="S276" s="44"/>
    </row>
    <row r="277" ht="15.75" customHeight="1">
      <c r="S277" s="44"/>
    </row>
    <row r="278" ht="15.75" customHeight="1">
      <c r="S278" s="44"/>
    </row>
    <row r="279" ht="15.75" customHeight="1">
      <c r="S279" s="44"/>
    </row>
    <row r="280" ht="15.75" customHeight="1">
      <c r="S280" s="44"/>
    </row>
    <row r="281" ht="15.75" customHeight="1">
      <c r="S281" s="44"/>
    </row>
    <row r="282" ht="15.75" customHeight="1">
      <c r="S282" s="44"/>
    </row>
    <row r="283" ht="15.75" customHeight="1">
      <c r="S283" s="44"/>
    </row>
    <row r="284" ht="15.75" customHeight="1">
      <c r="S284" s="44"/>
    </row>
    <row r="285" ht="15.75" customHeight="1">
      <c r="S285" s="44"/>
    </row>
    <row r="286" ht="15.75" customHeight="1">
      <c r="S286" s="44"/>
    </row>
    <row r="287" ht="15.75" customHeight="1">
      <c r="S287" s="44"/>
    </row>
    <row r="288" ht="15.75" customHeight="1">
      <c r="S288" s="44"/>
    </row>
    <row r="289" ht="15.75" customHeight="1">
      <c r="S289" s="44"/>
    </row>
    <row r="290" ht="15.75" customHeight="1">
      <c r="S290" s="44"/>
    </row>
    <row r="291" ht="15.75" customHeight="1">
      <c r="S291" s="44"/>
    </row>
    <row r="292" ht="15.75" customHeight="1">
      <c r="S292" s="44"/>
    </row>
    <row r="293" ht="15.75" customHeight="1">
      <c r="S293" s="44"/>
    </row>
    <row r="294" ht="15.75" customHeight="1">
      <c r="S294" s="44"/>
    </row>
    <row r="295" ht="15.75" customHeight="1">
      <c r="S295" s="44"/>
    </row>
    <row r="296" ht="15.75" customHeight="1">
      <c r="S296" s="44"/>
    </row>
    <row r="297" ht="15.75" customHeight="1">
      <c r="S297" s="44"/>
    </row>
    <row r="298" ht="15.75" customHeight="1">
      <c r="S298" s="44"/>
    </row>
    <row r="299" ht="15.75" customHeight="1">
      <c r="S299" s="44"/>
    </row>
    <row r="300" ht="15.75" customHeight="1">
      <c r="S300" s="44"/>
    </row>
    <row r="301" ht="15.75" customHeight="1">
      <c r="S301" s="44"/>
    </row>
    <row r="302" ht="15.75" customHeight="1">
      <c r="S302" s="44"/>
    </row>
    <row r="303" ht="15.75" customHeight="1">
      <c r="S303" s="44"/>
    </row>
    <row r="304" ht="15.75" customHeight="1">
      <c r="S304" s="44"/>
    </row>
    <row r="305" ht="15.75" customHeight="1">
      <c r="S305" s="44"/>
    </row>
    <row r="306" ht="15.75" customHeight="1">
      <c r="S306" s="44"/>
    </row>
    <row r="307" ht="15.75" customHeight="1">
      <c r="S307" s="44"/>
    </row>
    <row r="308" ht="15.75" customHeight="1">
      <c r="S308" s="44"/>
    </row>
    <row r="309" ht="15.75" customHeight="1">
      <c r="S309" s="44"/>
    </row>
    <row r="310" ht="15.75" customHeight="1">
      <c r="S310" s="44"/>
    </row>
    <row r="311" ht="15.75" customHeight="1">
      <c r="S311" s="44"/>
    </row>
    <row r="312" ht="15.75" customHeight="1">
      <c r="S312" s="44"/>
    </row>
    <row r="313" ht="15.75" customHeight="1">
      <c r="S313" s="44"/>
    </row>
    <row r="314" ht="15.75" customHeight="1">
      <c r="S314" s="44"/>
    </row>
    <row r="315" ht="15.75" customHeight="1">
      <c r="S315" s="44"/>
    </row>
    <row r="316" ht="15.75" customHeight="1">
      <c r="S316" s="44"/>
    </row>
    <row r="317" ht="15.75" customHeight="1">
      <c r="S317" s="44"/>
    </row>
    <row r="318" ht="15.75" customHeight="1">
      <c r="S318" s="44"/>
    </row>
    <row r="319" ht="15.75" customHeight="1">
      <c r="S319" s="44"/>
    </row>
    <row r="320" ht="15.75" customHeight="1">
      <c r="S320" s="44"/>
    </row>
    <row r="321" ht="15.75" customHeight="1">
      <c r="S321" s="44"/>
    </row>
    <row r="322" ht="15.75" customHeight="1">
      <c r="S322" s="44"/>
    </row>
    <row r="323" ht="15.75" customHeight="1">
      <c r="S323" s="44"/>
    </row>
    <row r="324" ht="15.75" customHeight="1">
      <c r="S324" s="44"/>
    </row>
    <row r="325" ht="15.75" customHeight="1">
      <c r="S325" s="44"/>
    </row>
    <row r="326" ht="15.75" customHeight="1">
      <c r="S326" s="44"/>
    </row>
    <row r="327" ht="15.75" customHeight="1">
      <c r="S327" s="44"/>
    </row>
    <row r="328" ht="15.75" customHeight="1">
      <c r="S328" s="44"/>
    </row>
    <row r="329" ht="15.75" customHeight="1">
      <c r="S329" s="44"/>
    </row>
    <row r="330" ht="15.75" customHeight="1">
      <c r="S330" s="44"/>
    </row>
    <row r="331" ht="15.75" customHeight="1">
      <c r="S331" s="44"/>
    </row>
    <row r="332" ht="15.75" customHeight="1">
      <c r="S332" s="44"/>
    </row>
    <row r="333" ht="15.75" customHeight="1">
      <c r="S333" s="44"/>
    </row>
    <row r="334" ht="15.75" customHeight="1">
      <c r="S334" s="44"/>
    </row>
    <row r="335" ht="15.75" customHeight="1">
      <c r="S335" s="44"/>
    </row>
    <row r="336" ht="15.75" customHeight="1">
      <c r="S336" s="44"/>
    </row>
    <row r="337" ht="15.75" customHeight="1">
      <c r="S337" s="44"/>
    </row>
    <row r="338" ht="15.75" customHeight="1">
      <c r="S338" s="44"/>
    </row>
    <row r="339" ht="15.75" customHeight="1">
      <c r="S339" s="44"/>
    </row>
    <row r="340" ht="15.75" customHeight="1">
      <c r="S340" s="44"/>
    </row>
    <row r="341" ht="15.75" customHeight="1">
      <c r="S341" s="44"/>
    </row>
    <row r="342" ht="15.75" customHeight="1">
      <c r="S342" s="44"/>
    </row>
    <row r="343" ht="15.75" customHeight="1">
      <c r="S343" s="44"/>
    </row>
    <row r="344" ht="15.75" customHeight="1">
      <c r="S344" s="44"/>
    </row>
    <row r="345" ht="15.75" customHeight="1">
      <c r="S345" s="44"/>
    </row>
    <row r="346" ht="15.75" customHeight="1">
      <c r="S346" s="44"/>
    </row>
    <row r="347" ht="15.75" customHeight="1">
      <c r="S347" s="44"/>
    </row>
    <row r="348" ht="15.75" customHeight="1">
      <c r="S348" s="44"/>
    </row>
    <row r="349" ht="15.75" customHeight="1">
      <c r="S349" s="44"/>
    </row>
    <row r="350" ht="15.75" customHeight="1">
      <c r="S350" s="44"/>
    </row>
    <row r="351" ht="15.75" customHeight="1">
      <c r="S351" s="44"/>
    </row>
    <row r="352" ht="15.75" customHeight="1">
      <c r="S352" s="44"/>
    </row>
    <row r="353" ht="15.75" customHeight="1">
      <c r="S353" s="44"/>
    </row>
    <row r="354" ht="15.75" customHeight="1">
      <c r="S354" s="44"/>
    </row>
    <row r="355" ht="15.75" customHeight="1">
      <c r="S355" s="44"/>
    </row>
    <row r="356" ht="15.75" customHeight="1">
      <c r="S356" s="44"/>
    </row>
    <row r="357" ht="15.75" customHeight="1">
      <c r="S357" s="44"/>
    </row>
    <row r="358" ht="15.75" customHeight="1">
      <c r="S358" s="44"/>
    </row>
    <row r="359" ht="15.75" customHeight="1">
      <c r="S359" s="44"/>
    </row>
    <row r="360" ht="15.75" customHeight="1">
      <c r="S360" s="44"/>
    </row>
    <row r="361" ht="15.75" customHeight="1">
      <c r="S361" s="44"/>
    </row>
    <row r="362" ht="15.75" customHeight="1">
      <c r="S362" s="44"/>
    </row>
    <row r="363" ht="15.75" customHeight="1">
      <c r="S363" s="44"/>
    </row>
    <row r="364" ht="15.75" customHeight="1">
      <c r="S364" s="44"/>
    </row>
    <row r="365" ht="15.75" customHeight="1">
      <c r="S365" s="44"/>
    </row>
    <row r="366" ht="15.75" customHeight="1">
      <c r="S366" s="44"/>
    </row>
    <row r="367" ht="15.75" customHeight="1">
      <c r="S367" s="44"/>
    </row>
    <row r="368" ht="15.75" customHeight="1">
      <c r="S368" s="44"/>
    </row>
    <row r="369" ht="15.75" customHeight="1">
      <c r="S369" s="44"/>
    </row>
    <row r="370" ht="15.75" customHeight="1">
      <c r="S370" s="44"/>
    </row>
    <row r="371" ht="15.75" customHeight="1">
      <c r="S371" s="44"/>
    </row>
    <row r="372" ht="15.75" customHeight="1">
      <c r="S372" s="44"/>
    </row>
    <row r="373" ht="15.75" customHeight="1">
      <c r="S373" s="44"/>
    </row>
    <row r="374" ht="15.75" customHeight="1">
      <c r="S374" s="44"/>
    </row>
    <row r="375" ht="15.75" customHeight="1">
      <c r="S375" s="44"/>
    </row>
    <row r="376" ht="15.75" customHeight="1">
      <c r="S376" s="44"/>
    </row>
    <row r="377" ht="15.75" customHeight="1">
      <c r="S377" s="44"/>
    </row>
    <row r="378" ht="15.75" customHeight="1">
      <c r="S378" s="44"/>
    </row>
    <row r="379" ht="15.75" customHeight="1">
      <c r="S379" s="44"/>
    </row>
    <row r="380" ht="15.75" customHeight="1">
      <c r="S380" s="44"/>
    </row>
    <row r="381" ht="15.75" customHeight="1">
      <c r="S381" s="44"/>
    </row>
    <row r="382" ht="15.75" customHeight="1">
      <c r="S382" s="44"/>
    </row>
    <row r="383" ht="15.75" customHeight="1">
      <c r="S383" s="44"/>
    </row>
    <row r="384" ht="15.75" customHeight="1">
      <c r="S384" s="44"/>
    </row>
    <row r="385" ht="15.75" customHeight="1">
      <c r="S385" s="44"/>
    </row>
    <row r="386" ht="15.75" customHeight="1">
      <c r="S386" s="44"/>
    </row>
    <row r="387" ht="15.75" customHeight="1">
      <c r="S387" s="44"/>
    </row>
    <row r="388" ht="15.75" customHeight="1">
      <c r="S388" s="44"/>
    </row>
    <row r="389" ht="15.75" customHeight="1">
      <c r="S389" s="44"/>
    </row>
    <row r="390" ht="15.75" customHeight="1">
      <c r="S390" s="44"/>
    </row>
    <row r="391" ht="15.75" customHeight="1">
      <c r="S391" s="44"/>
    </row>
    <row r="392" ht="15.75" customHeight="1">
      <c r="S392" s="44"/>
    </row>
    <row r="393" ht="15.75" customHeight="1">
      <c r="S393" s="44"/>
    </row>
    <row r="394" ht="15.75" customHeight="1">
      <c r="S394" s="44"/>
    </row>
    <row r="395" ht="15.75" customHeight="1">
      <c r="S395" s="44"/>
    </row>
    <row r="396" ht="15.75" customHeight="1">
      <c r="S396" s="44"/>
    </row>
    <row r="397" ht="15.75" customHeight="1">
      <c r="S397" s="44"/>
    </row>
    <row r="398" ht="15.75" customHeight="1">
      <c r="S398" s="44"/>
    </row>
    <row r="399" ht="15.75" customHeight="1">
      <c r="S399" s="44"/>
    </row>
    <row r="400" ht="15.75" customHeight="1">
      <c r="S400" s="44"/>
    </row>
    <row r="401" ht="15.75" customHeight="1">
      <c r="S401" s="44"/>
    </row>
    <row r="402" ht="15.75" customHeight="1">
      <c r="S402" s="44"/>
    </row>
    <row r="403" ht="15.75" customHeight="1">
      <c r="S403" s="44"/>
    </row>
    <row r="404" ht="15.75" customHeight="1">
      <c r="S404" s="44"/>
    </row>
    <row r="405" ht="15.75" customHeight="1">
      <c r="S405" s="44"/>
    </row>
    <row r="406" ht="15.75" customHeight="1">
      <c r="S406" s="44"/>
    </row>
    <row r="407" ht="15.75" customHeight="1">
      <c r="S407" s="44"/>
    </row>
    <row r="408" ht="15.75" customHeight="1">
      <c r="S408" s="44"/>
    </row>
    <row r="409" ht="15.75" customHeight="1">
      <c r="S409" s="44"/>
    </row>
    <row r="410" ht="15.75" customHeight="1">
      <c r="S410" s="44"/>
    </row>
    <row r="411" ht="15.75" customHeight="1">
      <c r="S411" s="44"/>
    </row>
    <row r="412" ht="15.75" customHeight="1">
      <c r="S412" s="44"/>
    </row>
    <row r="413" ht="15.75" customHeight="1">
      <c r="S413" s="44"/>
    </row>
    <row r="414" ht="15.75" customHeight="1">
      <c r="S414" s="44"/>
    </row>
    <row r="415" ht="15.75" customHeight="1">
      <c r="S415" s="44"/>
    </row>
    <row r="416" ht="15.75" customHeight="1">
      <c r="S416" s="44"/>
    </row>
    <row r="417" ht="15.75" customHeight="1">
      <c r="S417" s="44"/>
    </row>
    <row r="418" ht="15.75" customHeight="1">
      <c r="S418" s="44"/>
    </row>
    <row r="419" ht="15.75" customHeight="1">
      <c r="S419" s="44"/>
    </row>
    <row r="420" ht="15.75" customHeight="1">
      <c r="S420" s="44"/>
    </row>
    <row r="421" ht="15.75" customHeight="1">
      <c r="S421" s="44"/>
    </row>
    <row r="422" ht="15.75" customHeight="1">
      <c r="S422" s="44"/>
    </row>
    <row r="423" ht="15.75" customHeight="1">
      <c r="S423" s="44"/>
    </row>
    <row r="424" ht="15.75" customHeight="1">
      <c r="S424" s="44"/>
    </row>
    <row r="425" ht="15.75" customHeight="1">
      <c r="S425" s="44"/>
    </row>
    <row r="426" ht="15.75" customHeight="1">
      <c r="S426" s="44"/>
    </row>
    <row r="427" ht="15.75" customHeight="1">
      <c r="S427" s="44"/>
    </row>
    <row r="428" ht="15.75" customHeight="1">
      <c r="S428" s="44"/>
    </row>
    <row r="429" ht="15.75" customHeight="1">
      <c r="S429" s="44"/>
    </row>
    <row r="430" ht="15.75" customHeight="1">
      <c r="S430" s="44"/>
    </row>
    <row r="431" ht="15.75" customHeight="1">
      <c r="S431" s="44"/>
    </row>
    <row r="432" ht="15.75" customHeight="1">
      <c r="S432" s="44"/>
    </row>
    <row r="433" ht="15.75" customHeight="1">
      <c r="S433" s="44"/>
    </row>
    <row r="434" ht="15.75" customHeight="1">
      <c r="S434" s="44"/>
    </row>
    <row r="435" ht="15.75" customHeight="1">
      <c r="S435" s="44"/>
    </row>
    <row r="436" ht="15.75" customHeight="1">
      <c r="S436" s="44"/>
    </row>
    <row r="437" ht="15.75" customHeight="1">
      <c r="S437" s="44"/>
    </row>
    <row r="438" ht="15.75" customHeight="1">
      <c r="S438" s="44"/>
    </row>
    <row r="439" ht="15.75" customHeight="1">
      <c r="S439" s="44"/>
    </row>
    <row r="440" ht="15.75" customHeight="1">
      <c r="S440" s="44"/>
    </row>
    <row r="441" ht="15.75" customHeight="1">
      <c r="S441" s="44"/>
    </row>
    <row r="442" ht="15.75" customHeight="1">
      <c r="S442" s="44"/>
    </row>
    <row r="443" ht="15.75" customHeight="1">
      <c r="S443" s="44"/>
    </row>
    <row r="444" ht="15.75" customHeight="1">
      <c r="S444" s="44"/>
    </row>
    <row r="445" ht="15.75" customHeight="1">
      <c r="S445" s="44"/>
    </row>
    <row r="446" ht="15.75" customHeight="1">
      <c r="S446" s="44"/>
    </row>
    <row r="447" ht="15.75" customHeight="1">
      <c r="S447" s="44"/>
    </row>
    <row r="448" ht="15.75" customHeight="1">
      <c r="S448" s="44"/>
    </row>
    <row r="449" ht="15.75" customHeight="1">
      <c r="S449" s="44"/>
    </row>
    <row r="450" ht="15.75" customHeight="1">
      <c r="S450" s="44"/>
    </row>
    <row r="451" ht="15.75" customHeight="1">
      <c r="S451" s="44"/>
    </row>
    <row r="452" ht="15.75" customHeight="1">
      <c r="S452" s="44"/>
    </row>
    <row r="453" ht="15.75" customHeight="1">
      <c r="S453" s="44"/>
    </row>
    <row r="454" ht="15.75" customHeight="1">
      <c r="S454" s="44"/>
    </row>
    <row r="455" ht="15.75" customHeight="1">
      <c r="S455" s="44"/>
    </row>
    <row r="456" ht="15.75" customHeight="1">
      <c r="S456" s="44"/>
    </row>
    <row r="457" ht="15.75" customHeight="1">
      <c r="S457" s="44"/>
    </row>
    <row r="458" ht="15.75" customHeight="1">
      <c r="S458" s="44"/>
    </row>
    <row r="459" ht="15.75" customHeight="1">
      <c r="S459" s="44"/>
    </row>
    <row r="460" ht="15.75" customHeight="1">
      <c r="S460" s="44"/>
    </row>
    <row r="461" ht="15.75" customHeight="1">
      <c r="S461" s="44"/>
    </row>
    <row r="462" ht="15.75" customHeight="1">
      <c r="S462" s="44"/>
    </row>
    <row r="463" ht="15.75" customHeight="1">
      <c r="S463" s="44"/>
    </row>
    <row r="464" ht="15.75" customHeight="1">
      <c r="S464" s="44"/>
    </row>
    <row r="465" ht="15.75" customHeight="1">
      <c r="S465" s="44"/>
    </row>
    <row r="466" ht="15.75" customHeight="1">
      <c r="S466" s="44"/>
    </row>
    <row r="467" ht="15.75" customHeight="1">
      <c r="S467" s="44"/>
    </row>
    <row r="468" ht="15.75" customHeight="1">
      <c r="S468" s="44"/>
    </row>
    <row r="469" ht="15.75" customHeight="1">
      <c r="S469" s="44"/>
    </row>
    <row r="470" ht="15.75" customHeight="1">
      <c r="S470" s="44"/>
    </row>
    <row r="471" ht="15.75" customHeight="1">
      <c r="S471" s="44"/>
    </row>
    <row r="472" ht="15.75" customHeight="1">
      <c r="S472" s="44"/>
    </row>
    <row r="473" ht="15.75" customHeight="1">
      <c r="S473" s="44"/>
    </row>
    <row r="474" ht="15.75" customHeight="1">
      <c r="S474" s="44"/>
    </row>
    <row r="475" ht="15.75" customHeight="1">
      <c r="S475" s="44"/>
    </row>
    <row r="476" ht="15.75" customHeight="1">
      <c r="S476" s="44"/>
    </row>
    <row r="477" ht="15.75" customHeight="1">
      <c r="S477" s="44"/>
    </row>
    <row r="478" ht="15.75" customHeight="1">
      <c r="S478" s="44"/>
    </row>
    <row r="479" ht="15.75" customHeight="1">
      <c r="S479" s="44"/>
    </row>
    <row r="480" ht="15.75" customHeight="1">
      <c r="S480" s="44"/>
    </row>
    <row r="481" ht="15.75" customHeight="1">
      <c r="S481" s="44"/>
    </row>
    <row r="482" ht="15.75" customHeight="1">
      <c r="S482" s="44"/>
    </row>
    <row r="483" ht="15.75" customHeight="1">
      <c r="S483" s="44"/>
    </row>
    <row r="484" ht="15.75" customHeight="1">
      <c r="S484" s="44"/>
    </row>
    <row r="485" ht="15.75" customHeight="1">
      <c r="S485" s="44"/>
    </row>
    <row r="486" ht="15.75" customHeight="1">
      <c r="S486" s="44"/>
    </row>
    <row r="487" ht="15.75" customHeight="1">
      <c r="S487" s="44"/>
    </row>
    <row r="488" ht="15.75" customHeight="1">
      <c r="S488" s="44"/>
    </row>
    <row r="489" ht="15.75" customHeight="1">
      <c r="S489" s="44"/>
    </row>
    <row r="490" ht="15.75" customHeight="1">
      <c r="S490" s="44"/>
    </row>
    <row r="491" ht="15.75" customHeight="1">
      <c r="S491" s="44"/>
    </row>
    <row r="492" ht="15.75" customHeight="1">
      <c r="S492" s="44"/>
    </row>
    <row r="493" ht="15.75" customHeight="1">
      <c r="S493" s="44"/>
    </row>
    <row r="494" ht="15.75" customHeight="1">
      <c r="S494" s="44"/>
    </row>
    <row r="495" ht="15.75" customHeight="1">
      <c r="S495" s="44"/>
    </row>
    <row r="496" ht="15.75" customHeight="1">
      <c r="S496" s="44"/>
    </row>
    <row r="497" ht="15.75" customHeight="1">
      <c r="S497" s="44"/>
    </row>
    <row r="498" ht="15.75" customHeight="1">
      <c r="S498" s="44"/>
    </row>
    <row r="499" ht="15.75" customHeight="1">
      <c r="S499" s="44"/>
    </row>
    <row r="500" ht="15.75" customHeight="1">
      <c r="S500" s="44"/>
    </row>
    <row r="501" ht="15.75" customHeight="1">
      <c r="S501" s="44"/>
    </row>
    <row r="502" ht="15.75" customHeight="1">
      <c r="S502" s="44"/>
    </row>
    <row r="503" ht="15.75" customHeight="1">
      <c r="S503" s="44"/>
    </row>
    <row r="504" ht="15.75" customHeight="1">
      <c r="S504" s="44"/>
    </row>
    <row r="505" ht="15.75" customHeight="1">
      <c r="S505" s="44"/>
    </row>
    <row r="506" ht="15.75" customHeight="1">
      <c r="S506" s="44"/>
    </row>
    <row r="507" ht="15.75" customHeight="1">
      <c r="S507" s="44"/>
    </row>
    <row r="508" ht="15.75" customHeight="1">
      <c r="S508" s="44"/>
    </row>
    <row r="509" ht="15.75" customHeight="1">
      <c r="S509" s="44"/>
    </row>
    <row r="510" ht="15.75" customHeight="1">
      <c r="S510" s="44"/>
    </row>
    <row r="511" ht="15.75" customHeight="1">
      <c r="S511" s="44"/>
    </row>
    <row r="512" ht="15.75" customHeight="1">
      <c r="S512" s="44"/>
    </row>
    <row r="513" ht="15.75" customHeight="1">
      <c r="S513" s="44"/>
    </row>
    <row r="514" ht="15.75" customHeight="1">
      <c r="S514" s="44"/>
    </row>
    <row r="515" ht="15.75" customHeight="1">
      <c r="S515" s="44"/>
    </row>
    <row r="516" ht="15.75" customHeight="1">
      <c r="S516" s="44"/>
    </row>
    <row r="517" ht="15.75" customHeight="1">
      <c r="S517" s="44"/>
    </row>
    <row r="518" ht="15.75" customHeight="1">
      <c r="S518" s="44"/>
    </row>
    <row r="519" ht="15.75" customHeight="1">
      <c r="S519" s="44"/>
    </row>
    <row r="520" ht="15.75" customHeight="1">
      <c r="S520" s="44"/>
    </row>
    <row r="521" ht="15.75" customHeight="1">
      <c r="S521" s="44"/>
    </row>
    <row r="522" ht="15.75" customHeight="1">
      <c r="S522" s="44"/>
    </row>
    <row r="523" ht="15.75" customHeight="1">
      <c r="S523" s="44"/>
    </row>
    <row r="524" ht="15.75" customHeight="1">
      <c r="S524" s="44"/>
    </row>
    <row r="525" ht="15.75" customHeight="1">
      <c r="S525" s="44"/>
    </row>
    <row r="526" ht="15.75" customHeight="1">
      <c r="S526" s="44"/>
    </row>
    <row r="527" ht="15.75" customHeight="1">
      <c r="S527" s="44"/>
    </row>
    <row r="528" ht="15.75" customHeight="1">
      <c r="S528" s="44"/>
    </row>
    <row r="529" ht="15.75" customHeight="1">
      <c r="S529" s="44"/>
    </row>
    <row r="530" ht="15.75" customHeight="1">
      <c r="S530" s="44"/>
    </row>
    <row r="531" ht="15.75" customHeight="1">
      <c r="S531" s="44"/>
    </row>
    <row r="532" ht="15.75" customHeight="1">
      <c r="S532" s="44"/>
    </row>
    <row r="533" ht="15.75" customHeight="1">
      <c r="S533" s="44"/>
    </row>
    <row r="534" ht="15.75" customHeight="1">
      <c r="S534" s="44"/>
    </row>
    <row r="535" ht="15.75" customHeight="1">
      <c r="S535" s="44"/>
    </row>
    <row r="536" ht="15.75" customHeight="1">
      <c r="S536" s="44"/>
    </row>
    <row r="537" ht="15.75" customHeight="1">
      <c r="S537" s="44"/>
    </row>
    <row r="538" ht="15.75" customHeight="1">
      <c r="S538" s="44"/>
    </row>
    <row r="539" ht="15.75" customHeight="1">
      <c r="S539" s="44"/>
    </row>
    <row r="540" ht="15.75" customHeight="1">
      <c r="S540" s="44"/>
    </row>
    <row r="541" ht="15.75" customHeight="1">
      <c r="S541" s="44"/>
    </row>
    <row r="542" ht="15.75" customHeight="1">
      <c r="S542" s="44"/>
    </row>
    <row r="543" ht="15.75" customHeight="1">
      <c r="S543" s="44"/>
    </row>
    <row r="544" ht="15.75" customHeight="1">
      <c r="S544" s="44"/>
    </row>
    <row r="545" ht="15.75" customHeight="1">
      <c r="S545" s="44"/>
    </row>
    <row r="546" ht="15.75" customHeight="1">
      <c r="S546" s="44"/>
    </row>
    <row r="547" ht="15.75" customHeight="1">
      <c r="S547" s="44"/>
    </row>
    <row r="548" ht="15.75" customHeight="1">
      <c r="S548" s="44"/>
    </row>
    <row r="549" ht="15.75" customHeight="1">
      <c r="S549" s="44"/>
    </row>
    <row r="550" ht="15.75" customHeight="1">
      <c r="S550" s="44"/>
    </row>
    <row r="551" ht="15.75" customHeight="1">
      <c r="S551" s="44"/>
    </row>
    <row r="552" ht="15.75" customHeight="1">
      <c r="S552" s="44"/>
    </row>
    <row r="553" ht="15.75" customHeight="1">
      <c r="S553" s="44"/>
    </row>
    <row r="554" ht="15.75" customHeight="1">
      <c r="S554" s="44"/>
    </row>
    <row r="555" ht="15.75" customHeight="1">
      <c r="S555" s="44"/>
    </row>
    <row r="556" ht="15.75" customHeight="1">
      <c r="S556" s="44"/>
    </row>
    <row r="557" ht="15.75" customHeight="1">
      <c r="S557" s="44"/>
    </row>
    <row r="558" ht="15.75" customHeight="1">
      <c r="S558" s="44"/>
    </row>
    <row r="559" ht="15.75" customHeight="1">
      <c r="S559" s="44"/>
    </row>
    <row r="560" ht="15.75" customHeight="1">
      <c r="S560" s="44"/>
    </row>
    <row r="561" ht="15.75" customHeight="1">
      <c r="S561" s="44"/>
    </row>
    <row r="562" ht="15.75" customHeight="1">
      <c r="S562" s="44"/>
    </row>
    <row r="563" ht="15.75" customHeight="1">
      <c r="S563" s="44"/>
    </row>
    <row r="564" ht="15.75" customHeight="1">
      <c r="S564" s="44"/>
    </row>
    <row r="565" ht="15.75" customHeight="1">
      <c r="S565" s="44"/>
    </row>
    <row r="566" ht="15.75" customHeight="1">
      <c r="S566" s="44"/>
    </row>
    <row r="567" ht="15.75" customHeight="1">
      <c r="S567" s="44"/>
    </row>
    <row r="568" ht="15.75" customHeight="1">
      <c r="S568" s="44"/>
    </row>
    <row r="569" ht="15.75" customHeight="1">
      <c r="S569" s="44"/>
    </row>
    <row r="570" ht="15.75" customHeight="1">
      <c r="S570" s="44"/>
    </row>
    <row r="571" ht="15.75" customHeight="1">
      <c r="S571" s="44"/>
    </row>
    <row r="572" ht="15.75" customHeight="1">
      <c r="S572" s="44"/>
    </row>
    <row r="573" ht="15.75" customHeight="1">
      <c r="S573" s="44"/>
    </row>
    <row r="574" ht="15.75" customHeight="1">
      <c r="S574" s="44"/>
    </row>
    <row r="575" ht="15.75" customHeight="1">
      <c r="S575" s="44"/>
    </row>
    <row r="576" ht="15.75" customHeight="1">
      <c r="S576" s="44"/>
    </row>
    <row r="577" ht="15.75" customHeight="1">
      <c r="S577" s="44"/>
    </row>
    <row r="578" ht="15.75" customHeight="1">
      <c r="S578" s="44"/>
    </row>
    <row r="579" ht="15.75" customHeight="1">
      <c r="S579" s="44"/>
    </row>
    <row r="580" ht="15.75" customHeight="1">
      <c r="S580" s="44"/>
    </row>
    <row r="581" ht="15.75" customHeight="1">
      <c r="S581" s="44"/>
    </row>
    <row r="582" ht="15.75" customHeight="1">
      <c r="S582" s="44"/>
    </row>
    <row r="583" ht="15.75" customHeight="1">
      <c r="S583" s="44"/>
    </row>
    <row r="584" ht="15.75" customHeight="1">
      <c r="S584" s="44"/>
    </row>
    <row r="585" ht="15.75" customHeight="1">
      <c r="S585" s="44"/>
    </row>
    <row r="586" ht="15.75" customHeight="1">
      <c r="S586" s="44"/>
    </row>
    <row r="587" ht="15.75" customHeight="1">
      <c r="S587" s="44"/>
    </row>
    <row r="588" ht="15.75" customHeight="1">
      <c r="S588" s="44"/>
    </row>
    <row r="589" ht="15.75" customHeight="1">
      <c r="S589" s="44"/>
    </row>
    <row r="590" ht="15.75" customHeight="1">
      <c r="S590" s="44"/>
    </row>
    <row r="591" ht="15.75" customHeight="1">
      <c r="S591" s="44"/>
    </row>
    <row r="592" ht="15.75" customHeight="1">
      <c r="S592" s="44"/>
    </row>
    <row r="593" ht="15.75" customHeight="1">
      <c r="S593" s="44"/>
    </row>
    <row r="594" ht="15.75" customHeight="1">
      <c r="S594" s="44"/>
    </row>
    <row r="595" ht="15.75" customHeight="1">
      <c r="S595" s="44"/>
    </row>
    <row r="596" ht="15.75" customHeight="1">
      <c r="S596" s="44"/>
    </row>
    <row r="597" ht="15.75" customHeight="1">
      <c r="S597" s="44"/>
    </row>
    <row r="598" ht="15.75" customHeight="1">
      <c r="S598" s="44"/>
    </row>
    <row r="599" ht="15.75" customHeight="1">
      <c r="S599" s="44"/>
    </row>
    <row r="600" ht="15.75" customHeight="1">
      <c r="S600" s="44"/>
    </row>
    <row r="601" ht="15.75" customHeight="1">
      <c r="S601" s="44"/>
    </row>
    <row r="602" ht="15.75" customHeight="1">
      <c r="S602" s="44"/>
    </row>
    <row r="603" ht="15.75" customHeight="1">
      <c r="S603" s="44"/>
    </row>
    <row r="604" ht="15.75" customHeight="1">
      <c r="S604" s="44"/>
    </row>
    <row r="605" ht="15.75" customHeight="1">
      <c r="S605" s="44"/>
    </row>
    <row r="606" ht="15.75" customHeight="1">
      <c r="S606" s="44"/>
    </row>
    <row r="607" ht="15.75" customHeight="1">
      <c r="S607" s="44"/>
    </row>
    <row r="608" ht="15.75" customHeight="1">
      <c r="S608" s="44"/>
    </row>
    <row r="609" ht="15.75" customHeight="1">
      <c r="S609" s="44"/>
    </row>
    <row r="610" ht="15.75" customHeight="1">
      <c r="S610" s="44"/>
    </row>
    <row r="611" ht="15.75" customHeight="1">
      <c r="S611" s="44"/>
    </row>
    <row r="612" ht="15.75" customHeight="1">
      <c r="S612" s="44"/>
    </row>
    <row r="613" ht="15.75" customHeight="1">
      <c r="S613" s="44"/>
    </row>
    <row r="614" ht="15.75" customHeight="1">
      <c r="S614" s="44"/>
    </row>
    <row r="615" ht="15.75" customHeight="1">
      <c r="S615" s="44"/>
    </row>
    <row r="616" ht="15.75" customHeight="1">
      <c r="S616" s="44"/>
    </row>
    <row r="617" ht="15.75" customHeight="1">
      <c r="S617" s="44"/>
    </row>
    <row r="618" ht="15.75" customHeight="1">
      <c r="S618" s="44"/>
    </row>
    <row r="619" ht="15.75" customHeight="1">
      <c r="S619" s="44"/>
    </row>
    <row r="620" ht="15.75" customHeight="1">
      <c r="S620" s="44"/>
    </row>
    <row r="621" ht="15.75" customHeight="1">
      <c r="S621" s="44"/>
    </row>
    <row r="622" ht="15.75" customHeight="1">
      <c r="S622" s="44"/>
    </row>
    <row r="623" ht="15.75" customHeight="1">
      <c r="S623" s="44"/>
    </row>
    <row r="624" ht="15.75" customHeight="1">
      <c r="S624" s="44"/>
    </row>
    <row r="625" ht="15.75" customHeight="1">
      <c r="S625" s="44"/>
    </row>
    <row r="626" ht="15.75" customHeight="1">
      <c r="S626" s="44"/>
    </row>
    <row r="627" ht="15.75" customHeight="1">
      <c r="S627" s="44"/>
    </row>
    <row r="628" ht="15.75" customHeight="1">
      <c r="S628" s="44"/>
    </row>
    <row r="629" ht="15.75" customHeight="1">
      <c r="S629" s="44"/>
    </row>
    <row r="630" ht="15.75" customHeight="1">
      <c r="S630" s="44"/>
    </row>
    <row r="631" ht="15.75" customHeight="1">
      <c r="S631" s="44"/>
    </row>
    <row r="632" ht="15.75" customHeight="1">
      <c r="S632" s="44"/>
    </row>
    <row r="633" ht="15.75" customHeight="1">
      <c r="S633" s="44"/>
    </row>
    <row r="634" ht="15.75" customHeight="1">
      <c r="S634" s="44"/>
    </row>
    <row r="635" ht="15.75" customHeight="1">
      <c r="S635" s="44"/>
    </row>
    <row r="636" ht="15.75" customHeight="1">
      <c r="S636" s="44"/>
    </row>
    <row r="637" ht="15.75" customHeight="1">
      <c r="S637" s="44"/>
    </row>
    <row r="638" ht="15.75" customHeight="1">
      <c r="S638" s="44"/>
    </row>
    <row r="639" ht="15.75" customHeight="1">
      <c r="S639" s="44"/>
    </row>
    <row r="640" ht="15.75" customHeight="1">
      <c r="S640" s="44"/>
    </row>
    <row r="641" ht="15.75" customHeight="1">
      <c r="S641" s="44"/>
    </row>
    <row r="642" ht="15.75" customHeight="1">
      <c r="S642" s="44"/>
    </row>
    <row r="643" ht="15.75" customHeight="1">
      <c r="S643" s="44"/>
    </row>
    <row r="644" ht="15.75" customHeight="1">
      <c r="S644" s="44"/>
    </row>
    <row r="645" ht="15.75" customHeight="1">
      <c r="S645" s="44"/>
    </row>
    <row r="646" ht="15.75" customHeight="1">
      <c r="S646" s="44"/>
    </row>
    <row r="647" ht="15.75" customHeight="1">
      <c r="S647" s="44"/>
    </row>
    <row r="648" ht="15.75" customHeight="1">
      <c r="S648" s="44"/>
    </row>
    <row r="649" ht="15.75" customHeight="1">
      <c r="S649" s="44"/>
    </row>
    <row r="650" ht="15.75" customHeight="1">
      <c r="S650" s="44"/>
    </row>
    <row r="651" ht="15.75" customHeight="1">
      <c r="S651" s="44"/>
    </row>
    <row r="652" ht="15.75" customHeight="1">
      <c r="S652" s="44"/>
    </row>
    <row r="653" ht="15.75" customHeight="1">
      <c r="S653" s="44"/>
    </row>
    <row r="654" ht="15.75" customHeight="1">
      <c r="S654" s="44"/>
    </row>
    <row r="655" ht="15.75" customHeight="1">
      <c r="S655" s="44"/>
    </row>
    <row r="656" ht="15.75" customHeight="1">
      <c r="S656" s="44"/>
    </row>
    <row r="657" ht="15.75" customHeight="1">
      <c r="S657" s="44"/>
    </row>
    <row r="658" ht="15.75" customHeight="1">
      <c r="S658" s="44"/>
    </row>
    <row r="659" ht="15.75" customHeight="1">
      <c r="S659" s="44"/>
    </row>
    <row r="660" ht="15.75" customHeight="1">
      <c r="S660" s="44"/>
    </row>
    <row r="661" ht="15.75" customHeight="1">
      <c r="S661" s="44"/>
    </row>
    <row r="662" ht="15.75" customHeight="1">
      <c r="S662" s="44"/>
    </row>
    <row r="663" ht="15.75" customHeight="1">
      <c r="S663" s="44"/>
    </row>
    <row r="664" ht="15.75" customHeight="1">
      <c r="S664" s="44"/>
    </row>
    <row r="665" ht="15.75" customHeight="1">
      <c r="S665" s="44"/>
    </row>
    <row r="666" ht="15.75" customHeight="1">
      <c r="S666" s="44"/>
    </row>
    <row r="667" ht="15.75" customHeight="1">
      <c r="S667" s="44"/>
    </row>
    <row r="668" ht="15.75" customHeight="1">
      <c r="S668" s="44"/>
    </row>
    <row r="669" ht="15.75" customHeight="1">
      <c r="S669" s="44"/>
    </row>
    <row r="670" ht="15.75" customHeight="1">
      <c r="S670" s="44"/>
    </row>
    <row r="671" ht="15.75" customHeight="1">
      <c r="S671" s="44"/>
    </row>
    <row r="672" ht="15.75" customHeight="1">
      <c r="S672" s="44"/>
    </row>
    <row r="673" ht="15.75" customHeight="1">
      <c r="S673" s="44"/>
    </row>
    <row r="674" ht="15.75" customHeight="1">
      <c r="S674" s="44"/>
    </row>
    <row r="675" ht="15.75" customHeight="1">
      <c r="S675" s="44"/>
    </row>
    <row r="676" ht="15.75" customHeight="1">
      <c r="S676" s="44"/>
    </row>
    <row r="677" ht="15.75" customHeight="1">
      <c r="S677" s="44"/>
    </row>
    <row r="678" ht="15.75" customHeight="1">
      <c r="S678" s="44"/>
    </row>
    <row r="679" ht="15.75" customHeight="1">
      <c r="S679" s="44"/>
    </row>
    <row r="680" ht="15.75" customHeight="1">
      <c r="S680" s="44"/>
    </row>
    <row r="681" ht="15.75" customHeight="1">
      <c r="S681" s="44"/>
    </row>
    <row r="682" ht="15.75" customHeight="1">
      <c r="S682" s="44"/>
    </row>
    <row r="683" ht="15.75" customHeight="1">
      <c r="S683" s="44"/>
    </row>
    <row r="684" ht="15.75" customHeight="1">
      <c r="S684" s="44"/>
    </row>
    <row r="685" ht="15.75" customHeight="1">
      <c r="S685" s="44"/>
    </row>
    <row r="686" ht="15.75" customHeight="1">
      <c r="S686" s="44"/>
    </row>
    <row r="687" ht="15.75" customHeight="1">
      <c r="S687" s="44"/>
    </row>
    <row r="688" ht="15.75" customHeight="1">
      <c r="S688" s="44"/>
    </row>
    <row r="689" ht="15.75" customHeight="1">
      <c r="S689" s="44"/>
    </row>
    <row r="690" ht="15.75" customHeight="1">
      <c r="S690" s="44"/>
    </row>
    <row r="691" ht="15.75" customHeight="1">
      <c r="S691" s="44"/>
    </row>
    <row r="692" ht="15.75" customHeight="1">
      <c r="S692" s="44"/>
    </row>
    <row r="693" ht="15.75" customHeight="1">
      <c r="S693" s="44"/>
    </row>
    <row r="694" ht="15.75" customHeight="1">
      <c r="S694" s="44"/>
    </row>
    <row r="695" ht="15.75" customHeight="1">
      <c r="S695" s="44"/>
    </row>
    <row r="696" ht="15.75" customHeight="1">
      <c r="S696" s="44"/>
    </row>
    <row r="697" ht="15.75" customHeight="1">
      <c r="S697" s="44"/>
    </row>
    <row r="698" ht="15.75" customHeight="1">
      <c r="S698" s="44"/>
    </row>
    <row r="699" ht="15.75" customHeight="1">
      <c r="S699" s="44"/>
    </row>
    <row r="700" ht="15.75" customHeight="1">
      <c r="S700" s="44"/>
    </row>
    <row r="701" ht="15.75" customHeight="1">
      <c r="S701" s="44"/>
    </row>
    <row r="702" ht="15.75" customHeight="1">
      <c r="S702" s="44"/>
    </row>
    <row r="703" ht="15.75" customHeight="1">
      <c r="S703" s="44"/>
    </row>
    <row r="704" ht="15.75" customHeight="1">
      <c r="S704" s="44"/>
    </row>
    <row r="705" ht="15.75" customHeight="1">
      <c r="S705" s="44"/>
    </row>
    <row r="706" ht="15.75" customHeight="1">
      <c r="S706" s="44"/>
    </row>
    <row r="707" ht="15.75" customHeight="1">
      <c r="S707" s="44"/>
    </row>
    <row r="708" ht="15.75" customHeight="1">
      <c r="S708" s="44"/>
    </row>
    <row r="709" ht="15.75" customHeight="1">
      <c r="S709" s="44"/>
    </row>
    <row r="710" ht="15.75" customHeight="1">
      <c r="S710" s="44"/>
    </row>
    <row r="711" ht="15.75" customHeight="1">
      <c r="S711" s="44"/>
    </row>
    <row r="712" ht="15.75" customHeight="1">
      <c r="S712" s="44"/>
    </row>
    <row r="713" ht="15.75" customHeight="1">
      <c r="S713" s="44"/>
    </row>
    <row r="714" ht="15.75" customHeight="1">
      <c r="S714" s="44"/>
    </row>
    <row r="715" ht="15.75" customHeight="1">
      <c r="S715" s="44"/>
    </row>
    <row r="716" ht="15.75" customHeight="1">
      <c r="S716" s="44"/>
    </row>
    <row r="717" ht="15.75" customHeight="1">
      <c r="S717" s="44"/>
    </row>
    <row r="718" ht="15.75" customHeight="1">
      <c r="S718" s="44"/>
    </row>
    <row r="719" ht="15.75" customHeight="1">
      <c r="S719" s="44"/>
    </row>
    <row r="720" ht="15.75" customHeight="1">
      <c r="S720" s="44"/>
    </row>
    <row r="721" ht="15.75" customHeight="1">
      <c r="S721" s="44"/>
    </row>
    <row r="722" ht="15.75" customHeight="1">
      <c r="S722" s="44"/>
    </row>
    <row r="723" ht="15.75" customHeight="1">
      <c r="S723" s="44"/>
    </row>
    <row r="724" ht="15.75" customHeight="1">
      <c r="S724" s="44"/>
    </row>
    <row r="725" ht="15.75" customHeight="1">
      <c r="S725" s="44"/>
    </row>
    <row r="726" ht="15.75" customHeight="1">
      <c r="S726" s="44"/>
    </row>
    <row r="727" ht="15.75" customHeight="1">
      <c r="S727" s="44"/>
    </row>
    <row r="728" ht="15.75" customHeight="1">
      <c r="S728" s="44"/>
    </row>
    <row r="729" ht="15.75" customHeight="1">
      <c r="S729" s="44"/>
    </row>
    <row r="730" ht="15.75" customHeight="1">
      <c r="S730" s="44"/>
    </row>
    <row r="731" ht="15.75" customHeight="1">
      <c r="S731" s="44"/>
    </row>
    <row r="732" ht="15.75" customHeight="1">
      <c r="S732" s="44"/>
    </row>
    <row r="733" ht="15.75" customHeight="1">
      <c r="S733" s="44"/>
    </row>
    <row r="734" ht="15.75" customHeight="1">
      <c r="S734" s="44"/>
    </row>
    <row r="735" ht="15.75" customHeight="1">
      <c r="S735" s="44"/>
    </row>
    <row r="736" ht="15.75" customHeight="1">
      <c r="S736" s="44"/>
    </row>
    <row r="737" ht="15.75" customHeight="1">
      <c r="S737" s="44"/>
    </row>
    <row r="738" ht="15.75" customHeight="1">
      <c r="S738" s="44"/>
    </row>
    <row r="739" ht="15.75" customHeight="1">
      <c r="S739" s="44"/>
    </row>
    <row r="740" ht="15.75" customHeight="1">
      <c r="S740" s="44"/>
    </row>
    <row r="741" ht="15.75" customHeight="1">
      <c r="S741" s="44"/>
    </row>
    <row r="742" ht="15.75" customHeight="1">
      <c r="S742" s="44"/>
    </row>
    <row r="743" ht="15.75" customHeight="1">
      <c r="S743" s="44"/>
    </row>
    <row r="744" ht="15.75" customHeight="1">
      <c r="S744" s="44"/>
    </row>
    <row r="745" ht="15.75" customHeight="1">
      <c r="S745" s="44"/>
    </row>
    <row r="746" ht="15.75" customHeight="1">
      <c r="S746" s="44"/>
    </row>
    <row r="747" ht="15.75" customHeight="1">
      <c r="S747" s="44"/>
    </row>
    <row r="748" ht="15.75" customHeight="1">
      <c r="S748" s="44"/>
    </row>
    <row r="749" ht="15.75" customHeight="1">
      <c r="S749" s="44"/>
    </row>
    <row r="750" ht="15.75" customHeight="1">
      <c r="S750" s="44"/>
    </row>
    <row r="751" ht="15.75" customHeight="1">
      <c r="S751" s="44"/>
    </row>
    <row r="752" ht="15.75" customHeight="1">
      <c r="S752" s="44"/>
    </row>
    <row r="753" ht="15.75" customHeight="1">
      <c r="S753" s="44"/>
    </row>
    <row r="754" ht="15.75" customHeight="1">
      <c r="S754" s="44"/>
    </row>
    <row r="755" ht="15.75" customHeight="1">
      <c r="S755" s="44"/>
    </row>
    <row r="756" ht="15.75" customHeight="1">
      <c r="S756" s="44"/>
    </row>
    <row r="757" ht="15.75" customHeight="1">
      <c r="S757" s="44"/>
    </row>
    <row r="758" ht="15.75" customHeight="1">
      <c r="S758" s="44"/>
    </row>
    <row r="759" ht="15.75" customHeight="1">
      <c r="S759" s="44"/>
    </row>
    <row r="760" ht="15.75" customHeight="1">
      <c r="S760" s="44"/>
    </row>
    <row r="761" ht="15.75" customHeight="1">
      <c r="S761" s="44"/>
    </row>
    <row r="762" ht="15.75" customHeight="1">
      <c r="S762" s="44"/>
    </row>
    <row r="763" ht="15.75" customHeight="1">
      <c r="S763" s="44"/>
    </row>
    <row r="764" ht="15.75" customHeight="1">
      <c r="S764" s="44"/>
    </row>
    <row r="765" ht="15.75" customHeight="1">
      <c r="S765" s="44"/>
    </row>
    <row r="766" ht="15.75" customHeight="1">
      <c r="S766" s="44"/>
    </row>
    <row r="767" ht="15.75" customHeight="1">
      <c r="S767" s="44"/>
    </row>
    <row r="768" ht="15.75" customHeight="1">
      <c r="S768" s="44"/>
    </row>
    <row r="769" ht="15.75" customHeight="1">
      <c r="S769" s="44"/>
    </row>
    <row r="770" ht="15.75" customHeight="1">
      <c r="S770" s="44"/>
    </row>
    <row r="771" ht="15.75" customHeight="1">
      <c r="S771" s="44"/>
    </row>
    <row r="772" ht="15.75" customHeight="1">
      <c r="S772" s="44"/>
    </row>
    <row r="773" ht="15.75" customHeight="1">
      <c r="S773" s="44"/>
    </row>
    <row r="774" ht="15.75" customHeight="1">
      <c r="S774" s="44"/>
    </row>
    <row r="775" ht="15.75" customHeight="1">
      <c r="S775" s="44"/>
    </row>
    <row r="776" ht="15.75" customHeight="1">
      <c r="S776" s="44"/>
    </row>
    <row r="777" ht="15.75" customHeight="1">
      <c r="S777" s="44"/>
    </row>
    <row r="778" ht="15.75" customHeight="1">
      <c r="S778" s="44"/>
    </row>
    <row r="779" ht="15.75" customHeight="1">
      <c r="S779" s="44"/>
    </row>
    <row r="780" ht="15.75" customHeight="1">
      <c r="S780" s="44"/>
    </row>
    <row r="781" ht="15.75" customHeight="1">
      <c r="S781" s="44"/>
    </row>
    <row r="782" ht="15.75" customHeight="1">
      <c r="S782" s="44"/>
    </row>
    <row r="783" ht="15.75" customHeight="1">
      <c r="S783" s="44"/>
    </row>
    <row r="784" ht="15.75" customHeight="1">
      <c r="S784" s="44"/>
    </row>
    <row r="785" ht="15.75" customHeight="1">
      <c r="S785" s="44"/>
    </row>
    <row r="786" ht="15.75" customHeight="1">
      <c r="S786" s="44"/>
    </row>
    <row r="787" ht="15.75" customHeight="1">
      <c r="S787" s="44"/>
    </row>
    <row r="788" ht="15.75" customHeight="1">
      <c r="S788" s="44"/>
    </row>
    <row r="789" ht="15.75" customHeight="1">
      <c r="S789" s="44"/>
    </row>
    <row r="790" ht="15.75" customHeight="1">
      <c r="S790" s="44"/>
    </row>
    <row r="791" ht="15.75" customHeight="1">
      <c r="S791" s="44"/>
    </row>
    <row r="792" ht="15.75" customHeight="1">
      <c r="S792" s="44"/>
    </row>
    <row r="793" ht="15.75" customHeight="1">
      <c r="S793" s="44"/>
    </row>
    <row r="794" ht="15.75" customHeight="1">
      <c r="S794" s="44"/>
    </row>
    <row r="795" ht="15.75" customHeight="1">
      <c r="S795" s="44"/>
    </row>
    <row r="796" ht="15.75" customHeight="1">
      <c r="S796" s="44"/>
    </row>
    <row r="797" ht="15.75" customHeight="1">
      <c r="S797" s="44"/>
    </row>
    <row r="798" ht="15.75" customHeight="1">
      <c r="S798" s="44"/>
    </row>
    <row r="799" ht="15.75" customHeight="1">
      <c r="S799" s="44"/>
    </row>
    <row r="800" ht="15.75" customHeight="1">
      <c r="S800" s="44"/>
    </row>
    <row r="801" ht="15.75" customHeight="1">
      <c r="S801" s="44"/>
    </row>
    <row r="802" ht="15.75" customHeight="1">
      <c r="S802" s="44"/>
    </row>
    <row r="803" ht="15.75" customHeight="1">
      <c r="S803" s="44"/>
    </row>
    <row r="804" ht="15.75" customHeight="1">
      <c r="S804" s="44"/>
    </row>
    <row r="805" ht="15.75" customHeight="1">
      <c r="S805" s="44"/>
    </row>
    <row r="806" ht="15.75" customHeight="1">
      <c r="S806" s="44"/>
    </row>
    <row r="807" ht="15.75" customHeight="1">
      <c r="S807" s="44"/>
    </row>
    <row r="808" ht="15.75" customHeight="1">
      <c r="S808" s="44"/>
    </row>
    <row r="809" ht="15.75" customHeight="1">
      <c r="S809" s="44"/>
    </row>
    <row r="810" ht="15.75" customHeight="1">
      <c r="S810" s="44"/>
    </row>
    <row r="811" ht="15.75" customHeight="1">
      <c r="S811" s="44"/>
    </row>
    <row r="812" ht="15.75" customHeight="1">
      <c r="S812" s="44"/>
    </row>
    <row r="813" ht="15.75" customHeight="1">
      <c r="S813" s="44"/>
    </row>
    <row r="814" ht="15.75" customHeight="1">
      <c r="S814" s="44"/>
    </row>
    <row r="815" ht="15.75" customHeight="1">
      <c r="S815" s="44"/>
    </row>
    <row r="816" ht="15.75" customHeight="1">
      <c r="S816" s="44"/>
    </row>
    <row r="817" ht="15.75" customHeight="1">
      <c r="S817" s="44"/>
    </row>
    <row r="818" ht="15.75" customHeight="1">
      <c r="S818" s="44"/>
    </row>
    <row r="819" ht="15.75" customHeight="1">
      <c r="S819" s="44"/>
    </row>
    <row r="820" ht="15.75" customHeight="1">
      <c r="S820" s="44"/>
    </row>
    <row r="821" ht="15.75" customHeight="1">
      <c r="S821" s="44"/>
    </row>
    <row r="822" ht="15.75" customHeight="1">
      <c r="S822" s="44"/>
    </row>
    <row r="823" ht="15.75" customHeight="1">
      <c r="S823" s="44"/>
    </row>
    <row r="824" ht="15.75" customHeight="1">
      <c r="S824" s="44"/>
    </row>
    <row r="825" ht="15.75" customHeight="1">
      <c r="S825" s="44"/>
    </row>
    <row r="826" ht="15.75" customHeight="1">
      <c r="S826" s="44"/>
    </row>
    <row r="827" ht="15.75" customHeight="1">
      <c r="S827" s="44"/>
    </row>
    <row r="828" ht="15.75" customHeight="1">
      <c r="S828" s="44"/>
    </row>
    <row r="829" ht="15.75" customHeight="1">
      <c r="S829" s="44"/>
    </row>
    <row r="830" ht="15.75" customHeight="1">
      <c r="S830" s="44"/>
    </row>
    <row r="831" ht="15.75" customHeight="1">
      <c r="S831" s="44"/>
    </row>
    <row r="832" ht="15.75" customHeight="1">
      <c r="S832" s="44"/>
    </row>
    <row r="833" ht="15.75" customHeight="1">
      <c r="S833" s="44"/>
    </row>
    <row r="834" ht="15.75" customHeight="1">
      <c r="S834" s="44"/>
    </row>
    <row r="835" ht="15.75" customHeight="1">
      <c r="S835" s="44"/>
    </row>
    <row r="836" ht="15.75" customHeight="1">
      <c r="S836" s="44"/>
    </row>
    <row r="837" ht="15.75" customHeight="1">
      <c r="S837" s="44"/>
    </row>
    <row r="838" ht="15.75" customHeight="1">
      <c r="S838" s="44"/>
    </row>
    <row r="839" ht="15.75" customHeight="1">
      <c r="S839" s="44"/>
    </row>
    <row r="840" ht="15.75" customHeight="1">
      <c r="S840" s="44"/>
    </row>
    <row r="841" ht="15.75" customHeight="1">
      <c r="S841" s="44"/>
    </row>
    <row r="842" ht="15.75" customHeight="1">
      <c r="S842" s="44"/>
    </row>
    <row r="843" ht="15.75" customHeight="1">
      <c r="S843" s="44"/>
    </row>
    <row r="844" ht="15.75" customHeight="1">
      <c r="S844" s="44"/>
    </row>
    <row r="845" ht="15.75" customHeight="1">
      <c r="S845" s="44"/>
    </row>
    <row r="846" ht="15.75" customHeight="1">
      <c r="S846" s="44"/>
    </row>
    <row r="847" ht="15.75" customHeight="1">
      <c r="S847" s="44"/>
    </row>
    <row r="848" ht="15.75" customHeight="1">
      <c r="S848" s="44"/>
    </row>
    <row r="849" ht="15.75" customHeight="1">
      <c r="S849" s="44"/>
    </row>
    <row r="850" ht="15.75" customHeight="1">
      <c r="S850" s="44"/>
    </row>
    <row r="851" ht="15.75" customHeight="1">
      <c r="S851" s="44"/>
    </row>
    <row r="852" ht="15.75" customHeight="1">
      <c r="S852" s="44"/>
    </row>
    <row r="853" ht="15.75" customHeight="1">
      <c r="S853" s="44"/>
    </row>
    <row r="854" ht="15.75" customHeight="1">
      <c r="S854" s="44"/>
    </row>
    <row r="855" ht="15.75" customHeight="1">
      <c r="S855" s="44"/>
    </row>
    <row r="856" ht="15.75" customHeight="1">
      <c r="S856" s="44"/>
    </row>
    <row r="857" ht="15.75" customHeight="1">
      <c r="S857" s="44"/>
    </row>
    <row r="858" ht="15.75" customHeight="1">
      <c r="S858" s="44"/>
    </row>
    <row r="859" ht="15.75" customHeight="1">
      <c r="S859" s="44"/>
    </row>
    <row r="860" ht="15.75" customHeight="1">
      <c r="S860" s="44"/>
    </row>
    <row r="861" ht="15.75" customHeight="1">
      <c r="S861" s="44"/>
    </row>
    <row r="862" ht="15.75" customHeight="1">
      <c r="S862" s="44"/>
    </row>
    <row r="863" ht="15.75" customHeight="1">
      <c r="S863" s="44"/>
    </row>
    <row r="864" ht="15.75" customHeight="1">
      <c r="S864" s="44"/>
    </row>
    <row r="865" ht="15.75" customHeight="1">
      <c r="S865" s="44"/>
    </row>
    <row r="866" ht="15.75" customHeight="1">
      <c r="S866" s="44"/>
    </row>
    <row r="867" ht="15.75" customHeight="1">
      <c r="S867" s="44"/>
    </row>
    <row r="868" ht="15.75" customHeight="1">
      <c r="S868" s="44"/>
    </row>
    <row r="869" ht="15.75" customHeight="1">
      <c r="S869" s="44"/>
    </row>
    <row r="870" ht="15.75" customHeight="1">
      <c r="S870" s="44"/>
    </row>
    <row r="871" ht="15.75" customHeight="1">
      <c r="S871" s="44"/>
    </row>
    <row r="872" ht="15.75" customHeight="1">
      <c r="S872" s="44"/>
    </row>
    <row r="873" ht="15.75" customHeight="1">
      <c r="S873" s="44"/>
    </row>
    <row r="874" ht="15.75" customHeight="1">
      <c r="S874" s="44"/>
    </row>
    <row r="875" ht="15.75" customHeight="1">
      <c r="S875" s="44"/>
    </row>
    <row r="876" ht="15.75" customHeight="1">
      <c r="S876" s="44"/>
    </row>
    <row r="877" ht="15.75" customHeight="1">
      <c r="S877" s="44"/>
    </row>
    <row r="878" ht="15.75" customHeight="1">
      <c r="S878" s="44"/>
    </row>
    <row r="879" ht="15.75" customHeight="1">
      <c r="S879" s="44"/>
    </row>
    <row r="880" ht="15.75" customHeight="1">
      <c r="S880" s="44"/>
    </row>
    <row r="881" ht="15.75" customHeight="1">
      <c r="S881" s="44"/>
    </row>
    <row r="882" ht="15.75" customHeight="1">
      <c r="S882" s="44"/>
    </row>
    <row r="883" ht="15.75" customHeight="1">
      <c r="S883" s="44"/>
    </row>
    <row r="884" ht="15.75" customHeight="1">
      <c r="S884" s="44"/>
    </row>
    <row r="885" ht="15.75" customHeight="1">
      <c r="S885" s="44"/>
    </row>
    <row r="886" ht="15.75" customHeight="1">
      <c r="S886" s="44"/>
    </row>
    <row r="887" ht="15.75" customHeight="1">
      <c r="S887" s="44"/>
    </row>
    <row r="888" ht="15.75" customHeight="1">
      <c r="S888" s="44"/>
    </row>
    <row r="889" ht="15.75" customHeight="1">
      <c r="S889" s="44"/>
    </row>
    <row r="890" ht="15.75" customHeight="1">
      <c r="S890" s="44"/>
    </row>
    <row r="891" ht="15.75" customHeight="1">
      <c r="S891" s="44"/>
    </row>
    <row r="892" ht="15.75" customHeight="1">
      <c r="S892" s="44"/>
    </row>
    <row r="893" ht="15.75" customHeight="1">
      <c r="S893" s="44"/>
    </row>
    <row r="894" ht="15.75" customHeight="1">
      <c r="S894" s="44"/>
    </row>
    <row r="895" ht="15.75" customHeight="1">
      <c r="S895" s="44"/>
    </row>
    <row r="896" ht="15.75" customHeight="1">
      <c r="S896" s="44"/>
    </row>
    <row r="897" ht="15.75" customHeight="1">
      <c r="S897" s="44"/>
    </row>
    <row r="898" ht="15.75" customHeight="1">
      <c r="S898" s="44"/>
    </row>
    <row r="899" ht="15.75" customHeight="1">
      <c r="S899" s="44"/>
    </row>
    <row r="900" ht="15.75" customHeight="1">
      <c r="S900" s="44"/>
    </row>
    <row r="901" ht="15.75" customHeight="1">
      <c r="S901" s="44"/>
    </row>
    <row r="902" ht="15.75" customHeight="1">
      <c r="S902" s="44"/>
    </row>
    <row r="903" ht="15.75" customHeight="1">
      <c r="S903" s="44"/>
    </row>
    <row r="904" ht="15.75" customHeight="1">
      <c r="S904" s="44"/>
    </row>
    <row r="905" ht="15.75" customHeight="1">
      <c r="S905" s="44"/>
    </row>
    <row r="906" ht="15.75" customHeight="1">
      <c r="S906" s="44"/>
    </row>
    <row r="907" ht="15.75" customHeight="1">
      <c r="S907" s="44"/>
    </row>
    <row r="908" ht="15.75" customHeight="1">
      <c r="S908" s="44"/>
    </row>
    <row r="909" ht="15.75" customHeight="1">
      <c r="S909" s="44"/>
    </row>
    <row r="910" ht="15.75" customHeight="1">
      <c r="S910" s="44"/>
    </row>
    <row r="911" ht="15.75" customHeight="1">
      <c r="S911" s="44"/>
    </row>
    <row r="912" ht="15.75" customHeight="1">
      <c r="S912" s="44"/>
    </row>
    <row r="913" ht="15.75" customHeight="1">
      <c r="S913" s="44"/>
    </row>
    <row r="914" ht="15.75" customHeight="1">
      <c r="S914" s="44"/>
    </row>
    <row r="915" ht="15.75" customHeight="1">
      <c r="S915" s="44"/>
    </row>
    <row r="916" ht="15.75" customHeight="1">
      <c r="S916" s="44"/>
    </row>
    <row r="917" ht="15.75" customHeight="1">
      <c r="S917" s="44"/>
    </row>
    <row r="918" ht="15.75" customHeight="1">
      <c r="S918" s="44"/>
    </row>
    <row r="919" ht="15.75" customHeight="1">
      <c r="S919" s="44"/>
    </row>
    <row r="920" ht="15.75" customHeight="1">
      <c r="S920" s="44"/>
    </row>
    <row r="921" ht="15.75" customHeight="1">
      <c r="S921" s="44"/>
    </row>
    <row r="922" ht="15.75" customHeight="1">
      <c r="S922" s="44"/>
    </row>
    <row r="923" ht="15.75" customHeight="1">
      <c r="S923" s="44"/>
    </row>
    <row r="924" ht="15.75" customHeight="1">
      <c r="S924" s="44"/>
    </row>
    <row r="925" ht="15.75" customHeight="1">
      <c r="S925" s="44"/>
    </row>
    <row r="926" ht="15.75" customHeight="1">
      <c r="S926" s="44"/>
    </row>
    <row r="927" ht="15.75" customHeight="1">
      <c r="S927" s="44"/>
    </row>
    <row r="928" ht="15.75" customHeight="1">
      <c r="S928" s="44"/>
    </row>
    <row r="929" ht="15.75" customHeight="1">
      <c r="S929" s="44"/>
    </row>
    <row r="930" ht="15.75" customHeight="1">
      <c r="S930" s="44"/>
    </row>
    <row r="931" ht="15.75" customHeight="1">
      <c r="S931" s="44"/>
    </row>
    <row r="932" ht="15.75" customHeight="1">
      <c r="S932" s="44"/>
    </row>
    <row r="933" ht="15.75" customHeight="1">
      <c r="S933" s="44"/>
    </row>
    <row r="934" ht="15.75" customHeight="1">
      <c r="S934" s="44"/>
    </row>
    <row r="935" ht="15.75" customHeight="1">
      <c r="S935" s="44"/>
    </row>
    <row r="936" ht="15.75" customHeight="1">
      <c r="S936" s="44"/>
    </row>
    <row r="937" ht="15.75" customHeight="1">
      <c r="S937" s="44"/>
    </row>
    <row r="938" ht="15.75" customHeight="1">
      <c r="S938" s="44"/>
    </row>
    <row r="939" ht="15.75" customHeight="1">
      <c r="S939" s="44"/>
    </row>
    <row r="940" ht="15.75" customHeight="1">
      <c r="S940" s="44"/>
    </row>
    <row r="941" ht="15.75" customHeight="1">
      <c r="S941" s="44"/>
    </row>
    <row r="942" ht="15.75" customHeight="1">
      <c r="S942" s="44"/>
    </row>
    <row r="943" ht="15.75" customHeight="1">
      <c r="S943" s="44"/>
    </row>
    <row r="944" ht="15.75" customHeight="1">
      <c r="S944" s="44"/>
    </row>
    <row r="945" ht="15.75" customHeight="1">
      <c r="S945" s="44"/>
    </row>
    <row r="946" ht="15.75" customHeight="1">
      <c r="S946" s="44"/>
    </row>
    <row r="947" ht="15.75" customHeight="1">
      <c r="S947" s="44"/>
    </row>
    <row r="948" ht="15.75" customHeight="1">
      <c r="S948" s="44"/>
    </row>
    <row r="949" ht="15.75" customHeight="1">
      <c r="S949" s="44"/>
    </row>
    <row r="950" ht="15.75" customHeight="1">
      <c r="S950" s="44"/>
    </row>
    <row r="951" ht="15.75" customHeight="1">
      <c r="S951" s="44"/>
    </row>
    <row r="952" ht="15.75" customHeight="1">
      <c r="S952" s="44"/>
    </row>
    <row r="953" ht="15.75" customHeight="1">
      <c r="S953" s="44"/>
    </row>
    <row r="954" ht="15.75" customHeight="1">
      <c r="S954" s="44"/>
    </row>
    <row r="955" ht="15.75" customHeight="1">
      <c r="S955" s="44"/>
    </row>
    <row r="956" ht="15.75" customHeight="1">
      <c r="S956" s="44"/>
    </row>
    <row r="957" ht="15.75" customHeight="1">
      <c r="S957" s="44"/>
    </row>
    <row r="958" ht="15.75" customHeight="1">
      <c r="S958" s="44"/>
    </row>
    <row r="959" ht="15.75" customHeight="1">
      <c r="S959" s="44"/>
    </row>
    <row r="960" ht="15.75" customHeight="1">
      <c r="S960" s="44"/>
    </row>
    <row r="961" ht="15.75" customHeight="1">
      <c r="S961" s="44"/>
    </row>
    <row r="962" ht="15.75" customHeight="1">
      <c r="S962" s="44"/>
    </row>
    <row r="963" ht="15.75" customHeight="1">
      <c r="S963" s="44"/>
    </row>
    <row r="964" ht="15.75" customHeight="1">
      <c r="S964" s="44"/>
    </row>
    <row r="965" ht="15.75" customHeight="1">
      <c r="S965" s="44"/>
    </row>
    <row r="966" ht="15.75" customHeight="1">
      <c r="S966" s="44"/>
    </row>
    <row r="967" ht="15.75" customHeight="1">
      <c r="S967" s="44"/>
    </row>
    <row r="968" ht="15.75" customHeight="1">
      <c r="S968" s="44"/>
    </row>
    <row r="969" ht="15.75" customHeight="1">
      <c r="S969" s="44"/>
    </row>
    <row r="970" ht="15.75" customHeight="1">
      <c r="S970" s="44"/>
    </row>
    <row r="971" ht="15.75" customHeight="1">
      <c r="S971" s="44"/>
    </row>
    <row r="972" ht="15.75" customHeight="1">
      <c r="S972" s="44"/>
    </row>
    <row r="973" ht="15.75" customHeight="1">
      <c r="S973" s="44"/>
    </row>
    <row r="974" ht="15.75" customHeight="1">
      <c r="S974" s="44"/>
    </row>
    <row r="975" ht="15.75" customHeight="1">
      <c r="S975" s="44"/>
    </row>
    <row r="976" ht="15.75" customHeight="1">
      <c r="S976" s="44"/>
    </row>
    <row r="977" ht="15.75" customHeight="1">
      <c r="S977" s="44"/>
    </row>
    <row r="978" ht="15.75" customHeight="1">
      <c r="S978" s="44"/>
    </row>
    <row r="979" ht="15.75" customHeight="1">
      <c r="S979" s="44"/>
    </row>
    <row r="980" ht="15.75" customHeight="1">
      <c r="S980" s="44"/>
    </row>
    <row r="981" ht="15.75" customHeight="1">
      <c r="S981" s="44"/>
    </row>
    <row r="982" ht="15.75" customHeight="1">
      <c r="S982" s="44"/>
    </row>
    <row r="983" ht="15.75" customHeight="1">
      <c r="S983" s="44"/>
    </row>
    <row r="984" ht="15.75" customHeight="1">
      <c r="S984" s="44"/>
    </row>
    <row r="985" ht="15.75" customHeight="1">
      <c r="S985" s="44"/>
    </row>
    <row r="986" ht="15.75" customHeight="1">
      <c r="S986" s="44"/>
    </row>
    <row r="987" ht="15.75" customHeight="1">
      <c r="S987" s="44"/>
    </row>
    <row r="988" ht="15.75" customHeight="1">
      <c r="S988" s="44"/>
    </row>
    <row r="989" ht="15.75" customHeight="1">
      <c r="S989" s="44"/>
    </row>
    <row r="990" ht="15.75" customHeight="1">
      <c r="S990" s="44"/>
    </row>
    <row r="991" ht="15.75" customHeight="1">
      <c r="S991" s="44"/>
    </row>
    <row r="992" ht="15.75" customHeight="1">
      <c r="S992" s="44"/>
    </row>
    <row r="993" ht="15.75" customHeight="1">
      <c r="S993" s="44"/>
    </row>
    <row r="994" ht="15.75" customHeight="1">
      <c r="S994" s="44"/>
    </row>
    <row r="995" ht="15.75" customHeight="1">
      <c r="S995" s="44"/>
    </row>
    <row r="996" ht="15.75" customHeight="1">
      <c r="S996" s="44"/>
    </row>
    <row r="997" ht="15.75" customHeight="1">
      <c r="S997" s="44"/>
    </row>
    <row r="998" ht="15.75" customHeight="1">
      <c r="S998" s="44"/>
    </row>
    <row r="999" ht="15.75" customHeight="1">
      <c r="S999" s="44"/>
    </row>
    <row r="1000" ht="15.75" customHeight="1">
      <c r="S1000" s="44"/>
    </row>
  </sheetData>
  <autoFilter ref="$J$1:$AQ$226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41.75"/>
    <col customWidth="1" min="3" max="3" width="6.5"/>
    <col customWidth="1" min="4" max="4" width="8.75"/>
    <col customWidth="1" min="5" max="6" width="10.88"/>
    <col customWidth="1" min="7" max="7" width="11.25"/>
    <col customWidth="1" min="8" max="8" width="13.0"/>
    <col customWidth="1" min="9" max="9" width="33.0"/>
    <col customWidth="1" min="10" max="10" width="34.38"/>
    <col customWidth="1" min="11" max="11" width="27.63"/>
    <col customWidth="1" min="12" max="12" width="9.25"/>
    <col customWidth="1" min="13" max="13" width="20.5"/>
    <col customWidth="1" min="14" max="14" width="43.5"/>
    <col customWidth="1" min="15" max="16" width="9.25"/>
    <col customWidth="1" min="17" max="17" width="28.25"/>
    <col customWidth="1" min="18" max="20" width="9.25"/>
    <col customWidth="1" min="21" max="21" width="16.63"/>
    <col customWidth="1" min="22" max="22" width="15.38"/>
    <col customWidth="1" min="23" max="23" width="8.0"/>
    <col customWidth="1" min="24" max="24" width="11.0"/>
    <col customWidth="1" min="25" max="25" width="21.13"/>
    <col customWidth="1" min="26" max="26" width="19.25"/>
    <col customWidth="1" min="27" max="27" width="16.38"/>
    <col customWidth="1" min="28" max="29" width="10.5"/>
    <col customWidth="1" min="30" max="30" width="10.63"/>
    <col customWidth="1" min="31" max="31" width="19.13"/>
    <col customWidth="1" min="32" max="32" width="20.0"/>
    <col customWidth="1" min="33" max="33" width="36.75"/>
    <col customWidth="1" min="34" max="34" width="13.88"/>
    <col customWidth="1" min="35" max="35" width="11.88"/>
    <col customWidth="1" min="36" max="36" width="13.0"/>
    <col customWidth="1" min="37" max="37" width="9.5"/>
    <col customWidth="1" min="38" max="38" width="12.5"/>
    <col customWidth="1" min="39" max="39" width="14.75"/>
    <col customWidth="1" min="40" max="40" width="18.75"/>
    <col customWidth="1" min="41" max="41" width="11.63"/>
    <col customWidth="1" min="42" max="42" width="11.38"/>
  </cols>
  <sheetData>
    <row r="1" ht="15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 t="s">
        <v>1</v>
      </c>
      <c r="J1" s="2" t="s">
        <v>1</v>
      </c>
      <c r="K1" s="2" t="s">
        <v>1</v>
      </c>
      <c r="L1" s="5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4" t="s">
        <v>2</v>
      </c>
      <c r="W1" s="4" t="s">
        <v>2</v>
      </c>
      <c r="X1" s="4" t="s">
        <v>2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4" t="s">
        <v>2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4" t="s">
        <v>2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</row>
    <row r="2" ht="15.75" customHeight="1">
      <c r="A2" s="5" t="s">
        <v>3</v>
      </c>
      <c r="B2" s="5" t="s">
        <v>4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8" t="s">
        <v>12</v>
      </c>
      <c r="J2" s="5" t="s">
        <v>13</v>
      </c>
      <c r="K2" s="5" t="s">
        <v>14</v>
      </c>
      <c r="L2" s="53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5" t="s">
        <v>32</v>
      </c>
      <c r="AD2" s="5" t="s">
        <v>33</v>
      </c>
      <c r="AE2" s="5" t="s">
        <v>34</v>
      </c>
      <c r="AF2" s="5" t="s">
        <v>35</v>
      </c>
      <c r="AG2" s="5" t="s">
        <v>36</v>
      </c>
      <c r="AH2" s="5" t="s">
        <v>37</v>
      </c>
      <c r="AI2" s="5" t="s">
        <v>38</v>
      </c>
      <c r="AJ2" s="5" t="s">
        <v>39</v>
      </c>
      <c r="AK2" s="5" t="s">
        <v>40</v>
      </c>
      <c r="AL2" s="5" t="s">
        <v>41</v>
      </c>
      <c r="AM2" s="5" t="s">
        <v>42</v>
      </c>
      <c r="AN2" s="5" t="s">
        <v>43</v>
      </c>
      <c r="AO2" s="5" t="s">
        <v>44</v>
      </c>
      <c r="AP2" s="5" t="s">
        <v>45</v>
      </c>
    </row>
    <row r="3" ht="15.75" customHeight="1">
      <c r="A3" s="9">
        <v>1.0</v>
      </c>
      <c r="B3" s="10" t="s">
        <v>1798</v>
      </c>
      <c r="C3" s="11" t="str">
        <f>IFERROR(__xludf.DUMMYFUNCTION("REGEXEXTRACT(B3,""[A-Z]{2,}"")"),"RNE")</f>
        <v>RNE</v>
      </c>
      <c r="D3" s="11" t="s">
        <v>298</v>
      </c>
      <c r="E3" s="11" t="s">
        <v>73</v>
      </c>
      <c r="F3" s="11" t="s">
        <v>50</v>
      </c>
      <c r="G3" s="11">
        <v>7.55</v>
      </c>
      <c r="H3" s="11">
        <v>22.0</v>
      </c>
      <c r="I3" s="14" t="s">
        <v>1799</v>
      </c>
      <c r="J3" s="54" t="s">
        <v>1798</v>
      </c>
      <c r="K3" s="14" t="s">
        <v>1800</v>
      </c>
      <c r="L3" s="45" t="s">
        <v>298</v>
      </c>
      <c r="M3" s="14" t="s">
        <v>1801</v>
      </c>
      <c r="N3" s="14" t="s">
        <v>1802</v>
      </c>
      <c r="O3" s="44">
        <v>2012.0</v>
      </c>
      <c r="P3" s="44" t="s">
        <v>1803</v>
      </c>
      <c r="Q3" s="14" t="s">
        <v>1804</v>
      </c>
      <c r="R3" s="44" t="s">
        <v>1805</v>
      </c>
      <c r="S3" s="44" t="s">
        <v>1806</v>
      </c>
      <c r="T3" s="44" t="s">
        <v>1807</v>
      </c>
      <c r="U3" s="14">
        <v>8.0</v>
      </c>
      <c r="Y3" s="47" t="s">
        <v>431</v>
      </c>
      <c r="Z3" s="47" t="s">
        <v>1808</v>
      </c>
      <c r="AA3" s="47" t="s">
        <v>1809</v>
      </c>
      <c r="AB3" s="47" t="s">
        <v>433</v>
      </c>
      <c r="AC3" s="47" t="s">
        <v>433</v>
      </c>
      <c r="AE3" s="16" t="s">
        <v>174</v>
      </c>
      <c r="AF3" s="47" t="s">
        <v>435</v>
      </c>
      <c r="AG3" s="14" t="s">
        <v>1810</v>
      </c>
      <c r="AH3" s="17" t="s">
        <v>1811</v>
      </c>
      <c r="AI3" s="17" t="s">
        <v>1812</v>
      </c>
      <c r="AJ3" s="16" t="s">
        <v>70</v>
      </c>
    </row>
    <row r="4" ht="15.75" customHeight="1">
      <c r="A4" s="9">
        <f t="shared" ref="A4:A31" si="1">A3+1</f>
        <v>2</v>
      </c>
      <c r="B4" s="10" t="s">
        <v>1813</v>
      </c>
      <c r="C4" s="11" t="str">
        <f>IFERROR(__xludf.DUMMYFUNCTION("REGEXEXTRACT(B4,""[A-Z]{2,}"")"),"RNE")</f>
        <v>RNE</v>
      </c>
      <c r="D4" s="11" t="s">
        <v>298</v>
      </c>
      <c r="E4" s="11" t="s">
        <v>73</v>
      </c>
      <c r="F4" s="12" t="s">
        <v>315</v>
      </c>
      <c r="G4" s="11">
        <v>0.92</v>
      </c>
      <c r="H4" s="11">
        <v>50.0</v>
      </c>
      <c r="I4" s="13" t="s">
        <v>1814</v>
      </c>
      <c r="J4" s="54" t="s">
        <v>1813</v>
      </c>
      <c r="K4" s="14" t="s">
        <v>1815</v>
      </c>
      <c r="L4" s="45" t="s">
        <v>298</v>
      </c>
      <c r="M4" s="16" t="s">
        <v>1816</v>
      </c>
      <c r="N4" s="14" t="s">
        <v>1817</v>
      </c>
      <c r="O4" s="44">
        <v>2006.0</v>
      </c>
      <c r="P4" s="44" t="s">
        <v>1803</v>
      </c>
      <c r="Q4" s="14" t="s">
        <v>1804</v>
      </c>
      <c r="R4" s="44" t="s">
        <v>1805</v>
      </c>
      <c r="S4" s="44" t="s">
        <v>1806</v>
      </c>
      <c r="T4" s="44" t="s">
        <v>1807</v>
      </c>
      <c r="U4" s="14">
        <v>8.0</v>
      </c>
      <c r="Y4" s="47" t="s">
        <v>431</v>
      </c>
      <c r="Z4" s="47" t="s">
        <v>1808</v>
      </c>
      <c r="AA4" s="47" t="s">
        <v>1809</v>
      </c>
      <c r="AB4" s="47" t="s">
        <v>433</v>
      </c>
      <c r="AC4" s="47" t="s">
        <v>433</v>
      </c>
      <c r="AE4" s="47" t="s">
        <v>174</v>
      </c>
      <c r="AF4" s="47" t="s">
        <v>435</v>
      </c>
      <c r="AG4" s="14" t="s">
        <v>1818</v>
      </c>
      <c r="AH4" s="17" t="s">
        <v>1819</v>
      </c>
      <c r="AI4" s="17" t="s">
        <v>1820</v>
      </c>
      <c r="AJ4" s="16" t="s">
        <v>70</v>
      </c>
    </row>
    <row r="5" ht="15.75" customHeight="1">
      <c r="A5" s="9">
        <f t="shared" si="1"/>
        <v>3</v>
      </c>
      <c r="B5" s="10" t="s">
        <v>1821</v>
      </c>
      <c r="C5" s="11" t="str">
        <f>IFERROR(__xludf.DUMMYFUNCTION("REGEXEXTRACT(B5,""[A-Z]{2,}"")"),"RNE")</f>
        <v>RNE</v>
      </c>
      <c r="D5" s="11" t="s">
        <v>298</v>
      </c>
      <c r="E5" s="11" t="s">
        <v>73</v>
      </c>
      <c r="F5" s="12" t="s">
        <v>315</v>
      </c>
      <c r="G5" s="11">
        <v>0.7</v>
      </c>
      <c r="H5" s="11">
        <v>19.0</v>
      </c>
      <c r="I5" s="13" t="s">
        <v>1822</v>
      </c>
      <c r="J5" s="54" t="s">
        <v>1821</v>
      </c>
      <c r="K5" s="14" t="s">
        <v>1823</v>
      </c>
      <c r="L5" s="45" t="s">
        <v>298</v>
      </c>
      <c r="M5" s="14" t="s">
        <v>1824</v>
      </c>
      <c r="N5" s="14" t="s">
        <v>1825</v>
      </c>
      <c r="O5" s="44">
        <v>2009.0</v>
      </c>
      <c r="P5" s="44" t="s">
        <v>1803</v>
      </c>
      <c r="Q5" s="14" t="s">
        <v>1804</v>
      </c>
      <c r="R5" s="44" t="s">
        <v>1805</v>
      </c>
      <c r="S5" s="44" t="s">
        <v>1806</v>
      </c>
      <c r="T5" s="44" t="s">
        <v>1807</v>
      </c>
      <c r="U5" s="14">
        <v>8.0</v>
      </c>
      <c r="Y5" s="47" t="s">
        <v>431</v>
      </c>
      <c r="Z5" s="47" t="s">
        <v>1808</v>
      </c>
      <c r="AA5" s="47" t="s">
        <v>1809</v>
      </c>
      <c r="AB5" s="47" t="s">
        <v>433</v>
      </c>
      <c r="AC5" s="47" t="s">
        <v>433</v>
      </c>
      <c r="AE5" s="47" t="s">
        <v>174</v>
      </c>
      <c r="AF5" s="47" t="s">
        <v>435</v>
      </c>
      <c r="AG5" s="14" t="s">
        <v>1826</v>
      </c>
      <c r="AH5" s="17" t="s">
        <v>1827</v>
      </c>
      <c r="AI5" s="17" t="s">
        <v>1828</v>
      </c>
      <c r="AJ5" s="16" t="s">
        <v>70</v>
      </c>
    </row>
    <row r="6" ht="15.75" customHeight="1">
      <c r="A6" s="9">
        <f t="shared" si="1"/>
        <v>4</v>
      </c>
      <c r="B6" s="10" t="s">
        <v>1829</v>
      </c>
      <c r="C6" s="11" t="str">
        <f>IFERROR(__xludf.DUMMYFUNCTION("REGEXEXTRACT(B6,""[A-Z]{2,}"")"),"RNE")</f>
        <v>RNE</v>
      </c>
      <c r="D6" s="11" t="s">
        <v>298</v>
      </c>
      <c r="E6" s="11" t="s">
        <v>73</v>
      </c>
      <c r="F6" s="11" t="s">
        <v>50</v>
      </c>
      <c r="G6" s="11">
        <v>6.87</v>
      </c>
      <c r="H6" s="11">
        <v>10.0</v>
      </c>
      <c r="I6" s="14" t="s">
        <v>1830</v>
      </c>
      <c r="J6" s="54" t="s">
        <v>1829</v>
      </c>
      <c r="K6" s="14" t="s">
        <v>1831</v>
      </c>
      <c r="L6" s="45" t="s">
        <v>298</v>
      </c>
      <c r="M6" s="14" t="s">
        <v>1832</v>
      </c>
      <c r="N6" s="14" t="s">
        <v>1833</v>
      </c>
      <c r="O6" s="44">
        <v>2009.0</v>
      </c>
      <c r="P6" s="44" t="s">
        <v>1803</v>
      </c>
      <c r="Q6" s="14" t="s">
        <v>1804</v>
      </c>
      <c r="R6" s="44" t="s">
        <v>1805</v>
      </c>
      <c r="S6" s="44" t="s">
        <v>1806</v>
      </c>
      <c r="T6" s="44" t="s">
        <v>1807</v>
      </c>
      <c r="U6" s="14">
        <v>8.0</v>
      </c>
      <c r="Y6" s="47" t="s">
        <v>431</v>
      </c>
      <c r="Z6" s="47" t="s">
        <v>1808</v>
      </c>
      <c r="AA6" s="47" t="s">
        <v>1809</v>
      </c>
      <c r="AB6" s="47" t="s">
        <v>433</v>
      </c>
      <c r="AC6" s="47" t="s">
        <v>433</v>
      </c>
      <c r="AE6" s="47" t="s">
        <v>174</v>
      </c>
      <c r="AF6" s="47" t="s">
        <v>435</v>
      </c>
      <c r="AG6" s="14" t="s">
        <v>1834</v>
      </c>
      <c r="AH6" s="17" t="s">
        <v>1827</v>
      </c>
      <c r="AI6" s="17" t="s">
        <v>1828</v>
      </c>
      <c r="AJ6" s="16" t="s">
        <v>70</v>
      </c>
    </row>
    <row r="7" ht="15.75" customHeight="1">
      <c r="A7" s="9">
        <f t="shared" si="1"/>
        <v>5</v>
      </c>
      <c r="B7" s="10" t="s">
        <v>1835</v>
      </c>
      <c r="C7" s="11" t="str">
        <f>IFERROR(__xludf.DUMMYFUNCTION("REGEXEXTRACT(B7,""[A-Z]{2,}"")"),"RNE")</f>
        <v>RNE</v>
      </c>
      <c r="D7" s="11" t="s">
        <v>298</v>
      </c>
      <c r="E7" s="11" t="s">
        <v>73</v>
      </c>
      <c r="F7" s="12" t="s">
        <v>315</v>
      </c>
      <c r="G7" s="11">
        <v>0.52</v>
      </c>
      <c r="H7" s="11">
        <v>32.0</v>
      </c>
      <c r="I7" s="13" t="s">
        <v>1836</v>
      </c>
      <c r="J7" s="54" t="s">
        <v>1835</v>
      </c>
      <c r="K7" s="16" t="s">
        <v>1837</v>
      </c>
      <c r="L7" s="45" t="s">
        <v>298</v>
      </c>
      <c r="M7" s="16" t="s">
        <v>1838</v>
      </c>
      <c r="N7" s="14" t="s">
        <v>1839</v>
      </c>
      <c r="O7" s="44">
        <v>2006.0</v>
      </c>
      <c r="P7" s="44" t="s">
        <v>1803</v>
      </c>
      <c r="Q7" s="14" t="s">
        <v>1804</v>
      </c>
      <c r="R7" s="44" t="s">
        <v>1805</v>
      </c>
      <c r="S7" s="44" t="s">
        <v>1806</v>
      </c>
      <c r="T7" s="44" t="s">
        <v>1807</v>
      </c>
      <c r="U7" s="14">
        <v>8.0</v>
      </c>
      <c r="Y7" s="47" t="s">
        <v>431</v>
      </c>
      <c r="Z7" s="47" t="s">
        <v>1808</v>
      </c>
      <c r="AA7" s="47" t="s">
        <v>1809</v>
      </c>
      <c r="AB7" s="47" t="s">
        <v>433</v>
      </c>
      <c r="AC7" s="47" t="s">
        <v>433</v>
      </c>
      <c r="AE7" s="47" t="s">
        <v>174</v>
      </c>
      <c r="AF7" s="47" t="s">
        <v>435</v>
      </c>
      <c r="AG7" s="14" t="s">
        <v>1840</v>
      </c>
      <c r="AH7" s="17" t="s">
        <v>1819</v>
      </c>
      <c r="AI7" s="17" t="s">
        <v>1820</v>
      </c>
      <c r="AJ7" s="16" t="s">
        <v>70</v>
      </c>
    </row>
    <row r="8" ht="15.75" customHeight="1">
      <c r="A8" s="9">
        <f t="shared" si="1"/>
        <v>6</v>
      </c>
      <c r="B8" s="10" t="s">
        <v>1841</v>
      </c>
      <c r="C8" s="11" t="str">
        <f>IFERROR(__xludf.DUMMYFUNCTION("REGEXEXTRACT(B8,""[A-Z]{2,}"")"),"RNE")</f>
        <v>RNE</v>
      </c>
      <c r="D8" s="11" t="s">
        <v>298</v>
      </c>
      <c r="E8" s="11" t="s">
        <v>73</v>
      </c>
      <c r="F8" s="12" t="s">
        <v>315</v>
      </c>
      <c r="G8" s="11">
        <v>0.77</v>
      </c>
      <c r="H8" s="11">
        <v>29.0</v>
      </c>
      <c r="I8" s="13" t="s">
        <v>1842</v>
      </c>
      <c r="J8" s="54" t="s">
        <v>1841</v>
      </c>
      <c r="K8" s="16" t="s">
        <v>1843</v>
      </c>
      <c r="L8" s="45" t="s">
        <v>298</v>
      </c>
      <c r="M8" s="16" t="s">
        <v>1844</v>
      </c>
      <c r="N8" s="14" t="s">
        <v>1845</v>
      </c>
      <c r="O8" s="44">
        <v>2006.0</v>
      </c>
      <c r="P8" s="44" t="s">
        <v>1803</v>
      </c>
      <c r="Q8" s="14" t="s">
        <v>1804</v>
      </c>
      <c r="R8" s="44" t="s">
        <v>1805</v>
      </c>
      <c r="S8" s="44" t="s">
        <v>1806</v>
      </c>
      <c r="T8" s="44" t="s">
        <v>1807</v>
      </c>
      <c r="U8" s="14">
        <v>8.0</v>
      </c>
      <c r="Y8" s="47" t="s">
        <v>431</v>
      </c>
      <c r="Z8" s="47" t="s">
        <v>1808</v>
      </c>
      <c r="AA8" s="47" t="s">
        <v>1809</v>
      </c>
      <c r="AB8" s="47" t="s">
        <v>433</v>
      </c>
      <c r="AC8" s="47" t="s">
        <v>433</v>
      </c>
      <c r="AE8" s="47" t="s">
        <v>174</v>
      </c>
      <c r="AF8" s="47" t="s">
        <v>435</v>
      </c>
      <c r="AG8" s="14" t="s">
        <v>1846</v>
      </c>
      <c r="AH8" s="17" t="s">
        <v>1819</v>
      </c>
      <c r="AI8" s="17" t="s">
        <v>1820</v>
      </c>
      <c r="AJ8" s="16" t="s">
        <v>70</v>
      </c>
    </row>
    <row r="9" ht="15.75" customHeight="1">
      <c r="A9" s="9">
        <f t="shared" si="1"/>
        <v>7</v>
      </c>
      <c r="B9" s="10" t="s">
        <v>1847</v>
      </c>
      <c r="C9" s="11" t="str">
        <f>IFERROR(__xludf.DUMMYFUNCTION("REGEXEXTRACT(B9,""[A-Z]{2,}"")"),"RNE")</f>
        <v>RNE</v>
      </c>
      <c r="D9" s="11" t="s">
        <v>298</v>
      </c>
      <c r="E9" s="11" t="s">
        <v>73</v>
      </c>
      <c r="F9" s="11" t="s">
        <v>50</v>
      </c>
      <c r="G9" s="11">
        <v>1.82</v>
      </c>
      <c r="H9" s="11">
        <v>14.0</v>
      </c>
      <c r="I9" s="14" t="s">
        <v>1848</v>
      </c>
      <c r="J9" s="54" t="s">
        <v>1847</v>
      </c>
      <c r="K9" s="16" t="s">
        <v>1849</v>
      </c>
      <c r="L9" s="45" t="s">
        <v>298</v>
      </c>
      <c r="M9" s="14" t="s">
        <v>1824</v>
      </c>
      <c r="N9" s="14" t="s">
        <v>1850</v>
      </c>
      <c r="O9" s="44">
        <v>2014.0</v>
      </c>
      <c r="P9" s="44" t="s">
        <v>1803</v>
      </c>
      <c r="Q9" s="14" t="s">
        <v>1804</v>
      </c>
      <c r="R9" s="44" t="s">
        <v>1805</v>
      </c>
      <c r="S9" s="44" t="s">
        <v>1806</v>
      </c>
      <c r="T9" s="44" t="s">
        <v>1807</v>
      </c>
      <c r="U9" s="14">
        <v>8.0</v>
      </c>
      <c r="Y9" s="47" t="s">
        <v>431</v>
      </c>
      <c r="Z9" s="47" t="s">
        <v>1808</v>
      </c>
      <c r="AA9" s="47" t="s">
        <v>1809</v>
      </c>
      <c r="AB9" s="47" t="s">
        <v>433</v>
      </c>
      <c r="AC9" s="47" t="s">
        <v>433</v>
      </c>
      <c r="AE9" s="47" t="s">
        <v>174</v>
      </c>
      <c r="AF9" s="47" t="s">
        <v>435</v>
      </c>
      <c r="AG9" s="14" t="s">
        <v>1851</v>
      </c>
      <c r="AH9" s="17" t="s">
        <v>1852</v>
      </c>
      <c r="AI9" s="17" t="s">
        <v>1853</v>
      </c>
      <c r="AJ9" s="16" t="s">
        <v>70</v>
      </c>
    </row>
    <row r="10" ht="15.75" customHeight="1">
      <c r="A10" s="9">
        <f t="shared" si="1"/>
        <v>8</v>
      </c>
      <c r="B10" s="10" t="s">
        <v>1854</v>
      </c>
      <c r="C10" s="11" t="str">
        <f>IFERROR(__xludf.DUMMYFUNCTION("REGEXEXTRACT(B10,""[A-Z]{2,}"")"),"RNE")</f>
        <v>RNE</v>
      </c>
      <c r="D10" s="11" t="s">
        <v>298</v>
      </c>
      <c r="E10" s="11" t="s">
        <v>73</v>
      </c>
      <c r="F10" s="11" t="s">
        <v>50</v>
      </c>
      <c r="G10" s="11">
        <v>3.27</v>
      </c>
      <c r="H10" s="11">
        <v>5.0</v>
      </c>
      <c r="I10" s="14" t="s">
        <v>1855</v>
      </c>
      <c r="J10" s="54" t="s">
        <v>1854</v>
      </c>
      <c r="K10" s="16" t="s">
        <v>1856</v>
      </c>
      <c r="L10" s="45" t="s">
        <v>298</v>
      </c>
      <c r="M10" s="14" t="s">
        <v>1857</v>
      </c>
      <c r="N10" s="14" t="s">
        <v>1858</v>
      </c>
      <c r="O10" s="44">
        <v>2006.0</v>
      </c>
      <c r="P10" s="44" t="s">
        <v>1803</v>
      </c>
      <c r="Q10" s="14" t="s">
        <v>1804</v>
      </c>
      <c r="R10" s="44" t="s">
        <v>1805</v>
      </c>
      <c r="S10" s="44" t="s">
        <v>1806</v>
      </c>
      <c r="T10" s="44" t="s">
        <v>1807</v>
      </c>
      <c r="U10" s="14">
        <v>8.0</v>
      </c>
      <c r="Y10" s="47" t="s">
        <v>431</v>
      </c>
      <c r="Z10" s="47" t="s">
        <v>1808</v>
      </c>
      <c r="AA10" s="47" t="s">
        <v>1809</v>
      </c>
      <c r="AB10" s="47" t="s">
        <v>433</v>
      </c>
      <c r="AC10" s="47" t="s">
        <v>433</v>
      </c>
      <c r="AE10" s="47" t="s">
        <v>174</v>
      </c>
      <c r="AF10" s="47" t="s">
        <v>435</v>
      </c>
      <c r="AG10" s="14" t="s">
        <v>1859</v>
      </c>
      <c r="AH10" s="17" t="s">
        <v>1819</v>
      </c>
      <c r="AI10" s="17" t="s">
        <v>1820</v>
      </c>
      <c r="AJ10" s="16" t="s">
        <v>70</v>
      </c>
    </row>
    <row r="11" ht="15.75" customHeight="1">
      <c r="A11" s="9">
        <f t="shared" si="1"/>
        <v>9</v>
      </c>
      <c r="B11" s="10" t="s">
        <v>1860</v>
      </c>
      <c r="C11" s="11" t="str">
        <f>IFERROR(__xludf.DUMMYFUNCTION("REGEXEXTRACT(B11,""[A-Z]{2,}"")"),"RNE")</f>
        <v>RNE</v>
      </c>
      <c r="D11" s="11" t="s">
        <v>298</v>
      </c>
      <c r="E11" s="11" t="s">
        <v>73</v>
      </c>
      <c r="F11" s="11" t="s">
        <v>50</v>
      </c>
      <c r="G11" s="11">
        <v>0.76</v>
      </c>
      <c r="H11" s="11">
        <v>32.0</v>
      </c>
      <c r="I11" s="13" t="s">
        <v>1861</v>
      </c>
      <c r="J11" s="54" t="s">
        <v>1860</v>
      </c>
      <c r="K11" s="16" t="s">
        <v>1862</v>
      </c>
      <c r="L11" s="45" t="s">
        <v>298</v>
      </c>
      <c r="M11" s="16" t="s">
        <v>1863</v>
      </c>
      <c r="N11" s="14" t="s">
        <v>1864</v>
      </c>
      <c r="O11" s="44">
        <v>2006.0</v>
      </c>
      <c r="P11" s="44" t="s">
        <v>1803</v>
      </c>
      <c r="Q11" s="14" t="s">
        <v>1804</v>
      </c>
      <c r="R11" s="44" t="s">
        <v>1805</v>
      </c>
      <c r="S11" s="44" t="s">
        <v>1806</v>
      </c>
      <c r="T11" s="44" t="s">
        <v>1807</v>
      </c>
      <c r="U11" s="14">
        <v>8.0</v>
      </c>
      <c r="Y11" s="47" t="s">
        <v>431</v>
      </c>
      <c r="Z11" s="47" t="s">
        <v>1808</v>
      </c>
      <c r="AA11" s="47" t="s">
        <v>1809</v>
      </c>
      <c r="AB11" s="47" t="s">
        <v>433</v>
      </c>
      <c r="AC11" s="47" t="s">
        <v>433</v>
      </c>
      <c r="AE11" s="47" t="s">
        <v>174</v>
      </c>
      <c r="AF11" s="47" t="s">
        <v>435</v>
      </c>
      <c r="AG11" s="14" t="s">
        <v>1865</v>
      </c>
      <c r="AH11" s="17" t="s">
        <v>1819</v>
      </c>
      <c r="AI11" s="17" t="s">
        <v>1820</v>
      </c>
      <c r="AJ11" s="16" t="s">
        <v>70</v>
      </c>
    </row>
    <row r="12" ht="15.75" customHeight="1">
      <c r="A12" s="9">
        <f t="shared" si="1"/>
        <v>10</v>
      </c>
      <c r="B12" s="10" t="s">
        <v>1866</v>
      </c>
      <c r="C12" s="11" t="str">
        <f>IFERROR(__xludf.DUMMYFUNCTION("REGEXEXTRACT(B12,""[A-Z]{2,}"")"),"RNE")</f>
        <v>RNE</v>
      </c>
      <c r="D12" s="11" t="s">
        <v>298</v>
      </c>
      <c r="E12" s="11" t="s">
        <v>73</v>
      </c>
      <c r="F12" s="11" t="s">
        <v>50</v>
      </c>
      <c r="G12" s="11">
        <v>0.75</v>
      </c>
      <c r="H12" s="11">
        <v>34.0</v>
      </c>
      <c r="I12" s="14" t="s">
        <v>1867</v>
      </c>
      <c r="J12" s="54" t="s">
        <v>1866</v>
      </c>
      <c r="K12" s="16" t="s">
        <v>1868</v>
      </c>
      <c r="L12" s="45" t="s">
        <v>298</v>
      </c>
      <c r="M12" s="14" t="s">
        <v>1869</v>
      </c>
      <c r="N12" s="14" t="s">
        <v>1870</v>
      </c>
      <c r="O12" s="44">
        <v>2006.0</v>
      </c>
      <c r="P12" s="44" t="s">
        <v>1803</v>
      </c>
      <c r="Q12" s="14" t="s">
        <v>1804</v>
      </c>
      <c r="R12" s="44" t="s">
        <v>1805</v>
      </c>
      <c r="S12" s="44" t="s">
        <v>1806</v>
      </c>
      <c r="T12" s="44" t="s">
        <v>1807</v>
      </c>
      <c r="U12" s="14">
        <v>8.0</v>
      </c>
      <c r="Y12" s="47" t="s">
        <v>431</v>
      </c>
      <c r="Z12" s="47" t="s">
        <v>1808</v>
      </c>
      <c r="AA12" s="47" t="s">
        <v>1809</v>
      </c>
      <c r="AB12" s="47" t="s">
        <v>433</v>
      </c>
      <c r="AC12" s="47" t="s">
        <v>433</v>
      </c>
      <c r="AE12" s="47" t="s">
        <v>174</v>
      </c>
      <c r="AF12" s="47" t="s">
        <v>435</v>
      </c>
      <c r="AG12" s="14" t="s">
        <v>1871</v>
      </c>
      <c r="AH12" s="17" t="s">
        <v>1819</v>
      </c>
      <c r="AI12" s="17" t="s">
        <v>1820</v>
      </c>
      <c r="AJ12" s="16" t="s">
        <v>70</v>
      </c>
    </row>
    <row r="13" ht="15.75" customHeight="1">
      <c r="A13" s="9">
        <f t="shared" si="1"/>
        <v>11</v>
      </c>
      <c r="B13" s="10" t="s">
        <v>1872</v>
      </c>
      <c r="C13" s="11" t="str">
        <f>IFERROR(__xludf.DUMMYFUNCTION("REGEXEXTRACT(B13,""[A-Z]{2,}"")"),"RNE")</f>
        <v>RNE</v>
      </c>
      <c r="D13" s="11" t="s">
        <v>298</v>
      </c>
      <c r="E13" s="11" t="s">
        <v>73</v>
      </c>
      <c r="F13" s="11" t="s">
        <v>50</v>
      </c>
      <c r="G13" s="11">
        <v>7.3</v>
      </c>
      <c r="H13" s="11">
        <v>16.0</v>
      </c>
      <c r="I13" s="14" t="s">
        <v>1873</v>
      </c>
      <c r="J13" s="54" t="s">
        <v>1872</v>
      </c>
      <c r="K13" s="16" t="s">
        <v>1874</v>
      </c>
      <c r="L13" s="45" t="s">
        <v>298</v>
      </c>
      <c r="M13" s="14" t="s">
        <v>1875</v>
      </c>
      <c r="N13" s="14" t="s">
        <v>1876</v>
      </c>
      <c r="O13" s="44">
        <v>2006.0</v>
      </c>
      <c r="P13" s="44" t="s">
        <v>1803</v>
      </c>
      <c r="Q13" s="14" t="s">
        <v>1804</v>
      </c>
      <c r="R13" s="44" t="s">
        <v>1805</v>
      </c>
      <c r="S13" s="44" t="s">
        <v>1806</v>
      </c>
      <c r="T13" s="44" t="s">
        <v>1807</v>
      </c>
      <c r="U13" s="14">
        <v>8.0</v>
      </c>
      <c r="Y13" s="47" t="s">
        <v>431</v>
      </c>
      <c r="Z13" s="47" t="s">
        <v>1808</v>
      </c>
      <c r="AA13" s="47" t="s">
        <v>1809</v>
      </c>
      <c r="AB13" s="47" t="s">
        <v>433</v>
      </c>
      <c r="AC13" s="47" t="s">
        <v>433</v>
      </c>
      <c r="AE13" s="47" t="s">
        <v>174</v>
      </c>
      <c r="AF13" s="47" t="s">
        <v>435</v>
      </c>
      <c r="AG13" s="14" t="s">
        <v>1877</v>
      </c>
      <c r="AH13" s="17" t="s">
        <v>1819</v>
      </c>
      <c r="AI13" s="17" t="s">
        <v>1820</v>
      </c>
      <c r="AJ13" s="16" t="s">
        <v>70</v>
      </c>
    </row>
    <row r="14" ht="15.75" customHeight="1">
      <c r="A14" s="9">
        <f t="shared" si="1"/>
        <v>12</v>
      </c>
      <c r="B14" s="10" t="s">
        <v>1878</v>
      </c>
      <c r="C14" s="11" t="str">
        <f>IFERROR(__xludf.DUMMYFUNCTION("REGEXEXTRACT(B14,""[A-Z]{2,}"")"),"RNE")</f>
        <v>RNE</v>
      </c>
      <c r="D14" s="11" t="s">
        <v>298</v>
      </c>
      <c r="E14" s="11" t="s">
        <v>73</v>
      </c>
      <c r="F14" s="11" t="s">
        <v>50</v>
      </c>
      <c r="G14" s="11">
        <v>0.44</v>
      </c>
      <c r="H14" s="11">
        <v>16.0</v>
      </c>
      <c r="I14" s="14" t="s">
        <v>1879</v>
      </c>
      <c r="J14" s="54" t="s">
        <v>1878</v>
      </c>
      <c r="K14" s="16" t="s">
        <v>1880</v>
      </c>
      <c r="L14" s="45" t="s">
        <v>298</v>
      </c>
      <c r="M14" s="14" t="s">
        <v>1881</v>
      </c>
      <c r="N14" s="14" t="s">
        <v>1882</v>
      </c>
      <c r="O14" s="44">
        <v>2021.0</v>
      </c>
      <c r="P14" s="44" t="s">
        <v>1803</v>
      </c>
      <c r="Q14" s="14" t="s">
        <v>1804</v>
      </c>
      <c r="R14" s="44" t="s">
        <v>1805</v>
      </c>
      <c r="S14" s="44" t="s">
        <v>1806</v>
      </c>
      <c r="T14" s="44" t="s">
        <v>1807</v>
      </c>
      <c r="U14" s="14">
        <v>8.0</v>
      </c>
      <c r="Y14" s="47" t="s">
        <v>431</v>
      </c>
      <c r="Z14" s="47" t="s">
        <v>1808</v>
      </c>
      <c r="AA14" s="47" t="s">
        <v>1809</v>
      </c>
      <c r="AB14" s="47" t="s">
        <v>433</v>
      </c>
      <c r="AC14" s="47" t="s">
        <v>433</v>
      </c>
      <c r="AE14" s="47" t="s">
        <v>174</v>
      </c>
      <c r="AF14" s="47" t="s">
        <v>435</v>
      </c>
      <c r="AG14" s="14" t="s">
        <v>1883</v>
      </c>
      <c r="AH14" s="17" t="s">
        <v>1884</v>
      </c>
      <c r="AI14" s="17" t="s">
        <v>1885</v>
      </c>
      <c r="AJ14" s="16" t="s">
        <v>70</v>
      </c>
    </row>
    <row r="15" ht="15.75" customHeight="1">
      <c r="A15" s="9">
        <f t="shared" si="1"/>
        <v>13</v>
      </c>
      <c r="B15" s="10" t="s">
        <v>1886</v>
      </c>
      <c r="C15" s="11" t="str">
        <f>IFERROR(__xludf.DUMMYFUNCTION("REGEXEXTRACT(B15,""[A-Z]{2,}"")"),"RNE")</f>
        <v>RNE</v>
      </c>
      <c r="D15" s="11" t="s">
        <v>298</v>
      </c>
      <c r="E15" s="11" t="s">
        <v>73</v>
      </c>
      <c r="F15" s="11" t="s">
        <v>50</v>
      </c>
      <c r="G15" s="11">
        <v>0.93</v>
      </c>
      <c r="H15" s="11">
        <v>40.0</v>
      </c>
      <c r="I15" s="14" t="s">
        <v>1887</v>
      </c>
      <c r="J15" s="54" t="s">
        <v>1886</v>
      </c>
      <c r="K15" s="16" t="s">
        <v>1888</v>
      </c>
      <c r="L15" s="45" t="s">
        <v>298</v>
      </c>
      <c r="M15" s="14" t="s">
        <v>1889</v>
      </c>
      <c r="N15" s="14" t="s">
        <v>1890</v>
      </c>
      <c r="O15" s="44">
        <v>2006.0</v>
      </c>
      <c r="P15" s="44" t="s">
        <v>1803</v>
      </c>
      <c r="Q15" s="14" t="s">
        <v>1804</v>
      </c>
      <c r="R15" s="44" t="s">
        <v>1805</v>
      </c>
      <c r="S15" s="44" t="s">
        <v>1806</v>
      </c>
      <c r="T15" s="44" t="s">
        <v>1807</v>
      </c>
      <c r="U15" s="14">
        <v>8.0</v>
      </c>
      <c r="Y15" s="47" t="s">
        <v>431</v>
      </c>
      <c r="Z15" s="47" t="s">
        <v>1808</v>
      </c>
      <c r="AA15" s="47" t="s">
        <v>1809</v>
      </c>
      <c r="AB15" s="47" t="s">
        <v>433</v>
      </c>
      <c r="AC15" s="47" t="s">
        <v>433</v>
      </c>
      <c r="AE15" s="47" t="s">
        <v>174</v>
      </c>
      <c r="AF15" s="47" t="s">
        <v>435</v>
      </c>
      <c r="AG15" s="14" t="s">
        <v>1891</v>
      </c>
      <c r="AH15" s="17" t="s">
        <v>1819</v>
      </c>
      <c r="AI15" s="17" t="s">
        <v>1820</v>
      </c>
      <c r="AJ15" s="16" t="s">
        <v>70</v>
      </c>
    </row>
    <row r="16" ht="15.75" customHeight="1">
      <c r="A16" s="9">
        <f t="shared" si="1"/>
        <v>14</v>
      </c>
      <c r="B16" s="40" t="s">
        <v>1892</v>
      </c>
      <c r="C16" s="11" t="str">
        <f>IFERROR(__xludf.DUMMYFUNCTION("REGEXEXTRACT(B16,""[A-Z]{2,}"")"),"RNE")</f>
        <v>RNE</v>
      </c>
      <c r="D16" s="11" t="s">
        <v>298</v>
      </c>
      <c r="E16" s="11" t="s">
        <v>73</v>
      </c>
      <c r="F16" s="11" t="s">
        <v>50</v>
      </c>
      <c r="G16" s="11">
        <v>4.15</v>
      </c>
      <c r="H16" s="11">
        <v>30.0</v>
      </c>
      <c r="I16" s="14" t="s">
        <v>1893</v>
      </c>
      <c r="J16" s="54" t="s">
        <v>1892</v>
      </c>
      <c r="K16" s="16" t="s">
        <v>1894</v>
      </c>
      <c r="L16" s="45" t="s">
        <v>298</v>
      </c>
      <c r="M16" s="14" t="s">
        <v>1895</v>
      </c>
      <c r="N16" s="14" t="s">
        <v>1896</v>
      </c>
      <c r="O16" s="44">
        <v>2021.0</v>
      </c>
      <c r="P16" s="44" t="s">
        <v>1803</v>
      </c>
      <c r="Q16" s="14" t="s">
        <v>1804</v>
      </c>
      <c r="R16" s="44" t="s">
        <v>1805</v>
      </c>
      <c r="S16" s="44" t="s">
        <v>1806</v>
      </c>
      <c r="T16" s="44" t="s">
        <v>1807</v>
      </c>
      <c r="U16" s="14">
        <v>8.0</v>
      </c>
      <c r="Y16" s="47" t="s">
        <v>431</v>
      </c>
      <c r="Z16" s="47" t="s">
        <v>1808</v>
      </c>
      <c r="AA16" s="47" t="s">
        <v>1809</v>
      </c>
      <c r="AB16" s="47" t="s">
        <v>433</v>
      </c>
      <c r="AC16" s="47" t="s">
        <v>433</v>
      </c>
      <c r="AE16" s="47" t="s">
        <v>174</v>
      </c>
      <c r="AF16" s="47" t="s">
        <v>435</v>
      </c>
      <c r="AG16" s="14" t="s">
        <v>1897</v>
      </c>
      <c r="AH16" s="17" t="s">
        <v>1884</v>
      </c>
      <c r="AI16" s="17" t="s">
        <v>1885</v>
      </c>
      <c r="AJ16" s="16" t="s">
        <v>70</v>
      </c>
    </row>
    <row r="17" ht="15.75" customHeight="1">
      <c r="A17" s="9">
        <f t="shared" si="1"/>
        <v>15</v>
      </c>
      <c r="B17" s="40" t="s">
        <v>1898</v>
      </c>
      <c r="C17" s="11" t="str">
        <f>IFERROR(__xludf.DUMMYFUNCTION("REGEXEXTRACT(B17,""[A-Z]{2,}"")"),"RNE")</f>
        <v>RNE</v>
      </c>
      <c r="D17" s="11" t="s">
        <v>298</v>
      </c>
      <c r="E17" s="11" t="s">
        <v>73</v>
      </c>
      <c r="F17" s="12" t="s">
        <v>315</v>
      </c>
      <c r="G17" s="11">
        <v>0.82</v>
      </c>
      <c r="H17" s="11">
        <v>20.0</v>
      </c>
      <c r="I17" s="13" t="s">
        <v>1899</v>
      </c>
      <c r="J17" s="54" t="s">
        <v>1898</v>
      </c>
      <c r="K17" s="16" t="s">
        <v>1900</v>
      </c>
      <c r="L17" s="45" t="s">
        <v>298</v>
      </c>
      <c r="M17" s="14" t="s">
        <v>1824</v>
      </c>
      <c r="N17" s="14" t="s">
        <v>1901</v>
      </c>
      <c r="O17" s="44">
        <v>2009.0</v>
      </c>
      <c r="P17" s="44" t="s">
        <v>1803</v>
      </c>
      <c r="Q17" s="14" t="s">
        <v>1804</v>
      </c>
      <c r="R17" s="44" t="s">
        <v>1805</v>
      </c>
      <c r="S17" s="44" t="s">
        <v>1806</v>
      </c>
      <c r="T17" s="44" t="s">
        <v>1807</v>
      </c>
      <c r="U17" s="14">
        <v>8.0</v>
      </c>
      <c r="Y17" s="47" t="s">
        <v>431</v>
      </c>
      <c r="Z17" s="47" t="s">
        <v>1808</v>
      </c>
      <c r="AA17" s="47" t="s">
        <v>1809</v>
      </c>
      <c r="AB17" s="47" t="s">
        <v>433</v>
      </c>
      <c r="AC17" s="47" t="s">
        <v>433</v>
      </c>
      <c r="AE17" s="47" t="s">
        <v>174</v>
      </c>
      <c r="AF17" s="47" t="s">
        <v>435</v>
      </c>
      <c r="AG17" s="14" t="s">
        <v>1902</v>
      </c>
      <c r="AH17" s="17" t="s">
        <v>1827</v>
      </c>
      <c r="AI17" s="17" t="s">
        <v>1828</v>
      </c>
      <c r="AJ17" s="16" t="s">
        <v>70</v>
      </c>
    </row>
    <row r="18" ht="15.75" customHeight="1">
      <c r="A18" s="9">
        <f t="shared" si="1"/>
        <v>16</v>
      </c>
      <c r="B18" s="40" t="s">
        <v>1903</v>
      </c>
      <c r="C18" s="11" t="str">
        <f>IFERROR(__xludf.DUMMYFUNCTION("REGEXEXTRACT(B18,""[A-Z]{2,}"")"),"RNE")</f>
        <v>RNE</v>
      </c>
      <c r="D18" s="11" t="s">
        <v>298</v>
      </c>
      <c r="E18" s="11" t="s">
        <v>73</v>
      </c>
      <c r="F18" s="11" t="s">
        <v>50</v>
      </c>
      <c r="G18" s="11">
        <v>0.28</v>
      </c>
      <c r="H18" s="11">
        <v>15.0</v>
      </c>
      <c r="I18" s="14" t="s">
        <v>1904</v>
      </c>
      <c r="J18" s="54" t="s">
        <v>1903</v>
      </c>
      <c r="K18" s="16" t="s">
        <v>1905</v>
      </c>
      <c r="L18" s="45" t="s">
        <v>298</v>
      </c>
      <c r="M18" s="14" t="s">
        <v>1801</v>
      </c>
      <c r="N18" s="14" t="s">
        <v>1906</v>
      </c>
      <c r="O18" s="44">
        <v>2006.0</v>
      </c>
      <c r="P18" s="44" t="s">
        <v>1803</v>
      </c>
      <c r="Q18" s="14" t="s">
        <v>1804</v>
      </c>
      <c r="R18" s="44" t="s">
        <v>1805</v>
      </c>
      <c r="S18" s="44" t="s">
        <v>1806</v>
      </c>
      <c r="T18" s="44" t="s">
        <v>1807</v>
      </c>
      <c r="U18" s="14">
        <v>8.0</v>
      </c>
      <c r="Y18" s="47" t="s">
        <v>431</v>
      </c>
      <c r="Z18" s="47" t="s">
        <v>1808</v>
      </c>
      <c r="AA18" s="47" t="s">
        <v>1809</v>
      </c>
      <c r="AB18" s="47" t="s">
        <v>433</v>
      </c>
      <c r="AC18" s="47" t="s">
        <v>433</v>
      </c>
      <c r="AE18" s="47" t="s">
        <v>174</v>
      </c>
      <c r="AF18" s="47" t="s">
        <v>435</v>
      </c>
      <c r="AG18" s="14" t="s">
        <v>1810</v>
      </c>
      <c r="AH18" s="17" t="s">
        <v>1819</v>
      </c>
      <c r="AI18" s="17" t="s">
        <v>1820</v>
      </c>
      <c r="AJ18" s="16" t="s">
        <v>70</v>
      </c>
    </row>
    <row r="19" ht="15.75" customHeight="1">
      <c r="A19" s="9">
        <f t="shared" si="1"/>
        <v>17</v>
      </c>
      <c r="B19" s="40" t="s">
        <v>1907</v>
      </c>
      <c r="C19" s="11" t="str">
        <f>IFERROR(__xludf.DUMMYFUNCTION("REGEXEXTRACT(B19,""[A-Z]{2,}"")"),"RNE")</f>
        <v>RNE</v>
      </c>
      <c r="D19" s="11" t="s">
        <v>298</v>
      </c>
      <c r="E19" s="11" t="s">
        <v>73</v>
      </c>
      <c r="F19" s="11" t="s">
        <v>50</v>
      </c>
      <c r="G19" s="11">
        <v>14.45</v>
      </c>
      <c r="H19" s="11">
        <v>25.0</v>
      </c>
      <c r="I19" s="14" t="s">
        <v>1908</v>
      </c>
      <c r="J19" s="54" t="s">
        <v>1907</v>
      </c>
      <c r="K19" s="16" t="s">
        <v>1909</v>
      </c>
      <c r="L19" s="45" t="s">
        <v>298</v>
      </c>
      <c r="M19" s="14" t="s">
        <v>1857</v>
      </c>
      <c r="N19" s="14" t="s">
        <v>1910</v>
      </c>
      <c r="O19" s="44">
        <v>2019.0</v>
      </c>
      <c r="P19" s="44" t="s">
        <v>1803</v>
      </c>
      <c r="Q19" s="14" t="s">
        <v>1804</v>
      </c>
      <c r="R19" s="44" t="s">
        <v>1805</v>
      </c>
      <c r="S19" s="44" t="s">
        <v>1806</v>
      </c>
      <c r="T19" s="44" t="s">
        <v>1807</v>
      </c>
      <c r="U19" s="14">
        <v>8.0</v>
      </c>
      <c r="Y19" s="47" t="s">
        <v>431</v>
      </c>
      <c r="Z19" s="47" t="s">
        <v>1808</v>
      </c>
      <c r="AA19" s="47" t="s">
        <v>1809</v>
      </c>
      <c r="AB19" s="47" t="s">
        <v>433</v>
      </c>
      <c r="AC19" s="47" t="s">
        <v>433</v>
      </c>
      <c r="AE19" s="47" t="s">
        <v>174</v>
      </c>
      <c r="AF19" s="47" t="s">
        <v>435</v>
      </c>
      <c r="AG19" s="14" t="s">
        <v>1911</v>
      </c>
      <c r="AH19" s="17" t="s">
        <v>1912</v>
      </c>
      <c r="AI19" s="17" t="s">
        <v>1912</v>
      </c>
      <c r="AJ19" s="16" t="s">
        <v>70</v>
      </c>
    </row>
    <row r="20" ht="15.75" customHeight="1">
      <c r="A20" s="9">
        <f t="shared" si="1"/>
        <v>18</v>
      </c>
      <c r="B20" s="40" t="s">
        <v>1913</v>
      </c>
      <c r="C20" s="11" t="str">
        <f>IFERROR(__xludf.DUMMYFUNCTION("REGEXEXTRACT(B20,""[A-Z]{2,}"")"),"RNE")</f>
        <v>RNE</v>
      </c>
      <c r="D20" s="11" t="s">
        <v>298</v>
      </c>
      <c r="E20" s="11" t="s">
        <v>73</v>
      </c>
      <c r="F20" s="11" t="s">
        <v>50</v>
      </c>
      <c r="G20" s="11">
        <v>0.66</v>
      </c>
      <c r="H20" s="11">
        <v>22.0</v>
      </c>
      <c r="I20" s="14" t="s">
        <v>1914</v>
      </c>
      <c r="J20" s="54" t="s">
        <v>1913</v>
      </c>
      <c r="K20" s="55" t="s">
        <v>1915</v>
      </c>
      <c r="L20" s="45" t="s">
        <v>298</v>
      </c>
      <c r="M20" s="16" t="s">
        <v>1916</v>
      </c>
      <c r="N20" s="14" t="s">
        <v>1917</v>
      </c>
      <c r="O20" s="44">
        <v>2006.0</v>
      </c>
      <c r="P20" s="44" t="s">
        <v>1803</v>
      </c>
      <c r="Q20" s="14" t="s">
        <v>1804</v>
      </c>
      <c r="R20" s="44" t="s">
        <v>1805</v>
      </c>
      <c r="S20" s="44" t="s">
        <v>1806</v>
      </c>
      <c r="T20" s="44" t="s">
        <v>1807</v>
      </c>
      <c r="U20" s="14">
        <v>8.0</v>
      </c>
      <c r="Y20" s="47" t="s">
        <v>431</v>
      </c>
      <c r="Z20" s="47" t="s">
        <v>1808</v>
      </c>
      <c r="AA20" s="47" t="s">
        <v>1809</v>
      </c>
      <c r="AB20" s="47" t="s">
        <v>433</v>
      </c>
      <c r="AC20" s="47" t="s">
        <v>433</v>
      </c>
      <c r="AE20" s="47" t="s">
        <v>174</v>
      </c>
      <c r="AF20" s="47" t="s">
        <v>435</v>
      </c>
      <c r="AG20" s="14" t="s">
        <v>1918</v>
      </c>
      <c r="AH20" s="17" t="s">
        <v>1819</v>
      </c>
      <c r="AI20" s="17" t="s">
        <v>1820</v>
      </c>
      <c r="AJ20" s="16" t="s">
        <v>70</v>
      </c>
    </row>
    <row r="21" ht="15.75" customHeight="1">
      <c r="A21" s="9">
        <f t="shared" si="1"/>
        <v>19</v>
      </c>
      <c r="B21" s="40" t="s">
        <v>1919</v>
      </c>
      <c r="C21" s="11" t="str">
        <f>IFERROR(__xludf.DUMMYFUNCTION("REGEXEXTRACT(B21,""[A-Z]{2,}"")"),"RNE")</f>
        <v>RNE</v>
      </c>
      <c r="D21" s="11" t="s">
        <v>298</v>
      </c>
      <c r="E21" s="11" t="s">
        <v>73</v>
      </c>
      <c r="F21" s="11" t="s">
        <v>50</v>
      </c>
      <c r="G21" s="11">
        <v>0.89</v>
      </c>
      <c r="H21" s="11">
        <v>60.0</v>
      </c>
      <c r="I21" s="14" t="s">
        <v>1920</v>
      </c>
      <c r="J21" s="54" t="s">
        <v>1919</v>
      </c>
      <c r="K21" s="16" t="s">
        <v>1921</v>
      </c>
      <c r="L21" s="45" t="s">
        <v>298</v>
      </c>
      <c r="M21" s="14" t="s">
        <v>1922</v>
      </c>
      <c r="N21" s="14" t="s">
        <v>1923</v>
      </c>
      <c r="O21" s="44">
        <v>2006.0</v>
      </c>
      <c r="P21" s="44" t="s">
        <v>1803</v>
      </c>
      <c r="Q21" s="14" t="s">
        <v>1804</v>
      </c>
      <c r="R21" s="44" t="s">
        <v>1805</v>
      </c>
      <c r="S21" s="44" t="s">
        <v>1806</v>
      </c>
      <c r="T21" s="44" t="s">
        <v>1807</v>
      </c>
      <c r="U21" s="14">
        <v>8.0</v>
      </c>
      <c r="Y21" s="47" t="s">
        <v>431</v>
      </c>
      <c r="Z21" s="47" t="s">
        <v>1808</v>
      </c>
      <c r="AA21" s="47" t="s">
        <v>1809</v>
      </c>
      <c r="AB21" s="47" t="s">
        <v>433</v>
      </c>
      <c r="AC21" s="47" t="s">
        <v>433</v>
      </c>
      <c r="AE21" s="47" t="s">
        <v>174</v>
      </c>
      <c r="AF21" s="47" t="s">
        <v>435</v>
      </c>
      <c r="AG21" s="14" t="s">
        <v>1924</v>
      </c>
      <c r="AH21" s="17" t="s">
        <v>1819</v>
      </c>
      <c r="AI21" s="17" t="s">
        <v>1820</v>
      </c>
      <c r="AJ21" s="16" t="s">
        <v>70</v>
      </c>
    </row>
    <row r="22" ht="15.75" customHeight="1">
      <c r="A22" s="9">
        <f t="shared" si="1"/>
        <v>20</v>
      </c>
      <c r="B22" s="40" t="s">
        <v>1925</v>
      </c>
      <c r="C22" s="11" t="str">
        <f>IFERROR(__xludf.DUMMYFUNCTION("REGEXEXTRACT(B22,""[A-Z]{2,}"")"),"RNE")</f>
        <v>RNE</v>
      </c>
      <c r="D22" s="11" t="s">
        <v>298</v>
      </c>
      <c r="E22" s="11" t="s">
        <v>73</v>
      </c>
      <c r="F22" s="12" t="s">
        <v>315</v>
      </c>
      <c r="G22" s="11">
        <v>0.87</v>
      </c>
      <c r="H22" s="11">
        <v>20.0</v>
      </c>
      <c r="I22" s="13" t="s">
        <v>1926</v>
      </c>
      <c r="J22" s="54" t="s">
        <v>1925</v>
      </c>
      <c r="K22" s="16" t="s">
        <v>1927</v>
      </c>
      <c r="L22" s="45" t="s">
        <v>298</v>
      </c>
      <c r="M22" s="16" t="s">
        <v>1838</v>
      </c>
      <c r="N22" s="14" t="s">
        <v>1928</v>
      </c>
      <c r="O22" s="44">
        <v>2006.0</v>
      </c>
      <c r="P22" s="44" t="s">
        <v>1803</v>
      </c>
      <c r="Q22" s="14" t="s">
        <v>1804</v>
      </c>
      <c r="R22" s="44" t="s">
        <v>1805</v>
      </c>
      <c r="S22" s="44" t="s">
        <v>1806</v>
      </c>
      <c r="T22" s="44" t="s">
        <v>1807</v>
      </c>
      <c r="U22" s="14">
        <v>8.0</v>
      </c>
      <c r="Y22" s="47" t="s">
        <v>431</v>
      </c>
      <c r="Z22" s="47" t="s">
        <v>1808</v>
      </c>
      <c r="AA22" s="47" t="s">
        <v>1809</v>
      </c>
      <c r="AB22" s="47" t="s">
        <v>433</v>
      </c>
      <c r="AC22" s="47" t="s">
        <v>433</v>
      </c>
      <c r="AE22" s="47" t="s">
        <v>174</v>
      </c>
      <c r="AF22" s="47" t="s">
        <v>435</v>
      </c>
      <c r="AG22" s="14" t="s">
        <v>1929</v>
      </c>
      <c r="AH22" s="17" t="s">
        <v>1819</v>
      </c>
      <c r="AI22" s="17" t="s">
        <v>1820</v>
      </c>
      <c r="AJ22" s="16" t="s">
        <v>70</v>
      </c>
    </row>
    <row r="23" ht="15.75" customHeight="1">
      <c r="A23" s="9">
        <f t="shared" si="1"/>
        <v>21</v>
      </c>
      <c r="B23" s="40" t="s">
        <v>1930</v>
      </c>
      <c r="C23" s="11" t="str">
        <f>IFERROR(__xludf.DUMMYFUNCTION("REGEXEXTRACT(B23,""[A-Z]{2,}"")"),"RNE")</f>
        <v>RNE</v>
      </c>
      <c r="D23" s="11" t="s">
        <v>298</v>
      </c>
      <c r="E23" s="11" t="s">
        <v>73</v>
      </c>
      <c r="F23" s="11" t="s">
        <v>50</v>
      </c>
      <c r="G23" s="11">
        <v>0.53</v>
      </c>
      <c r="H23" s="11">
        <v>16.0</v>
      </c>
      <c r="I23" s="14" t="s">
        <v>1931</v>
      </c>
      <c r="J23" s="54" t="s">
        <v>1930</v>
      </c>
      <c r="K23" s="14" t="s">
        <v>1932</v>
      </c>
      <c r="L23" s="45" t="s">
        <v>298</v>
      </c>
      <c r="M23" s="14" t="s">
        <v>1875</v>
      </c>
      <c r="N23" s="14" t="s">
        <v>1933</v>
      </c>
      <c r="O23" s="44">
        <v>2012.0</v>
      </c>
      <c r="P23" s="44" t="s">
        <v>1803</v>
      </c>
      <c r="Q23" s="14" t="s">
        <v>1804</v>
      </c>
      <c r="R23" s="44" t="s">
        <v>1805</v>
      </c>
      <c r="S23" s="44" t="s">
        <v>1806</v>
      </c>
      <c r="T23" s="44" t="s">
        <v>1807</v>
      </c>
      <c r="U23" s="14">
        <v>8.0</v>
      </c>
      <c r="Y23" s="47" t="s">
        <v>431</v>
      </c>
      <c r="Z23" s="47" t="s">
        <v>1808</v>
      </c>
      <c r="AA23" s="47" t="s">
        <v>1809</v>
      </c>
      <c r="AB23" s="47" t="s">
        <v>433</v>
      </c>
      <c r="AC23" s="47" t="s">
        <v>433</v>
      </c>
      <c r="AE23" s="47" t="s">
        <v>174</v>
      </c>
      <c r="AF23" s="47" t="s">
        <v>435</v>
      </c>
      <c r="AG23" s="14" t="s">
        <v>1877</v>
      </c>
      <c r="AH23" s="17" t="s">
        <v>1811</v>
      </c>
      <c r="AI23" s="17" t="s">
        <v>1812</v>
      </c>
      <c r="AJ23" s="16" t="s">
        <v>70</v>
      </c>
    </row>
    <row r="24" ht="15.75" customHeight="1">
      <c r="A24" s="9">
        <f t="shared" si="1"/>
        <v>22</v>
      </c>
      <c r="B24" s="40" t="s">
        <v>1934</v>
      </c>
      <c r="C24" s="11" t="str">
        <f>IFERROR(__xludf.DUMMYFUNCTION("REGEXEXTRACT(B24,""[A-Z]{2,}"")"),"RNE")</f>
        <v>RNE</v>
      </c>
      <c r="D24" s="11" t="s">
        <v>298</v>
      </c>
      <c r="E24" s="11" t="s">
        <v>73</v>
      </c>
      <c r="F24" s="11" t="s">
        <v>50</v>
      </c>
      <c r="G24" s="11">
        <v>0.55</v>
      </c>
      <c r="H24" s="11">
        <v>28.0</v>
      </c>
      <c r="I24" s="13" t="s">
        <v>1935</v>
      </c>
      <c r="J24" s="54" t="s">
        <v>1934</v>
      </c>
      <c r="K24" s="16" t="s">
        <v>1936</v>
      </c>
      <c r="L24" s="45" t="s">
        <v>298</v>
      </c>
      <c r="M24" s="16" t="s">
        <v>1937</v>
      </c>
      <c r="N24" s="14" t="s">
        <v>1938</v>
      </c>
      <c r="O24" s="44">
        <v>2006.0</v>
      </c>
      <c r="P24" s="44" t="s">
        <v>1803</v>
      </c>
      <c r="Q24" s="14" t="s">
        <v>1804</v>
      </c>
      <c r="R24" s="44" t="s">
        <v>1805</v>
      </c>
      <c r="S24" s="44" t="s">
        <v>1806</v>
      </c>
      <c r="T24" s="44" t="s">
        <v>1807</v>
      </c>
      <c r="U24" s="14">
        <v>8.0</v>
      </c>
      <c r="Y24" s="47" t="s">
        <v>431</v>
      </c>
      <c r="Z24" s="47" t="s">
        <v>1808</v>
      </c>
      <c r="AA24" s="47" t="s">
        <v>1809</v>
      </c>
      <c r="AB24" s="47" t="s">
        <v>433</v>
      </c>
      <c r="AC24" s="47" t="s">
        <v>433</v>
      </c>
      <c r="AE24" s="47" t="s">
        <v>174</v>
      </c>
      <c r="AF24" s="47" t="s">
        <v>435</v>
      </c>
      <c r="AG24" s="14" t="s">
        <v>1939</v>
      </c>
      <c r="AH24" s="17" t="s">
        <v>1819</v>
      </c>
      <c r="AI24" s="17" t="s">
        <v>1820</v>
      </c>
      <c r="AJ24" s="16" t="s">
        <v>70</v>
      </c>
    </row>
    <row r="25" ht="15.75" customHeight="1">
      <c r="A25" s="9">
        <f t="shared" si="1"/>
        <v>23</v>
      </c>
      <c r="B25" s="40" t="s">
        <v>1940</v>
      </c>
      <c r="C25" s="11" t="str">
        <f>IFERROR(__xludf.DUMMYFUNCTION("REGEXEXTRACT(B25,""[A-Z]{2,}"")"),"RNE")</f>
        <v>RNE</v>
      </c>
      <c r="D25" s="11" t="s">
        <v>298</v>
      </c>
      <c r="E25" s="11" t="s">
        <v>73</v>
      </c>
      <c r="F25" s="12" t="s">
        <v>315</v>
      </c>
      <c r="G25" s="11">
        <v>0.41</v>
      </c>
      <c r="H25" s="11">
        <v>27.0</v>
      </c>
      <c r="I25" s="13" t="s">
        <v>1941</v>
      </c>
      <c r="J25" s="54" t="s">
        <v>1940</v>
      </c>
      <c r="K25" s="16" t="s">
        <v>1942</v>
      </c>
      <c r="L25" s="45" t="s">
        <v>298</v>
      </c>
      <c r="M25" s="16" t="s">
        <v>1943</v>
      </c>
      <c r="N25" s="14" t="s">
        <v>1944</v>
      </c>
      <c r="O25" s="44">
        <v>2006.0</v>
      </c>
      <c r="P25" s="44" t="s">
        <v>1803</v>
      </c>
      <c r="Q25" s="14" t="s">
        <v>1804</v>
      </c>
      <c r="R25" s="44" t="s">
        <v>1805</v>
      </c>
      <c r="S25" s="44" t="s">
        <v>1806</v>
      </c>
      <c r="T25" s="44" t="s">
        <v>1807</v>
      </c>
      <c r="U25" s="14">
        <v>8.0</v>
      </c>
      <c r="Y25" s="47" t="s">
        <v>431</v>
      </c>
      <c r="Z25" s="47" t="s">
        <v>1808</v>
      </c>
      <c r="AA25" s="47" t="s">
        <v>1809</v>
      </c>
      <c r="AB25" s="47" t="s">
        <v>433</v>
      </c>
      <c r="AC25" s="47" t="s">
        <v>433</v>
      </c>
      <c r="AE25" s="47" t="s">
        <v>174</v>
      </c>
      <c r="AF25" s="47" t="s">
        <v>435</v>
      </c>
      <c r="AG25" s="14" t="s">
        <v>1945</v>
      </c>
      <c r="AH25" s="17" t="s">
        <v>1819</v>
      </c>
      <c r="AI25" s="17" t="s">
        <v>1820</v>
      </c>
      <c r="AJ25" s="16" t="s">
        <v>70</v>
      </c>
    </row>
    <row r="26" ht="15.75" customHeight="1">
      <c r="A26" s="9">
        <f t="shared" si="1"/>
        <v>24</v>
      </c>
      <c r="B26" s="40" t="s">
        <v>1946</v>
      </c>
      <c r="C26" s="11" t="str">
        <f>IFERROR(__xludf.DUMMYFUNCTION("REGEXEXTRACT(B26,""[A-Z]{2,}"")"),"RNE")</f>
        <v>RNE</v>
      </c>
      <c r="D26" s="11" t="s">
        <v>298</v>
      </c>
      <c r="E26" s="11" t="s">
        <v>73</v>
      </c>
      <c r="F26" s="11" t="s">
        <v>50</v>
      </c>
      <c r="G26" s="11">
        <v>0.87</v>
      </c>
      <c r="H26" s="11">
        <v>20.0</v>
      </c>
      <c r="I26" s="13" t="s">
        <v>1947</v>
      </c>
      <c r="J26" s="54" t="s">
        <v>1946</v>
      </c>
      <c r="K26" s="16" t="s">
        <v>1948</v>
      </c>
      <c r="L26" s="45" t="s">
        <v>298</v>
      </c>
      <c r="M26" s="14" t="s">
        <v>1949</v>
      </c>
      <c r="N26" s="14" t="s">
        <v>1950</v>
      </c>
      <c r="O26" s="44">
        <v>2006.0</v>
      </c>
      <c r="P26" s="44" t="s">
        <v>1803</v>
      </c>
      <c r="Q26" s="14" t="s">
        <v>1804</v>
      </c>
      <c r="R26" s="44" t="s">
        <v>1805</v>
      </c>
      <c r="S26" s="44" t="s">
        <v>1806</v>
      </c>
      <c r="T26" s="44" t="s">
        <v>1807</v>
      </c>
      <c r="U26" s="14">
        <v>8.0</v>
      </c>
      <c r="Y26" s="47" t="s">
        <v>431</v>
      </c>
      <c r="Z26" s="47" t="s">
        <v>1808</v>
      </c>
      <c r="AA26" s="47" t="s">
        <v>1809</v>
      </c>
      <c r="AB26" s="47" t="s">
        <v>433</v>
      </c>
      <c r="AC26" s="47" t="s">
        <v>433</v>
      </c>
      <c r="AE26" s="47" t="s">
        <v>174</v>
      </c>
      <c r="AF26" s="47" t="s">
        <v>435</v>
      </c>
      <c r="AG26" s="14" t="s">
        <v>1951</v>
      </c>
      <c r="AH26" s="17" t="s">
        <v>1819</v>
      </c>
      <c r="AI26" s="17" t="s">
        <v>1820</v>
      </c>
      <c r="AJ26" s="16" t="s">
        <v>70</v>
      </c>
    </row>
    <row r="27" ht="15.75" customHeight="1">
      <c r="A27" s="9">
        <f t="shared" si="1"/>
        <v>25</v>
      </c>
      <c r="B27" s="40" t="s">
        <v>1952</v>
      </c>
      <c r="C27" s="11" t="str">
        <f>IFERROR(__xludf.DUMMYFUNCTION("REGEXEXTRACT(B27,""[A-Z]{2,}"")"),"RNE")</f>
        <v>RNE</v>
      </c>
      <c r="D27" s="11" t="s">
        <v>298</v>
      </c>
      <c r="E27" s="11" t="s">
        <v>73</v>
      </c>
      <c r="F27" s="11" t="s">
        <v>50</v>
      </c>
      <c r="G27" s="11">
        <v>0.39</v>
      </c>
      <c r="H27" s="11">
        <v>12.0</v>
      </c>
      <c r="I27" s="14" t="s">
        <v>1953</v>
      </c>
      <c r="J27" s="54" t="s">
        <v>1952</v>
      </c>
      <c r="K27" s="14" t="s">
        <v>1954</v>
      </c>
      <c r="L27" s="45" t="s">
        <v>298</v>
      </c>
      <c r="M27" s="14" t="s">
        <v>1955</v>
      </c>
      <c r="N27" s="14" t="s">
        <v>1956</v>
      </c>
      <c r="O27" s="44">
        <v>2021.0</v>
      </c>
      <c r="P27" s="44" t="s">
        <v>1803</v>
      </c>
      <c r="Q27" s="14" t="s">
        <v>1804</v>
      </c>
      <c r="R27" s="44" t="s">
        <v>1805</v>
      </c>
      <c r="S27" s="44" t="s">
        <v>1806</v>
      </c>
      <c r="T27" s="44" t="s">
        <v>1807</v>
      </c>
      <c r="U27" s="14">
        <v>8.0</v>
      </c>
      <c r="Y27" s="47" t="s">
        <v>431</v>
      </c>
      <c r="Z27" s="47" t="s">
        <v>1808</v>
      </c>
      <c r="AA27" s="47" t="s">
        <v>1809</v>
      </c>
      <c r="AB27" s="47" t="s">
        <v>433</v>
      </c>
      <c r="AC27" s="47" t="s">
        <v>433</v>
      </c>
      <c r="AE27" s="47" t="s">
        <v>174</v>
      </c>
      <c r="AF27" s="47" t="s">
        <v>435</v>
      </c>
      <c r="AG27" s="14" t="s">
        <v>1957</v>
      </c>
      <c r="AH27" s="17" t="s">
        <v>1884</v>
      </c>
      <c r="AI27" s="17" t="s">
        <v>1885</v>
      </c>
      <c r="AJ27" s="16" t="s">
        <v>70</v>
      </c>
    </row>
    <row r="28" ht="15.75" customHeight="1">
      <c r="A28" s="9">
        <f t="shared" si="1"/>
        <v>26</v>
      </c>
      <c r="B28" s="40" t="s">
        <v>1958</v>
      </c>
      <c r="C28" s="11" t="str">
        <f>IFERROR(__xludf.DUMMYFUNCTION("REGEXEXTRACT(B28,""[A-Z]{2,}"")"),"RNE")</f>
        <v>RNE</v>
      </c>
      <c r="D28" s="11" t="s">
        <v>298</v>
      </c>
      <c r="E28" s="11" t="s">
        <v>73</v>
      </c>
      <c r="F28" s="11" t="s">
        <v>50</v>
      </c>
      <c r="G28" s="11">
        <v>0.53</v>
      </c>
      <c r="H28" s="11">
        <v>12.0</v>
      </c>
      <c r="I28" s="14" t="s">
        <v>1959</v>
      </c>
      <c r="J28" s="54" t="s">
        <v>1958</v>
      </c>
      <c r="K28" s="14" t="s">
        <v>1960</v>
      </c>
      <c r="L28" s="45" t="s">
        <v>298</v>
      </c>
      <c r="M28" s="14" t="s">
        <v>1961</v>
      </c>
      <c r="N28" s="14" t="s">
        <v>1962</v>
      </c>
      <c r="O28" s="44">
        <v>2020.0</v>
      </c>
      <c r="P28" s="44" t="s">
        <v>1803</v>
      </c>
      <c r="Q28" s="14" t="s">
        <v>1804</v>
      </c>
      <c r="R28" s="44" t="s">
        <v>1805</v>
      </c>
      <c r="S28" s="44" t="s">
        <v>1806</v>
      </c>
      <c r="T28" s="44" t="s">
        <v>1807</v>
      </c>
      <c r="U28" s="14">
        <v>8.0</v>
      </c>
      <c r="Y28" s="47" t="s">
        <v>431</v>
      </c>
      <c r="Z28" s="47" t="s">
        <v>1808</v>
      </c>
      <c r="AA28" s="47" t="s">
        <v>1809</v>
      </c>
      <c r="AB28" s="47" t="s">
        <v>433</v>
      </c>
      <c r="AC28" s="47" t="s">
        <v>433</v>
      </c>
      <c r="AE28" s="47" t="s">
        <v>174</v>
      </c>
      <c r="AF28" s="47" t="s">
        <v>435</v>
      </c>
      <c r="AG28" s="14" t="s">
        <v>1963</v>
      </c>
      <c r="AH28" s="17" t="s">
        <v>1964</v>
      </c>
      <c r="AI28" s="17" t="s">
        <v>1965</v>
      </c>
      <c r="AJ28" s="16" t="s">
        <v>70</v>
      </c>
    </row>
    <row r="29" ht="15.75" customHeight="1">
      <c r="A29" s="9">
        <f t="shared" si="1"/>
        <v>27</v>
      </c>
      <c r="B29" s="40" t="s">
        <v>1966</v>
      </c>
      <c r="C29" s="11" t="str">
        <f>IFERROR(__xludf.DUMMYFUNCTION("REGEXEXTRACT(B29,""[A-Z]{2,}"")"),"RNE")</f>
        <v>RNE</v>
      </c>
      <c r="D29" s="11" t="s">
        <v>298</v>
      </c>
      <c r="E29" s="11" t="s">
        <v>73</v>
      </c>
      <c r="F29" s="12" t="s">
        <v>315</v>
      </c>
      <c r="G29" s="11">
        <v>0.89</v>
      </c>
      <c r="H29" s="11">
        <v>40.0</v>
      </c>
      <c r="I29" s="13" t="s">
        <v>1967</v>
      </c>
      <c r="J29" s="54" t="s">
        <v>1966</v>
      </c>
      <c r="K29" s="16" t="s">
        <v>1968</v>
      </c>
      <c r="L29" s="45" t="s">
        <v>298</v>
      </c>
      <c r="M29" s="16" t="s">
        <v>1816</v>
      </c>
      <c r="N29" s="14" t="s">
        <v>1969</v>
      </c>
      <c r="O29" s="44">
        <v>2006.0</v>
      </c>
      <c r="P29" s="44" t="s">
        <v>1803</v>
      </c>
      <c r="Q29" s="14" t="s">
        <v>1804</v>
      </c>
      <c r="R29" s="44" t="s">
        <v>1805</v>
      </c>
      <c r="S29" s="44" t="s">
        <v>1806</v>
      </c>
      <c r="T29" s="44" t="s">
        <v>1807</v>
      </c>
      <c r="U29" s="14">
        <v>8.0</v>
      </c>
      <c r="Y29" s="47" t="s">
        <v>431</v>
      </c>
      <c r="Z29" s="47" t="s">
        <v>1808</v>
      </c>
      <c r="AA29" s="47" t="s">
        <v>1809</v>
      </c>
      <c r="AB29" s="47" t="s">
        <v>433</v>
      </c>
      <c r="AC29" s="47" t="s">
        <v>433</v>
      </c>
      <c r="AE29" s="47" t="s">
        <v>174</v>
      </c>
      <c r="AF29" s="47" t="s">
        <v>435</v>
      </c>
      <c r="AG29" s="14" t="s">
        <v>1970</v>
      </c>
      <c r="AH29" s="17" t="s">
        <v>1819</v>
      </c>
      <c r="AI29" s="17" t="s">
        <v>1820</v>
      </c>
      <c r="AJ29" s="16" t="s">
        <v>70</v>
      </c>
    </row>
    <row r="30" ht="12.75" customHeight="1">
      <c r="A30" s="9">
        <f t="shared" si="1"/>
        <v>28</v>
      </c>
      <c r="B30" s="40" t="s">
        <v>1971</v>
      </c>
      <c r="C30" s="11" t="str">
        <f>IFERROR(__xludf.DUMMYFUNCTION("REGEXEXTRACT(B30,""[A-Z]{2,}"")"),"RNE")</f>
        <v>RNE</v>
      </c>
      <c r="D30" s="11" t="s">
        <v>298</v>
      </c>
      <c r="E30" s="11" t="s">
        <v>73</v>
      </c>
      <c r="F30" s="11" t="s">
        <v>50</v>
      </c>
      <c r="G30" s="11">
        <v>7.95</v>
      </c>
      <c r="H30" s="11">
        <v>36.0</v>
      </c>
      <c r="I30" s="14" t="s">
        <v>1972</v>
      </c>
      <c r="J30" s="54" t="s">
        <v>1971</v>
      </c>
      <c r="K30" s="14" t="s">
        <v>1973</v>
      </c>
      <c r="L30" s="45" t="s">
        <v>298</v>
      </c>
      <c r="M30" s="14" t="s">
        <v>1857</v>
      </c>
      <c r="N30" s="14" t="s">
        <v>1974</v>
      </c>
      <c r="O30" s="44">
        <v>2023.0</v>
      </c>
      <c r="P30" s="44" t="s">
        <v>1803</v>
      </c>
      <c r="Q30" s="14" t="s">
        <v>1804</v>
      </c>
      <c r="R30" s="44" t="s">
        <v>1805</v>
      </c>
      <c r="S30" s="44" t="s">
        <v>1806</v>
      </c>
      <c r="T30" s="44" t="s">
        <v>1807</v>
      </c>
      <c r="U30" s="14">
        <v>8.0</v>
      </c>
      <c r="Y30" s="47" t="s">
        <v>431</v>
      </c>
      <c r="Z30" s="47" t="s">
        <v>1808</v>
      </c>
      <c r="AA30" s="47" t="s">
        <v>1809</v>
      </c>
      <c r="AB30" s="47" t="s">
        <v>433</v>
      </c>
      <c r="AC30" s="47" t="s">
        <v>433</v>
      </c>
      <c r="AE30" s="47" t="s">
        <v>174</v>
      </c>
      <c r="AF30" s="47" t="s">
        <v>435</v>
      </c>
      <c r="AG30" s="14" t="s">
        <v>1911</v>
      </c>
      <c r="AH30" s="17" t="s">
        <v>1975</v>
      </c>
      <c r="AI30" s="17" t="s">
        <v>1976</v>
      </c>
      <c r="AJ30" s="16" t="s">
        <v>70</v>
      </c>
    </row>
    <row r="31" ht="15.75" customHeight="1">
      <c r="A31" s="9">
        <f t="shared" si="1"/>
        <v>29</v>
      </c>
      <c r="B31" s="40" t="s">
        <v>1977</v>
      </c>
      <c r="C31" s="11" t="str">
        <f>IFERROR(__xludf.DUMMYFUNCTION("REGEXEXTRACT(B31,""[A-Z]{2,}"")"),"RNE")</f>
        <v>RNE</v>
      </c>
      <c r="D31" s="11" t="s">
        <v>298</v>
      </c>
      <c r="E31" s="11" t="s">
        <v>73</v>
      </c>
      <c r="F31" s="11" t="s">
        <v>50</v>
      </c>
      <c r="G31" s="11">
        <v>1.11</v>
      </c>
      <c r="H31" s="11">
        <v>24.0</v>
      </c>
      <c r="I31" s="14" t="s">
        <v>1978</v>
      </c>
      <c r="J31" s="40" t="s">
        <v>1977</v>
      </c>
      <c r="K31" s="14" t="s">
        <v>1979</v>
      </c>
      <c r="L31" s="45" t="s">
        <v>298</v>
      </c>
      <c r="M31" s="14" t="s">
        <v>1824</v>
      </c>
      <c r="N31" s="14" t="s">
        <v>1980</v>
      </c>
      <c r="O31" s="44">
        <v>2021.0</v>
      </c>
      <c r="P31" s="44" t="s">
        <v>1803</v>
      </c>
      <c r="Q31" s="14" t="s">
        <v>1804</v>
      </c>
      <c r="R31" s="44" t="s">
        <v>1805</v>
      </c>
      <c r="S31" s="44" t="s">
        <v>1806</v>
      </c>
      <c r="T31" s="44" t="s">
        <v>1807</v>
      </c>
      <c r="U31" s="14">
        <v>8.0</v>
      </c>
      <c r="Y31" s="47" t="s">
        <v>431</v>
      </c>
      <c r="Z31" s="47" t="s">
        <v>1808</v>
      </c>
      <c r="AA31" s="47" t="s">
        <v>1809</v>
      </c>
      <c r="AB31" s="47" t="s">
        <v>433</v>
      </c>
      <c r="AC31" s="47" t="s">
        <v>433</v>
      </c>
      <c r="AE31" s="47" t="s">
        <v>174</v>
      </c>
      <c r="AF31" s="47" t="s">
        <v>435</v>
      </c>
      <c r="AG31" s="14" t="s">
        <v>1851</v>
      </c>
      <c r="AH31" s="17" t="s">
        <v>1884</v>
      </c>
      <c r="AI31" s="17" t="s">
        <v>1885</v>
      </c>
      <c r="AJ31" s="16" t="s">
        <v>70</v>
      </c>
    </row>
    <row r="32" ht="15.75" customHeight="1">
      <c r="A32" s="9">
        <v>30.0</v>
      </c>
      <c r="B32" s="40" t="s">
        <v>1981</v>
      </c>
      <c r="C32" s="11" t="s">
        <v>1803</v>
      </c>
      <c r="D32" s="11" t="s">
        <v>298</v>
      </c>
      <c r="E32" s="11" t="s">
        <v>73</v>
      </c>
      <c r="F32" s="12" t="s">
        <v>315</v>
      </c>
      <c r="G32" s="11"/>
      <c r="H32" s="11"/>
      <c r="I32" s="56" t="s">
        <v>1982</v>
      </c>
      <c r="J32" s="40" t="s">
        <v>1983</v>
      </c>
      <c r="K32" s="14" t="s">
        <v>1984</v>
      </c>
      <c r="L32" s="45" t="s">
        <v>298</v>
      </c>
      <c r="M32" s="16" t="s">
        <v>1985</v>
      </c>
      <c r="N32" s="16" t="s">
        <v>1986</v>
      </c>
      <c r="O32" s="44">
        <v>2009.0</v>
      </c>
      <c r="P32" s="44" t="s">
        <v>1803</v>
      </c>
      <c r="Q32" s="14" t="s">
        <v>1804</v>
      </c>
      <c r="R32" s="44" t="s">
        <v>1805</v>
      </c>
      <c r="S32" s="44" t="s">
        <v>1806</v>
      </c>
      <c r="T32" s="44" t="s">
        <v>1807</v>
      </c>
      <c r="U32" s="14">
        <v>8.0</v>
      </c>
      <c r="Y32" s="47" t="s">
        <v>431</v>
      </c>
      <c r="Z32" s="47" t="s">
        <v>1808</v>
      </c>
      <c r="AA32" s="47" t="s">
        <v>1809</v>
      </c>
      <c r="AB32" s="47" t="s">
        <v>433</v>
      </c>
      <c r="AC32" s="47" t="s">
        <v>433</v>
      </c>
      <c r="AE32" s="47" t="s">
        <v>174</v>
      </c>
      <c r="AF32" s="47" t="s">
        <v>435</v>
      </c>
      <c r="AG32" s="14" t="s">
        <v>1987</v>
      </c>
      <c r="AH32" s="17" t="s">
        <v>1827</v>
      </c>
      <c r="AI32" s="17" t="s">
        <v>1828</v>
      </c>
      <c r="AJ32" s="16" t="s">
        <v>70</v>
      </c>
    </row>
    <row r="33" ht="15.75" customHeight="1">
      <c r="A33" s="9">
        <v>31.0</v>
      </c>
      <c r="B33" s="40" t="s">
        <v>1988</v>
      </c>
      <c r="C33" s="11" t="s">
        <v>1803</v>
      </c>
      <c r="D33" s="11" t="s">
        <v>298</v>
      </c>
      <c r="E33" s="11" t="s">
        <v>73</v>
      </c>
      <c r="F33" s="11" t="s">
        <v>315</v>
      </c>
      <c r="G33" s="11"/>
      <c r="H33" s="11"/>
      <c r="I33" s="14" t="s">
        <v>1989</v>
      </c>
      <c r="J33" s="40" t="s">
        <v>1990</v>
      </c>
      <c r="K33" s="14" t="s">
        <v>1991</v>
      </c>
      <c r="L33" s="45" t="s">
        <v>298</v>
      </c>
      <c r="M33" s="16" t="s">
        <v>1992</v>
      </c>
      <c r="N33" s="16" t="s">
        <v>1993</v>
      </c>
      <c r="O33" s="44">
        <v>2006.0</v>
      </c>
      <c r="P33" s="44" t="s">
        <v>1803</v>
      </c>
      <c r="Q33" s="14" t="s">
        <v>1804</v>
      </c>
      <c r="R33" s="44" t="s">
        <v>1805</v>
      </c>
      <c r="S33" s="44" t="s">
        <v>1806</v>
      </c>
      <c r="T33" s="44" t="s">
        <v>1807</v>
      </c>
      <c r="U33" s="14">
        <v>8.0</v>
      </c>
      <c r="Y33" s="47" t="s">
        <v>431</v>
      </c>
      <c r="Z33" s="47" t="s">
        <v>1808</v>
      </c>
      <c r="AA33" s="47" t="s">
        <v>1809</v>
      </c>
      <c r="AB33" s="47" t="s">
        <v>433</v>
      </c>
      <c r="AC33" s="47" t="s">
        <v>433</v>
      </c>
      <c r="AE33" s="47" t="s">
        <v>174</v>
      </c>
      <c r="AF33" s="47" t="s">
        <v>435</v>
      </c>
      <c r="AG33" s="14" t="s">
        <v>1994</v>
      </c>
      <c r="AH33" s="17" t="s">
        <v>1819</v>
      </c>
      <c r="AI33" s="17" t="s">
        <v>1820</v>
      </c>
      <c r="AJ33" s="16" t="s">
        <v>70</v>
      </c>
    </row>
    <row r="34" ht="15.75" customHeight="1">
      <c r="A34" s="9">
        <v>32.0</v>
      </c>
      <c r="B34" s="40" t="s">
        <v>1995</v>
      </c>
      <c r="C34" s="11" t="s">
        <v>1803</v>
      </c>
      <c r="D34" s="11" t="s">
        <v>298</v>
      </c>
      <c r="E34" s="11" t="s">
        <v>73</v>
      </c>
      <c r="F34" s="11" t="s">
        <v>315</v>
      </c>
      <c r="G34" s="11"/>
      <c r="H34" s="11"/>
      <c r="I34" s="14" t="s">
        <v>1996</v>
      </c>
      <c r="J34" s="40" t="s">
        <v>1997</v>
      </c>
      <c r="K34" s="14" t="s">
        <v>1998</v>
      </c>
      <c r="L34" s="45" t="s">
        <v>298</v>
      </c>
      <c r="M34" s="16" t="s">
        <v>1999</v>
      </c>
      <c r="N34" s="16" t="s">
        <v>2000</v>
      </c>
      <c r="O34" s="44">
        <v>2006.0</v>
      </c>
      <c r="P34" s="44" t="s">
        <v>1803</v>
      </c>
      <c r="Q34" s="14" t="s">
        <v>1804</v>
      </c>
      <c r="R34" s="44" t="s">
        <v>1805</v>
      </c>
      <c r="S34" s="44" t="s">
        <v>1806</v>
      </c>
      <c r="T34" s="44" t="s">
        <v>1807</v>
      </c>
      <c r="U34" s="14">
        <v>8.0</v>
      </c>
      <c r="Y34" s="47" t="s">
        <v>431</v>
      </c>
      <c r="Z34" s="47" t="s">
        <v>1808</v>
      </c>
      <c r="AA34" s="47" t="s">
        <v>1809</v>
      </c>
      <c r="AB34" s="47" t="s">
        <v>433</v>
      </c>
      <c r="AC34" s="47" t="s">
        <v>433</v>
      </c>
      <c r="AE34" s="47" t="s">
        <v>174</v>
      </c>
      <c r="AF34" s="47" t="s">
        <v>435</v>
      </c>
      <c r="AG34" s="14" t="s">
        <v>2001</v>
      </c>
      <c r="AH34" s="17" t="s">
        <v>1819</v>
      </c>
      <c r="AI34" s="17" t="s">
        <v>1820</v>
      </c>
      <c r="AJ34" s="16" t="s">
        <v>70</v>
      </c>
    </row>
    <row r="35" ht="15.75" customHeight="1">
      <c r="A35" s="9">
        <v>33.0</v>
      </c>
      <c r="B35" s="40" t="s">
        <v>2002</v>
      </c>
      <c r="C35" s="11" t="s">
        <v>1803</v>
      </c>
      <c r="D35" s="11" t="s">
        <v>298</v>
      </c>
      <c r="E35" s="11" t="s">
        <v>73</v>
      </c>
      <c r="F35" s="11" t="s">
        <v>315</v>
      </c>
      <c r="G35" s="11"/>
      <c r="H35" s="11"/>
      <c r="I35" s="14" t="s">
        <v>2003</v>
      </c>
      <c r="J35" s="40" t="s">
        <v>2004</v>
      </c>
      <c r="K35" s="14" t="s">
        <v>2005</v>
      </c>
      <c r="L35" s="45" t="s">
        <v>298</v>
      </c>
      <c r="M35" s="16" t="s">
        <v>2006</v>
      </c>
      <c r="N35" s="16" t="s">
        <v>2007</v>
      </c>
      <c r="O35" s="44">
        <v>2006.0</v>
      </c>
      <c r="P35" s="44" t="s">
        <v>1803</v>
      </c>
      <c r="Q35" s="14" t="s">
        <v>1804</v>
      </c>
      <c r="R35" s="44" t="s">
        <v>1805</v>
      </c>
      <c r="S35" s="44" t="s">
        <v>1806</v>
      </c>
      <c r="T35" s="44" t="s">
        <v>1807</v>
      </c>
      <c r="U35" s="14">
        <v>8.0</v>
      </c>
      <c r="Y35" s="47" t="s">
        <v>431</v>
      </c>
      <c r="Z35" s="47" t="s">
        <v>1808</v>
      </c>
      <c r="AA35" s="47" t="s">
        <v>1809</v>
      </c>
      <c r="AB35" s="47" t="s">
        <v>433</v>
      </c>
      <c r="AC35" s="47" t="s">
        <v>433</v>
      </c>
      <c r="AE35" s="47" t="s">
        <v>174</v>
      </c>
      <c r="AF35" s="47" t="s">
        <v>435</v>
      </c>
      <c r="AG35" s="14" t="s">
        <v>2008</v>
      </c>
      <c r="AH35" s="17" t="s">
        <v>1819</v>
      </c>
      <c r="AI35" s="17" t="s">
        <v>1820</v>
      </c>
      <c r="AJ35" s="16" t="s">
        <v>70</v>
      </c>
    </row>
    <row r="36" ht="15.75" customHeight="1">
      <c r="A36" s="9">
        <v>34.0</v>
      </c>
      <c r="B36" s="40" t="s">
        <v>2009</v>
      </c>
      <c r="C36" s="11" t="s">
        <v>1803</v>
      </c>
      <c r="D36" s="11" t="s">
        <v>298</v>
      </c>
      <c r="E36" s="11" t="s">
        <v>73</v>
      </c>
      <c r="F36" s="11" t="s">
        <v>315</v>
      </c>
      <c r="G36" s="11"/>
      <c r="H36" s="11"/>
      <c r="I36" s="14" t="s">
        <v>2010</v>
      </c>
      <c r="J36" s="40" t="s">
        <v>2011</v>
      </c>
      <c r="K36" s="14" t="s">
        <v>2012</v>
      </c>
      <c r="L36" s="45" t="s">
        <v>298</v>
      </c>
      <c r="M36" s="16" t="s">
        <v>2013</v>
      </c>
      <c r="N36" s="16" t="s">
        <v>2014</v>
      </c>
      <c r="O36" s="44">
        <v>2021.0</v>
      </c>
      <c r="P36" s="44" t="s">
        <v>1803</v>
      </c>
      <c r="Q36" s="14" t="s">
        <v>1804</v>
      </c>
      <c r="R36" s="44" t="s">
        <v>1805</v>
      </c>
      <c r="S36" s="44" t="s">
        <v>1806</v>
      </c>
      <c r="T36" s="44" t="s">
        <v>1807</v>
      </c>
      <c r="U36" s="14">
        <v>5.0</v>
      </c>
      <c r="Y36" s="47" t="s">
        <v>431</v>
      </c>
      <c r="Z36" s="47" t="s">
        <v>1808</v>
      </c>
      <c r="AA36" s="47" t="s">
        <v>1809</v>
      </c>
      <c r="AB36" s="47" t="s">
        <v>433</v>
      </c>
      <c r="AC36" s="47" t="s">
        <v>433</v>
      </c>
      <c r="AE36" s="47" t="s">
        <v>174</v>
      </c>
      <c r="AF36" s="47" t="s">
        <v>435</v>
      </c>
      <c r="AG36" s="14" t="s">
        <v>2015</v>
      </c>
      <c r="AH36" s="17" t="s">
        <v>2016</v>
      </c>
      <c r="AI36" s="17" t="s">
        <v>2017</v>
      </c>
      <c r="AJ36" s="16" t="s">
        <v>70</v>
      </c>
    </row>
    <row r="37" ht="15.75" customHeight="1">
      <c r="A37" s="9">
        <v>35.0</v>
      </c>
      <c r="B37" s="40" t="s">
        <v>2018</v>
      </c>
      <c r="C37" s="11" t="s">
        <v>1803</v>
      </c>
      <c r="D37" s="11" t="s">
        <v>298</v>
      </c>
      <c r="E37" s="11" t="s">
        <v>73</v>
      </c>
      <c r="F37" s="11" t="s">
        <v>315</v>
      </c>
      <c r="G37" s="11"/>
      <c r="H37" s="11"/>
      <c r="I37" s="14" t="s">
        <v>2019</v>
      </c>
      <c r="J37" s="40" t="s">
        <v>2020</v>
      </c>
      <c r="K37" s="14" t="s">
        <v>1984</v>
      </c>
      <c r="L37" s="45" t="s">
        <v>298</v>
      </c>
      <c r="M37" s="16" t="s">
        <v>2021</v>
      </c>
      <c r="N37" s="16" t="s">
        <v>2022</v>
      </c>
      <c r="O37" s="44">
        <v>2018.0</v>
      </c>
      <c r="P37" s="44" t="s">
        <v>1803</v>
      </c>
      <c r="Q37" s="14" t="s">
        <v>1804</v>
      </c>
      <c r="R37" s="44" t="s">
        <v>1805</v>
      </c>
      <c r="S37" s="44" t="s">
        <v>1806</v>
      </c>
      <c r="T37" s="44" t="s">
        <v>1807</v>
      </c>
      <c r="U37" s="14">
        <v>5.0</v>
      </c>
      <c r="Y37" s="47" t="s">
        <v>431</v>
      </c>
      <c r="Z37" s="47" t="s">
        <v>1808</v>
      </c>
      <c r="AA37" s="47" t="s">
        <v>1809</v>
      </c>
      <c r="AB37" s="47" t="s">
        <v>433</v>
      </c>
      <c r="AC37" s="47" t="s">
        <v>433</v>
      </c>
      <c r="AE37" s="47" t="s">
        <v>174</v>
      </c>
      <c r="AF37" s="47" t="s">
        <v>435</v>
      </c>
      <c r="AG37" s="14" t="s">
        <v>1987</v>
      </c>
      <c r="AH37" s="17" t="s">
        <v>2023</v>
      </c>
      <c r="AI37" s="17" t="s">
        <v>2024</v>
      </c>
      <c r="AJ37" s="16" t="s">
        <v>70</v>
      </c>
    </row>
    <row r="38" ht="15.75" customHeight="1">
      <c r="A38" s="9">
        <v>36.0</v>
      </c>
      <c r="B38" s="40" t="s">
        <v>2025</v>
      </c>
      <c r="C38" s="11" t="s">
        <v>1803</v>
      </c>
      <c r="D38" s="11" t="s">
        <v>298</v>
      </c>
      <c r="E38" s="11" t="s">
        <v>73</v>
      </c>
      <c r="F38" s="11" t="s">
        <v>315</v>
      </c>
      <c r="G38" s="11"/>
      <c r="H38" s="11"/>
      <c r="I38" s="14" t="s">
        <v>2026</v>
      </c>
      <c r="J38" s="40" t="s">
        <v>2027</v>
      </c>
      <c r="K38" s="14" t="s">
        <v>2028</v>
      </c>
      <c r="L38" s="45" t="s">
        <v>298</v>
      </c>
      <c r="M38" s="16" t="s">
        <v>2029</v>
      </c>
      <c r="N38" s="16" t="s">
        <v>2030</v>
      </c>
      <c r="O38" s="44">
        <v>2012.0</v>
      </c>
      <c r="P38" s="44" t="s">
        <v>1803</v>
      </c>
      <c r="Q38" s="14" t="s">
        <v>1804</v>
      </c>
      <c r="R38" s="44" t="s">
        <v>1805</v>
      </c>
      <c r="S38" s="44" t="s">
        <v>1806</v>
      </c>
      <c r="T38" s="44" t="s">
        <v>1807</v>
      </c>
      <c r="U38" s="14">
        <v>8.0</v>
      </c>
      <c r="V38" s="57"/>
      <c r="Y38" s="47" t="s">
        <v>431</v>
      </c>
      <c r="Z38" s="47" t="s">
        <v>1808</v>
      </c>
      <c r="AA38" s="47" t="s">
        <v>1809</v>
      </c>
      <c r="AB38" s="47" t="s">
        <v>433</v>
      </c>
      <c r="AC38" s="47" t="s">
        <v>433</v>
      </c>
      <c r="AE38" s="47" t="s">
        <v>174</v>
      </c>
      <c r="AF38" s="47" t="s">
        <v>435</v>
      </c>
      <c r="AG38" s="14" t="s">
        <v>2031</v>
      </c>
      <c r="AH38" s="17" t="s">
        <v>1811</v>
      </c>
      <c r="AI38" s="17" t="s">
        <v>1812</v>
      </c>
      <c r="AJ38" s="16" t="s">
        <v>70</v>
      </c>
      <c r="AL38" s="58"/>
      <c r="AM38" s="58"/>
    </row>
    <row r="39" ht="15.75" customHeight="1">
      <c r="A39" s="9">
        <v>37.0</v>
      </c>
      <c r="B39" s="40" t="s">
        <v>2032</v>
      </c>
      <c r="C39" s="11" t="s">
        <v>1803</v>
      </c>
      <c r="D39" s="11" t="s">
        <v>298</v>
      </c>
      <c r="E39" s="11" t="s">
        <v>73</v>
      </c>
      <c r="F39" s="11" t="s">
        <v>315</v>
      </c>
      <c r="G39" s="11"/>
      <c r="H39" s="11"/>
      <c r="I39" s="14" t="s">
        <v>2033</v>
      </c>
      <c r="J39" s="40" t="s">
        <v>2034</v>
      </c>
      <c r="K39" s="14" t="s">
        <v>2035</v>
      </c>
      <c r="L39" s="45" t="s">
        <v>298</v>
      </c>
      <c r="M39" s="16" t="s">
        <v>2036</v>
      </c>
      <c r="N39" s="16" t="s">
        <v>2037</v>
      </c>
      <c r="O39" s="44">
        <v>2014.0</v>
      </c>
      <c r="P39" s="44" t="s">
        <v>1803</v>
      </c>
      <c r="Q39" s="14" t="s">
        <v>1804</v>
      </c>
      <c r="R39" s="44" t="s">
        <v>1805</v>
      </c>
      <c r="S39" s="44" t="s">
        <v>1806</v>
      </c>
      <c r="T39" s="44" t="s">
        <v>1807</v>
      </c>
      <c r="U39" s="14">
        <v>4.0</v>
      </c>
      <c r="V39" s="57"/>
      <c r="Y39" s="47" t="s">
        <v>431</v>
      </c>
      <c r="Z39" s="47" t="s">
        <v>1808</v>
      </c>
      <c r="AA39" s="47" t="s">
        <v>1809</v>
      </c>
      <c r="AB39" s="47" t="s">
        <v>433</v>
      </c>
      <c r="AC39" s="47" t="s">
        <v>433</v>
      </c>
      <c r="AE39" s="47" t="s">
        <v>174</v>
      </c>
      <c r="AF39" s="47" t="s">
        <v>435</v>
      </c>
      <c r="AG39" s="14" t="s">
        <v>2038</v>
      </c>
      <c r="AH39" s="17" t="s">
        <v>1852</v>
      </c>
      <c r="AI39" s="17" t="s">
        <v>1853</v>
      </c>
      <c r="AJ39" s="16" t="s">
        <v>70</v>
      </c>
      <c r="AL39" s="58"/>
      <c r="AM39" s="58"/>
    </row>
    <row r="40" ht="15.75" customHeight="1">
      <c r="A40" s="9">
        <v>38.0</v>
      </c>
      <c r="B40" s="40" t="s">
        <v>2039</v>
      </c>
      <c r="C40" s="11" t="s">
        <v>1803</v>
      </c>
      <c r="D40" s="11" t="s">
        <v>298</v>
      </c>
      <c r="E40" s="11" t="s">
        <v>73</v>
      </c>
      <c r="F40" s="11" t="s">
        <v>315</v>
      </c>
      <c r="G40" s="11"/>
      <c r="H40" s="11"/>
      <c r="I40" s="14" t="s">
        <v>2040</v>
      </c>
      <c r="J40" s="40" t="s">
        <v>2041</v>
      </c>
      <c r="K40" s="14" t="s">
        <v>2042</v>
      </c>
      <c r="L40" s="45" t="s">
        <v>298</v>
      </c>
      <c r="M40" s="16" t="s">
        <v>2043</v>
      </c>
      <c r="N40" s="16" t="s">
        <v>2044</v>
      </c>
      <c r="O40" s="44">
        <v>2010.0</v>
      </c>
      <c r="P40" s="44" t="s">
        <v>1803</v>
      </c>
      <c r="Q40" s="14" t="s">
        <v>1804</v>
      </c>
      <c r="R40" s="44" t="s">
        <v>1805</v>
      </c>
      <c r="S40" s="44" t="s">
        <v>1806</v>
      </c>
      <c r="T40" s="44" t="s">
        <v>1807</v>
      </c>
      <c r="U40" s="14">
        <v>8.0</v>
      </c>
      <c r="V40" s="59"/>
      <c r="Y40" s="47" t="s">
        <v>431</v>
      </c>
      <c r="Z40" s="47" t="s">
        <v>1808</v>
      </c>
      <c r="AA40" s="47" t="s">
        <v>1809</v>
      </c>
      <c r="AB40" s="47" t="s">
        <v>433</v>
      </c>
      <c r="AC40" s="47" t="s">
        <v>433</v>
      </c>
      <c r="AE40" s="47" t="s">
        <v>174</v>
      </c>
      <c r="AF40" s="47" t="s">
        <v>435</v>
      </c>
      <c r="AG40" s="14" t="s">
        <v>2045</v>
      </c>
      <c r="AH40" s="17" t="s">
        <v>2046</v>
      </c>
      <c r="AI40" s="17" t="s">
        <v>2047</v>
      </c>
      <c r="AJ40" s="16" t="s">
        <v>70</v>
      </c>
      <c r="AL40" s="58"/>
      <c r="AM40" s="58"/>
    </row>
    <row r="41" ht="15.75" customHeight="1">
      <c r="A41" s="9">
        <v>39.0</v>
      </c>
      <c r="B41" s="40" t="s">
        <v>2048</v>
      </c>
      <c r="C41" s="11" t="s">
        <v>1803</v>
      </c>
      <c r="D41" s="11" t="s">
        <v>298</v>
      </c>
      <c r="E41" s="11" t="s">
        <v>73</v>
      </c>
      <c r="F41" s="11" t="s">
        <v>315</v>
      </c>
      <c r="G41" s="11"/>
      <c r="H41" s="11"/>
      <c r="I41" s="14" t="s">
        <v>2049</v>
      </c>
      <c r="J41" s="40" t="s">
        <v>2050</v>
      </c>
      <c r="K41" s="14" t="s">
        <v>2051</v>
      </c>
      <c r="L41" s="45" t="s">
        <v>298</v>
      </c>
      <c r="M41" s="16" t="s">
        <v>2052</v>
      </c>
      <c r="N41" s="16" t="s">
        <v>2053</v>
      </c>
      <c r="O41" s="44">
        <v>2021.0</v>
      </c>
      <c r="P41" s="44" t="s">
        <v>1803</v>
      </c>
      <c r="Q41" s="14" t="s">
        <v>1804</v>
      </c>
      <c r="R41" s="44" t="s">
        <v>1805</v>
      </c>
      <c r="S41" s="44" t="s">
        <v>1806</v>
      </c>
      <c r="T41" s="44" t="s">
        <v>1807</v>
      </c>
      <c r="U41" s="14">
        <v>5.0</v>
      </c>
      <c r="V41" s="59"/>
      <c r="Y41" s="47" t="s">
        <v>431</v>
      </c>
      <c r="Z41" s="47" t="s">
        <v>1808</v>
      </c>
      <c r="AA41" s="47" t="s">
        <v>1809</v>
      </c>
      <c r="AB41" s="47" t="s">
        <v>433</v>
      </c>
      <c r="AC41" s="47" t="s">
        <v>433</v>
      </c>
      <c r="AE41" s="47" t="s">
        <v>174</v>
      </c>
      <c r="AF41" s="47" t="s">
        <v>435</v>
      </c>
      <c r="AG41" s="14" t="s">
        <v>2054</v>
      </c>
      <c r="AH41" s="17" t="s">
        <v>2055</v>
      </c>
      <c r="AI41" s="17" t="s">
        <v>2056</v>
      </c>
      <c r="AJ41" s="16" t="s">
        <v>70</v>
      </c>
    </row>
    <row r="42" ht="15.75" customHeight="1">
      <c r="A42" s="9">
        <v>40.0</v>
      </c>
      <c r="B42" s="40" t="s">
        <v>2057</v>
      </c>
      <c r="C42" s="11" t="s">
        <v>1803</v>
      </c>
      <c r="D42" s="11" t="s">
        <v>298</v>
      </c>
      <c r="E42" s="11" t="s">
        <v>73</v>
      </c>
      <c r="F42" s="11" t="s">
        <v>315</v>
      </c>
      <c r="G42" s="11"/>
      <c r="H42" s="11"/>
      <c r="I42" s="14" t="s">
        <v>2058</v>
      </c>
      <c r="J42" s="40" t="s">
        <v>2059</v>
      </c>
      <c r="K42" s="14" t="s">
        <v>2060</v>
      </c>
      <c r="L42" s="45" t="s">
        <v>298</v>
      </c>
      <c r="M42" s="16" t="s">
        <v>2061</v>
      </c>
      <c r="N42" s="16" t="s">
        <v>2062</v>
      </c>
      <c r="O42" s="44">
        <v>2024.0</v>
      </c>
      <c r="P42" s="44" t="s">
        <v>1803</v>
      </c>
      <c r="Q42" s="14" t="s">
        <v>1804</v>
      </c>
      <c r="R42" s="44" t="s">
        <v>1805</v>
      </c>
      <c r="S42" s="44" t="s">
        <v>1806</v>
      </c>
      <c r="T42" s="44" t="s">
        <v>1807</v>
      </c>
      <c r="U42" s="14">
        <v>5.0</v>
      </c>
      <c r="V42" s="59"/>
      <c r="Y42" s="47" t="s">
        <v>431</v>
      </c>
      <c r="Z42" s="47" t="s">
        <v>1808</v>
      </c>
      <c r="AA42" s="47" t="s">
        <v>1809</v>
      </c>
      <c r="AB42" s="47" t="s">
        <v>433</v>
      </c>
      <c r="AC42" s="47" t="s">
        <v>433</v>
      </c>
      <c r="AE42" s="47" t="s">
        <v>174</v>
      </c>
      <c r="AF42" s="47" t="s">
        <v>435</v>
      </c>
      <c r="AG42" s="14" t="s">
        <v>2063</v>
      </c>
      <c r="AH42" s="17" t="s">
        <v>2064</v>
      </c>
      <c r="AI42" s="17" t="s">
        <v>2065</v>
      </c>
      <c r="AJ42" s="16" t="s">
        <v>70</v>
      </c>
    </row>
    <row r="43" ht="15.75" customHeight="1">
      <c r="A43" s="9">
        <v>41.0</v>
      </c>
      <c r="B43" s="40" t="s">
        <v>2066</v>
      </c>
      <c r="C43" s="11" t="s">
        <v>1803</v>
      </c>
      <c r="D43" s="11" t="s">
        <v>298</v>
      </c>
      <c r="E43" s="11" t="s">
        <v>73</v>
      </c>
      <c r="F43" s="11" t="s">
        <v>315</v>
      </c>
      <c r="G43" s="11"/>
      <c r="H43" s="11"/>
      <c r="I43" s="14" t="s">
        <v>2067</v>
      </c>
      <c r="J43" s="40" t="s">
        <v>2068</v>
      </c>
      <c r="K43" s="14" t="s">
        <v>2069</v>
      </c>
      <c r="L43" s="45" t="s">
        <v>298</v>
      </c>
      <c r="M43" s="16" t="s">
        <v>2070</v>
      </c>
      <c r="N43" s="16" t="s">
        <v>2071</v>
      </c>
      <c r="O43" s="44">
        <v>2006.0</v>
      </c>
      <c r="P43" s="44" t="s">
        <v>1803</v>
      </c>
      <c r="Q43" s="14" t="s">
        <v>1804</v>
      </c>
      <c r="R43" s="44" t="s">
        <v>1805</v>
      </c>
      <c r="S43" s="44" t="s">
        <v>1806</v>
      </c>
      <c r="T43" s="44" t="s">
        <v>1807</v>
      </c>
      <c r="U43" s="14">
        <v>8.0</v>
      </c>
      <c r="V43" s="59"/>
      <c r="Y43" s="47" t="s">
        <v>431</v>
      </c>
      <c r="Z43" s="47" t="s">
        <v>1808</v>
      </c>
      <c r="AA43" s="47" t="s">
        <v>1809</v>
      </c>
      <c r="AB43" s="47" t="s">
        <v>433</v>
      </c>
      <c r="AC43" s="47" t="s">
        <v>433</v>
      </c>
      <c r="AE43" s="47" t="s">
        <v>174</v>
      </c>
      <c r="AF43" s="47" t="s">
        <v>435</v>
      </c>
      <c r="AG43" s="14" t="s">
        <v>2072</v>
      </c>
      <c r="AH43" s="17" t="s">
        <v>1819</v>
      </c>
      <c r="AI43" s="17" t="s">
        <v>1820</v>
      </c>
      <c r="AJ43" s="16" t="s">
        <v>70</v>
      </c>
    </row>
    <row r="44" ht="15.75" customHeight="1">
      <c r="A44" s="9">
        <v>42.0</v>
      </c>
      <c r="B44" s="40" t="s">
        <v>2073</v>
      </c>
      <c r="C44" s="11" t="s">
        <v>1803</v>
      </c>
      <c r="D44" s="11" t="s">
        <v>298</v>
      </c>
      <c r="E44" s="11" t="s">
        <v>73</v>
      </c>
      <c r="F44" s="11" t="s">
        <v>315</v>
      </c>
      <c r="G44" s="11"/>
      <c r="H44" s="11"/>
      <c r="I44" s="14" t="s">
        <v>2074</v>
      </c>
      <c r="J44" s="40" t="s">
        <v>2075</v>
      </c>
      <c r="K44" s="14" t="s">
        <v>2076</v>
      </c>
      <c r="L44" s="45" t="s">
        <v>298</v>
      </c>
      <c r="M44" s="16" t="s">
        <v>2077</v>
      </c>
      <c r="N44" s="16" t="s">
        <v>2078</v>
      </c>
      <c r="O44" s="44">
        <v>2011.0</v>
      </c>
      <c r="P44" s="44" t="s">
        <v>1803</v>
      </c>
      <c r="Q44" s="14" t="s">
        <v>1804</v>
      </c>
      <c r="R44" s="44" t="s">
        <v>1805</v>
      </c>
      <c r="S44" s="44" t="s">
        <v>1806</v>
      </c>
      <c r="T44" s="44" t="s">
        <v>1807</v>
      </c>
      <c r="U44" s="14">
        <v>8.0</v>
      </c>
      <c r="V44" s="59"/>
      <c r="Y44" s="47" t="s">
        <v>431</v>
      </c>
      <c r="Z44" s="47" t="s">
        <v>1808</v>
      </c>
      <c r="AA44" s="47" t="s">
        <v>1809</v>
      </c>
      <c r="AB44" s="47" t="s">
        <v>433</v>
      </c>
      <c r="AC44" s="47" t="s">
        <v>433</v>
      </c>
      <c r="AE44" s="47" t="s">
        <v>174</v>
      </c>
      <c r="AF44" s="47" t="s">
        <v>435</v>
      </c>
      <c r="AG44" s="14" t="s">
        <v>2079</v>
      </c>
      <c r="AH44" s="17" t="s">
        <v>2080</v>
      </c>
      <c r="AI44" s="17" t="s">
        <v>2081</v>
      </c>
      <c r="AJ44" s="16" t="s">
        <v>70</v>
      </c>
    </row>
    <row r="45" ht="15.75" customHeight="1">
      <c r="A45" s="9">
        <v>43.0</v>
      </c>
      <c r="B45" s="40" t="s">
        <v>2082</v>
      </c>
      <c r="C45" s="11" t="s">
        <v>1803</v>
      </c>
      <c r="D45" s="11" t="s">
        <v>298</v>
      </c>
      <c r="E45" s="11" t="s">
        <v>73</v>
      </c>
      <c r="F45" s="11" t="s">
        <v>315</v>
      </c>
      <c r="G45" s="11"/>
      <c r="H45" s="11"/>
      <c r="I45" s="14" t="s">
        <v>2083</v>
      </c>
      <c r="J45" s="40" t="s">
        <v>2084</v>
      </c>
      <c r="K45" s="14" t="s">
        <v>2085</v>
      </c>
      <c r="L45" s="45" t="s">
        <v>298</v>
      </c>
      <c r="M45" s="16" t="s">
        <v>2086</v>
      </c>
      <c r="N45" s="16" t="s">
        <v>2087</v>
      </c>
      <c r="O45" s="44">
        <v>2009.0</v>
      </c>
      <c r="P45" s="44" t="s">
        <v>1803</v>
      </c>
      <c r="Q45" s="14" t="s">
        <v>1804</v>
      </c>
      <c r="R45" s="44" t="s">
        <v>1805</v>
      </c>
      <c r="S45" s="44" t="s">
        <v>1806</v>
      </c>
      <c r="T45" s="44" t="s">
        <v>1807</v>
      </c>
      <c r="U45" s="14">
        <v>4.0</v>
      </c>
      <c r="V45" s="59"/>
      <c r="Y45" s="47" t="s">
        <v>431</v>
      </c>
      <c r="Z45" s="47" t="s">
        <v>1808</v>
      </c>
      <c r="AA45" s="47" t="s">
        <v>1809</v>
      </c>
      <c r="AB45" s="47" t="s">
        <v>433</v>
      </c>
      <c r="AC45" s="47" t="s">
        <v>433</v>
      </c>
      <c r="AE45" s="47" t="s">
        <v>174</v>
      </c>
      <c r="AF45" s="47" t="s">
        <v>435</v>
      </c>
      <c r="AG45" s="14" t="s">
        <v>2088</v>
      </c>
      <c r="AH45" s="17" t="s">
        <v>2089</v>
      </c>
      <c r="AI45" s="17" t="s">
        <v>2090</v>
      </c>
      <c r="AJ45" s="16" t="s">
        <v>70</v>
      </c>
    </row>
    <row r="46" ht="15.75" customHeight="1">
      <c r="A46" s="9">
        <v>44.0</v>
      </c>
      <c r="B46" s="40" t="s">
        <v>2091</v>
      </c>
      <c r="C46" s="11" t="s">
        <v>1803</v>
      </c>
      <c r="D46" s="11" t="s">
        <v>298</v>
      </c>
      <c r="E46" s="11" t="s">
        <v>73</v>
      </c>
      <c r="F46" s="11" t="s">
        <v>315</v>
      </c>
      <c r="G46" s="11"/>
      <c r="H46" s="11"/>
      <c r="I46" s="14" t="s">
        <v>2092</v>
      </c>
      <c r="J46" s="40" t="s">
        <v>2093</v>
      </c>
      <c r="K46" s="14" t="s">
        <v>2094</v>
      </c>
      <c r="L46" s="45" t="s">
        <v>298</v>
      </c>
      <c r="M46" s="16" t="s">
        <v>2095</v>
      </c>
      <c r="N46" s="16" t="s">
        <v>2096</v>
      </c>
      <c r="O46" s="44">
        <v>2009.0</v>
      </c>
      <c r="P46" s="44" t="s">
        <v>1803</v>
      </c>
      <c r="Q46" s="14" t="s">
        <v>1804</v>
      </c>
      <c r="R46" s="44" t="s">
        <v>1805</v>
      </c>
      <c r="S46" s="44" t="s">
        <v>1806</v>
      </c>
      <c r="T46" s="44" t="s">
        <v>1807</v>
      </c>
      <c r="U46" s="14">
        <v>4.0</v>
      </c>
      <c r="V46" s="59"/>
      <c r="Y46" s="47" t="s">
        <v>431</v>
      </c>
      <c r="Z46" s="47" t="s">
        <v>1808</v>
      </c>
      <c r="AA46" s="47" t="s">
        <v>1809</v>
      </c>
      <c r="AB46" s="47" t="s">
        <v>433</v>
      </c>
      <c r="AC46" s="47" t="s">
        <v>433</v>
      </c>
      <c r="AE46" s="47" t="s">
        <v>174</v>
      </c>
      <c r="AF46" s="47" t="s">
        <v>435</v>
      </c>
      <c r="AG46" s="14" t="s">
        <v>2097</v>
      </c>
      <c r="AH46" s="17" t="s">
        <v>2098</v>
      </c>
      <c r="AI46" s="17" t="s">
        <v>2099</v>
      </c>
      <c r="AJ46" s="16" t="s">
        <v>70</v>
      </c>
    </row>
    <row r="47" ht="15.75" customHeight="1">
      <c r="A47" s="9">
        <v>45.0</v>
      </c>
      <c r="B47" s="40" t="s">
        <v>2100</v>
      </c>
      <c r="C47" s="11" t="s">
        <v>1803</v>
      </c>
      <c r="D47" s="11" t="s">
        <v>298</v>
      </c>
      <c r="E47" s="11" t="s">
        <v>73</v>
      </c>
      <c r="F47" s="11" t="s">
        <v>315</v>
      </c>
      <c r="G47" s="11"/>
      <c r="H47" s="11"/>
      <c r="I47" s="14" t="s">
        <v>2101</v>
      </c>
      <c r="J47" s="40" t="s">
        <v>2102</v>
      </c>
      <c r="K47" s="14" t="s">
        <v>2103</v>
      </c>
      <c r="L47" s="45" t="s">
        <v>298</v>
      </c>
      <c r="M47" s="16" t="s">
        <v>2104</v>
      </c>
      <c r="N47" s="16" t="s">
        <v>2105</v>
      </c>
      <c r="O47" s="44">
        <v>2006.0</v>
      </c>
      <c r="P47" s="44" t="s">
        <v>1803</v>
      </c>
      <c r="Q47" s="14" t="s">
        <v>1804</v>
      </c>
      <c r="R47" s="44" t="s">
        <v>1805</v>
      </c>
      <c r="S47" s="44" t="s">
        <v>1806</v>
      </c>
      <c r="T47" s="44" t="s">
        <v>1807</v>
      </c>
      <c r="U47" s="14">
        <v>8.0</v>
      </c>
      <c r="V47" s="59"/>
      <c r="Y47" s="47" t="s">
        <v>431</v>
      </c>
      <c r="Z47" s="47" t="s">
        <v>1808</v>
      </c>
      <c r="AA47" s="47" t="s">
        <v>1809</v>
      </c>
      <c r="AB47" s="47" t="s">
        <v>433</v>
      </c>
      <c r="AC47" s="47" t="s">
        <v>433</v>
      </c>
      <c r="AE47" s="47" t="s">
        <v>174</v>
      </c>
      <c r="AF47" s="47" t="s">
        <v>435</v>
      </c>
      <c r="AG47" s="14" t="s">
        <v>2106</v>
      </c>
      <c r="AH47" s="17" t="s">
        <v>1819</v>
      </c>
      <c r="AI47" s="17" t="s">
        <v>1820</v>
      </c>
      <c r="AJ47" s="16" t="s">
        <v>70</v>
      </c>
    </row>
    <row r="48" ht="15.75" customHeight="1">
      <c r="A48" s="9">
        <v>46.0</v>
      </c>
      <c r="B48" s="40" t="s">
        <v>2107</v>
      </c>
      <c r="C48" s="11" t="s">
        <v>1803</v>
      </c>
      <c r="D48" s="11" t="s">
        <v>298</v>
      </c>
      <c r="E48" s="11" t="s">
        <v>73</v>
      </c>
      <c r="F48" s="11" t="s">
        <v>315</v>
      </c>
      <c r="G48" s="11"/>
      <c r="H48" s="11"/>
      <c r="I48" s="14" t="s">
        <v>2108</v>
      </c>
      <c r="J48" s="40" t="s">
        <v>2109</v>
      </c>
      <c r="K48" s="14" t="s">
        <v>2110</v>
      </c>
      <c r="L48" s="45" t="s">
        <v>298</v>
      </c>
      <c r="M48" s="16" t="s">
        <v>2111</v>
      </c>
      <c r="N48" s="16" t="s">
        <v>2112</v>
      </c>
      <c r="O48" s="44">
        <v>2006.0</v>
      </c>
      <c r="P48" s="44" t="s">
        <v>1803</v>
      </c>
      <c r="Q48" s="14" t="s">
        <v>1804</v>
      </c>
      <c r="R48" s="44" t="s">
        <v>1805</v>
      </c>
      <c r="S48" s="44" t="s">
        <v>1806</v>
      </c>
      <c r="T48" s="44" t="s">
        <v>1807</v>
      </c>
      <c r="U48" s="14">
        <v>8.0</v>
      </c>
      <c r="V48" s="59"/>
      <c r="Y48" s="47" t="s">
        <v>431</v>
      </c>
      <c r="Z48" s="47" t="s">
        <v>1808</v>
      </c>
      <c r="AA48" s="47" t="s">
        <v>1809</v>
      </c>
      <c r="AB48" s="47" t="s">
        <v>433</v>
      </c>
      <c r="AC48" s="47" t="s">
        <v>433</v>
      </c>
      <c r="AE48" s="47" t="s">
        <v>174</v>
      </c>
      <c r="AF48" s="47" t="s">
        <v>435</v>
      </c>
      <c r="AG48" s="14" t="s">
        <v>2113</v>
      </c>
      <c r="AH48" s="17" t="s">
        <v>1819</v>
      </c>
      <c r="AI48" s="17" t="s">
        <v>1820</v>
      </c>
      <c r="AJ48" s="16" t="s">
        <v>70</v>
      </c>
    </row>
    <row r="49" ht="15.75" customHeight="1">
      <c r="A49" s="9">
        <v>47.0</v>
      </c>
      <c r="B49" s="40" t="s">
        <v>2114</v>
      </c>
      <c r="C49" s="11" t="s">
        <v>1803</v>
      </c>
      <c r="D49" s="11" t="s">
        <v>298</v>
      </c>
      <c r="E49" s="11" t="s">
        <v>73</v>
      </c>
      <c r="F49" s="11" t="s">
        <v>315</v>
      </c>
      <c r="G49" s="11"/>
      <c r="H49" s="11"/>
      <c r="I49" s="14" t="s">
        <v>2115</v>
      </c>
      <c r="J49" s="40" t="s">
        <v>2116</v>
      </c>
      <c r="K49" s="14" t="s">
        <v>2117</v>
      </c>
      <c r="L49" s="45" t="s">
        <v>298</v>
      </c>
      <c r="M49" s="16" t="s">
        <v>2118</v>
      </c>
      <c r="N49" s="16" t="s">
        <v>2119</v>
      </c>
      <c r="O49" s="44">
        <v>2006.0</v>
      </c>
      <c r="P49" s="44" t="s">
        <v>1803</v>
      </c>
      <c r="Q49" s="14" t="s">
        <v>1804</v>
      </c>
      <c r="R49" s="44" t="s">
        <v>1805</v>
      </c>
      <c r="S49" s="44" t="s">
        <v>1806</v>
      </c>
      <c r="T49" s="44" t="s">
        <v>1807</v>
      </c>
      <c r="U49" s="14">
        <v>8.0</v>
      </c>
      <c r="V49" s="59"/>
      <c r="Y49" s="47" t="s">
        <v>431</v>
      </c>
      <c r="Z49" s="47" t="s">
        <v>1808</v>
      </c>
      <c r="AA49" s="47" t="s">
        <v>1809</v>
      </c>
      <c r="AB49" s="47" t="s">
        <v>433</v>
      </c>
      <c r="AC49" s="47" t="s">
        <v>433</v>
      </c>
      <c r="AE49" s="47" t="s">
        <v>174</v>
      </c>
      <c r="AF49" s="47" t="s">
        <v>435</v>
      </c>
      <c r="AG49" s="14" t="s">
        <v>2120</v>
      </c>
      <c r="AH49" s="17" t="s">
        <v>1819</v>
      </c>
      <c r="AI49" s="17" t="s">
        <v>1820</v>
      </c>
      <c r="AJ49" s="16" t="s">
        <v>70</v>
      </c>
    </row>
    <row r="50" ht="15.75" customHeight="1">
      <c r="A50" s="9">
        <v>48.0</v>
      </c>
      <c r="B50" s="40" t="s">
        <v>2121</v>
      </c>
      <c r="C50" s="11" t="s">
        <v>1803</v>
      </c>
      <c r="D50" s="11" t="s">
        <v>298</v>
      </c>
      <c r="E50" s="11" t="s">
        <v>73</v>
      </c>
      <c r="F50" s="11" t="s">
        <v>315</v>
      </c>
      <c r="G50" s="11"/>
      <c r="H50" s="11"/>
      <c r="I50" s="14" t="s">
        <v>2122</v>
      </c>
      <c r="J50" s="40" t="s">
        <v>2123</v>
      </c>
      <c r="K50" s="14" t="s">
        <v>2124</v>
      </c>
      <c r="L50" s="45" t="s">
        <v>298</v>
      </c>
      <c r="M50" s="16" t="s">
        <v>2125</v>
      </c>
      <c r="N50" s="16" t="s">
        <v>2126</v>
      </c>
      <c r="O50" s="44">
        <v>2006.0</v>
      </c>
      <c r="P50" s="44" t="s">
        <v>1803</v>
      </c>
      <c r="Q50" s="14" t="s">
        <v>1804</v>
      </c>
      <c r="R50" s="44" t="s">
        <v>1805</v>
      </c>
      <c r="S50" s="44" t="s">
        <v>1806</v>
      </c>
      <c r="T50" s="44" t="s">
        <v>1807</v>
      </c>
      <c r="U50" s="14">
        <v>8.0</v>
      </c>
      <c r="V50" s="59"/>
      <c r="Y50" s="47" t="s">
        <v>431</v>
      </c>
      <c r="Z50" s="47" t="s">
        <v>1808</v>
      </c>
      <c r="AA50" s="47" t="s">
        <v>1809</v>
      </c>
      <c r="AB50" s="47" t="s">
        <v>433</v>
      </c>
      <c r="AC50" s="47" t="s">
        <v>433</v>
      </c>
      <c r="AE50" s="47" t="s">
        <v>174</v>
      </c>
      <c r="AF50" s="47" t="s">
        <v>435</v>
      </c>
      <c r="AG50" s="14" t="s">
        <v>2127</v>
      </c>
      <c r="AH50" s="17" t="s">
        <v>1819</v>
      </c>
      <c r="AI50" s="17" t="s">
        <v>1820</v>
      </c>
      <c r="AJ50" s="16" t="s">
        <v>70</v>
      </c>
    </row>
    <row r="51" ht="15.75" customHeight="1">
      <c r="A51" s="9">
        <v>49.0</v>
      </c>
      <c r="B51" s="40" t="s">
        <v>2128</v>
      </c>
      <c r="C51" s="11" t="s">
        <v>1803</v>
      </c>
      <c r="D51" s="11" t="s">
        <v>298</v>
      </c>
      <c r="E51" s="11" t="s">
        <v>73</v>
      </c>
      <c r="F51" s="11" t="s">
        <v>315</v>
      </c>
      <c r="G51" s="11"/>
      <c r="H51" s="11"/>
      <c r="I51" s="14" t="s">
        <v>2129</v>
      </c>
      <c r="J51" s="40" t="s">
        <v>2130</v>
      </c>
      <c r="K51" s="14" t="s">
        <v>2131</v>
      </c>
      <c r="L51" s="45" t="s">
        <v>298</v>
      </c>
      <c r="M51" s="16" t="s">
        <v>2132</v>
      </c>
      <c r="N51" s="16" t="s">
        <v>2133</v>
      </c>
      <c r="O51" s="44">
        <v>2006.0</v>
      </c>
      <c r="P51" s="44" t="s">
        <v>1803</v>
      </c>
      <c r="Q51" s="14" t="s">
        <v>1804</v>
      </c>
      <c r="R51" s="44" t="s">
        <v>1805</v>
      </c>
      <c r="S51" s="44" t="s">
        <v>1806</v>
      </c>
      <c r="T51" s="44" t="s">
        <v>1807</v>
      </c>
      <c r="U51" s="14">
        <v>8.0</v>
      </c>
      <c r="V51" s="59"/>
      <c r="Y51" s="47" t="s">
        <v>431</v>
      </c>
      <c r="Z51" s="47" t="s">
        <v>1808</v>
      </c>
      <c r="AA51" s="47" t="s">
        <v>1809</v>
      </c>
      <c r="AB51" s="47" t="s">
        <v>433</v>
      </c>
      <c r="AC51" s="47" t="s">
        <v>433</v>
      </c>
      <c r="AE51" s="47" t="s">
        <v>174</v>
      </c>
      <c r="AF51" s="47" t="s">
        <v>435</v>
      </c>
      <c r="AG51" s="14" t="s">
        <v>2134</v>
      </c>
      <c r="AH51" s="17" t="s">
        <v>1819</v>
      </c>
      <c r="AI51" s="17" t="s">
        <v>1820</v>
      </c>
      <c r="AJ51" s="16" t="s">
        <v>70</v>
      </c>
    </row>
    <row r="52" ht="15.75" customHeight="1">
      <c r="A52" s="9">
        <v>50.0</v>
      </c>
      <c r="B52" s="40" t="s">
        <v>2135</v>
      </c>
      <c r="C52" s="11" t="s">
        <v>1803</v>
      </c>
      <c r="D52" s="11" t="s">
        <v>298</v>
      </c>
      <c r="E52" s="11" t="s">
        <v>73</v>
      </c>
      <c r="F52" s="11" t="s">
        <v>315</v>
      </c>
      <c r="G52" s="11"/>
      <c r="H52" s="11"/>
      <c r="I52" s="14" t="s">
        <v>2136</v>
      </c>
      <c r="J52" s="40" t="s">
        <v>2137</v>
      </c>
      <c r="K52" s="14" t="s">
        <v>2138</v>
      </c>
      <c r="L52" s="45" t="s">
        <v>298</v>
      </c>
      <c r="M52" s="16" t="s">
        <v>2139</v>
      </c>
      <c r="N52" s="16" t="s">
        <v>2140</v>
      </c>
      <c r="O52" s="44">
        <v>2006.0</v>
      </c>
      <c r="P52" s="44" t="s">
        <v>1803</v>
      </c>
      <c r="Q52" s="14" t="s">
        <v>1804</v>
      </c>
      <c r="R52" s="44" t="s">
        <v>1805</v>
      </c>
      <c r="S52" s="44" t="s">
        <v>1806</v>
      </c>
      <c r="T52" s="44" t="s">
        <v>1807</v>
      </c>
      <c r="U52" s="14">
        <v>8.0</v>
      </c>
      <c r="V52" s="59"/>
      <c r="Y52" s="47" t="s">
        <v>431</v>
      </c>
      <c r="Z52" s="47" t="s">
        <v>1808</v>
      </c>
      <c r="AA52" s="47" t="s">
        <v>1809</v>
      </c>
      <c r="AB52" s="47" t="s">
        <v>433</v>
      </c>
      <c r="AC52" s="47" t="s">
        <v>433</v>
      </c>
      <c r="AE52" s="47" t="s">
        <v>174</v>
      </c>
      <c r="AF52" s="47" t="s">
        <v>435</v>
      </c>
      <c r="AG52" s="14" t="s">
        <v>2141</v>
      </c>
      <c r="AH52" s="17" t="s">
        <v>1819</v>
      </c>
      <c r="AI52" s="17" t="s">
        <v>1820</v>
      </c>
      <c r="AJ52" s="16" t="s">
        <v>70</v>
      </c>
    </row>
    <row r="53" ht="15.75" customHeight="1">
      <c r="A53" s="9">
        <v>51.0</v>
      </c>
      <c r="B53" s="40" t="s">
        <v>2142</v>
      </c>
      <c r="C53" s="11" t="s">
        <v>1803</v>
      </c>
      <c r="D53" s="11" t="s">
        <v>298</v>
      </c>
      <c r="E53" s="11" t="s">
        <v>73</v>
      </c>
      <c r="F53" s="11" t="s">
        <v>315</v>
      </c>
      <c r="G53" s="11"/>
      <c r="H53" s="11"/>
      <c r="I53" s="14" t="s">
        <v>2143</v>
      </c>
      <c r="J53" s="40" t="s">
        <v>2144</v>
      </c>
      <c r="K53" s="14" t="s">
        <v>2145</v>
      </c>
      <c r="L53" s="45" t="s">
        <v>298</v>
      </c>
      <c r="M53" s="16" t="s">
        <v>2146</v>
      </c>
      <c r="N53" s="16" t="s">
        <v>2147</v>
      </c>
      <c r="O53" s="44">
        <v>2006.0</v>
      </c>
      <c r="P53" s="44" t="s">
        <v>1803</v>
      </c>
      <c r="Q53" s="14" t="s">
        <v>1804</v>
      </c>
      <c r="R53" s="44" t="s">
        <v>1805</v>
      </c>
      <c r="S53" s="44" t="s">
        <v>1806</v>
      </c>
      <c r="T53" s="44" t="s">
        <v>1807</v>
      </c>
      <c r="U53" s="14">
        <v>8.0</v>
      </c>
      <c r="V53" s="59"/>
      <c r="Y53" s="47" t="s">
        <v>431</v>
      </c>
      <c r="Z53" s="47" t="s">
        <v>1808</v>
      </c>
      <c r="AA53" s="47" t="s">
        <v>1809</v>
      </c>
      <c r="AB53" s="47" t="s">
        <v>433</v>
      </c>
      <c r="AC53" s="47" t="s">
        <v>433</v>
      </c>
      <c r="AE53" s="47" t="s">
        <v>174</v>
      </c>
      <c r="AF53" s="47" t="s">
        <v>435</v>
      </c>
      <c r="AG53" s="14" t="s">
        <v>2148</v>
      </c>
      <c r="AH53" s="17" t="s">
        <v>1819</v>
      </c>
      <c r="AI53" s="17" t="s">
        <v>1820</v>
      </c>
      <c r="AJ53" s="16" t="s">
        <v>70</v>
      </c>
    </row>
    <row r="54" ht="15.75" customHeight="1">
      <c r="A54" s="9">
        <v>52.0</v>
      </c>
      <c r="B54" s="40" t="s">
        <v>2149</v>
      </c>
      <c r="C54" s="11" t="s">
        <v>1803</v>
      </c>
      <c r="D54" s="11" t="s">
        <v>298</v>
      </c>
      <c r="E54" s="11" t="s">
        <v>73</v>
      </c>
      <c r="F54" s="11" t="s">
        <v>315</v>
      </c>
      <c r="G54" s="11"/>
      <c r="H54" s="11"/>
      <c r="I54" s="14" t="s">
        <v>2150</v>
      </c>
      <c r="J54" s="40" t="s">
        <v>2151</v>
      </c>
      <c r="K54" s="14" t="s">
        <v>2152</v>
      </c>
      <c r="L54" s="45" t="s">
        <v>298</v>
      </c>
      <c r="M54" s="16" t="s">
        <v>2153</v>
      </c>
      <c r="N54" s="16" t="s">
        <v>2154</v>
      </c>
      <c r="O54" s="44">
        <v>2009.0</v>
      </c>
      <c r="P54" s="44" t="s">
        <v>1803</v>
      </c>
      <c r="Q54" s="14" t="s">
        <v>1804</v>
      </c>
      <c r="R54" s="44" t="s">
        <v>1805</v>
      </c>
      <c r="S54" s="44" t="s">
        <v>1806</v>
      </c>
      <c r="T54" s="44" t="s">
        <v>1807</v>
      </c>
      <c r="U54" s="14">
        <v>8.0</v>
      </c>
      <c r="V54" s="59"/>
      <c r="Y54" s="47" t="s">
        <v>431</v>
      </c>
      <c r="Z54" s="47" t="s">
        <v>1808</v>
      </c>
      <c r="AA54" s="47" t="s">
        <v>1809</v>
      </c>
      <c r="AB54" s="47" t="s">
        <v>433</v>
      </c>
      <c r="AC54" s="47" t="s">
        <v>433</v>
      </c>
      <c r="AE54" s="47" t="s">
        <v>174</v>
      </c>
      <c r="AF54" s="47" t="s">
        <v>435</v>
      </c>
      <c r="AG54" s="14" t="s">
        <v>2155</v>
      </c>
      <c r="AH54" s="17" t="s">
        <v>1828</v>
      </c>
      <c r="AI54" s="17" t="s">
        <v>2156</v>
      </c>
      <c r="AJ54" s="16" t="s">
        <v>70</v>
      </c>
    </row>
    <row r="55" ht="15.75" customHeight="1">
      <c r="A55" s="9">
        <v>53.0</v>
      </c>
      <c r="B55" s="40" t="s">
        <v>2157</v>
      </c>
      <c r="C55" s="11" t="s">
        <v>1803</v>
      </c>
      <c r="D55" s="11" t="s">
        <v>298</v>
      </c>
      <c r="E55" s="11" t="s">
        <v>73</v>
      </c>
      <c r="F55" s="11" t="s">
        <v>315</v>
      </c>
      <c r="G55" s="11"/>
      <c r="H55" s="11"/>
      <c r="I55" s="14" t="s">
        <v>2158</v>
      </c>
      <c r="J55" s="40" t="s">
        <v>2159</v>
      </c>
      <c r="K55" s="14" t="s">
        <v>2160</v>
      </c>
      <c r="L55" s="45" t="s">
        <v>298</v>
      </c>
      <c r="M55" s="16" t="s">
        <v>2161</v>
      </c>
      <c r="N55" s="16" t="s">
        <v>2162</v>
      </c>
      <c r="O55" s="44">
        <v>2009.0</v>
      </c>
      <c r="P55" s="44" t="s">
        <v>1803</v>
      </c>
      <c r="Q55" s="14" t="s">
        <v>1804</v>
      </c>
      <c r="R55" s="44" t="s">
        <v>1805</v>
      </c>
      <c r="S55" s="44" t="s">
        <v>1806</v>
      </c>
      <c r="T55" s="44" t="s">
        <v>1807</v>
      </c>
      <c r="U55" s="14">
        <v>8.0</v>
      </c>
      <c r="V55" s="59"/>
      <c r="Y55" s="47" t="s">
        <v>431</v>
      </c>
      <c r="Z55" s="47" t="s">
        <v>1808</v>
      </c>
      <c r="AA55" s="47" t="s">
        <v>1809</v>
      </c>
      <c r="AB55" s="47" t="s">
        <v>433</v>
      </c>
      <c r="AC55" s="47" t="s">
        <v>433</v>
      </c>
      <c r="AE55" s="47" t="s">
        <v>174</v>
      </c>
      <c r="AF55" s="47" t="s">
        <v>435</v>
      </c>
      <c r="AG55" s="14" t="s">
        <v>2163</v>
      </c>
      <c r="AH55" s="17" t="s">
        <v>1828</v>
      </c>
      <c r="AI55" s="17" t="s">
        <v>2156</v>
      </c>
      <c r="AJ55" s="16" t="s">
        <v>70</v>
      </c>
    </row>
    <row r="56" ht="15.75" customHeight="1">
      <c r="A56" s="9">
        <v>54.0</v>
      </c>
      <c r="B56" s="40" t="s">
        <v>2164</v>
      </c>
      <c r="C56" s="11" t="s">
        <v>1803</v>
      </c>
      <c r="D56" s="11" t="s">
        <v>298</v>
      </c>
      <c r="E56" s="11" t="s">
        <v>73</v>
      </c>
      <c r="F56" s="11" t="s">
        <v>315</v>
      </c>
      <c r="G56" s="11"/>
      <c r="H56" s="11"/>
      <c r="I56" s="14" t="s">
        <v>2165</v>
      </c>
      <c r="J56" s="40" t="s">
        <v>2166</v>
      </c>
      <c r="K56" s="14" t="s">
        <v>2167</v>
      </c>
      <c r="L56" s="45" t="s">
        <v>298</v>
      </c>
      <c r="M56" s="16" t="s">
        <v>2168</v>
      </c>
      <c r="N56" s="16" t="s">
        <v>2169</v>
      </c>
      <c r="O56" s="44">
        <v>2006.0</v>
      </c>
      <c r="P56" s="44" t="s">
        <v>1803</v>
      </c>
      <c r="Q56" s="14" t="s">
        <v>1804</v>
      </c>
      <c r="R56" s="44" t="s">
        <v>1805</v>
      </c>
      <c r="S56" s="44" t="s">
        <v>1806</v>
      </c>
      <c r="T56" s="44" t="s">
        <v>1807</v>
      </c>
      <c r="U56" s="14">
        <v>8.0</v>
      </c>
      <c r="V56" s="59"/>
      <c r="Y56" s="47" t="s">
        <v>431</v>
      </c>
      <c r="Z56" s="47" t="s">
        <v>1808</v>
      </c>
      <c r="AA56" s="47" t="s">
        <v>1809</v>
      </c>
      <c r="AB56" s="47" t="s">
        <v>433</v>
      </c>
      <c r="AC56" s="47" t="s">
        <v>433</v>
      </c>
      <c r="AE56" s="47" t="s">
        <v>174</v>
      </c>
      <c r="AF56" s="47" t="s">
        <v>435</v>
      </c>
      <c r="AG56" s="14" t="s">
        <v>2170</v>
      </c>
      <c r="AH56" s="17" t="s">
        <v>1819</v>
      </c>
      <c r="AI56" s="17" t="s">
        <v>1820</v>
      </c>
      <c r="AJ56" s="16" t="s">
        <v>70</v>
      </c>
    </row>
    <row r="57" ht="15.75" customHeight="1">
      <c r="A57" s="9">
        <v>55.0</v>
      </c>
      <c r="B57" s="40" t="s">
        <v>2171</v>
      </c>
      <c r="C57" s="11" t="s">
        <v>1803</v>
      </c>
      <c r="D57" s="11" t="s">
        <v>298</v>
      </c>
      <c r="E57" s="11" t="s">
        <v>73</v>
      </c>
      <c r="F57" s="11" t="s">
        <v>315</v>
      </c>
      <c r="G57" s="11"/>
      <c r="H57" s="11"/>
      <c r="I57" s="14" t="s">
        <v>2172</v>
      </c>
      <c r="J57" s="40" t="s">
        <v>2173</v>
      </c>
      <c r="K57" s="14" t="s">
        <v>2174</v>
      </c>
      <c r="L57" s="45" t="s">
        <v>298</v>
      </c>
      <c r="M57" s="16" t="s">
        <v>2175</v>
      </c>
      <c r="N57" s="16" t="s">
        <v>2176</v>
      </c>
      <c r="O57" s="44">
        <v>2006.0</v>
      </c>
      <c r="P57" s="44" t="s">
        <v>1803</v>
      </c>
      <c r="Q57" s="14" t="s">
        <v>1804</v>
      </c>
      <c r="R57" s="44" t="s">
        <v>1805</v>
      </c>
      <c r="S57" s="44" t="s">
        <v>1806</v>
      </c>
      <c r="T57" s="44" t="s">
        <v>1807</v>
      </c>
      <c r="U57" s="14">
        <v>8.0</v>
      </c>
      <c r="V57" s="59"/>
      <c r="Y57" s="47" t="s">
        <v>431</v>
      </c>
      <c r="Z57" s="47" t="s">
        <v>1808</v>
      </c>
      <c r="AA57" s="47" t="s">
        <v>1809</v>
      </c>
      <c r="AB57" s="47" t="s">
        <v>433</v>
      </c>
      <c r="AC57" s="47" t="s">
        <v>433</v>
      </c>
      <c r="AE57" s="47" t="s">
        <v>174</v>
      </c>
      <c r="AF57" s="47" t="s">
        <v>435</v>
      </c>
      <c r="AG57" s="14" t="s">
        <v>2177</v>
      </c>
      <c r="AH57" s="17" t="s">
        <v>1819</v>
      </c>
      <c r="AI57" s="17" t="s">
        <v>1820</v>
      </c>
      <c r="AJ57" s="16" t="s">
        <v>70</v>
      </c>
    </row>
    <row r="58" ht="15.75" customHeight="1">
      <c r="A58" s="9">
        <v>56.0</v>
      </c>
      <c r="B58" s="40" t="s">
        <v>2178</v>
      </c>
      <c r="C58" s="11" t="s">
        <v>1803</v>
      </c>
      <c r="D58" s="11" t="s">
        <v>298</v>
      </c>
      <c r="E58" s="11" t="s">
        <v>73</v>
      </c>
      <c r="F58" s="11" t="s">
        <v>315</v>
      </c>
      <c r="G58" s="11"/>
      <c r="H58" s="11"/>
      <c r="I58" s="14" t="s">
        <v>2179</v>
      </c>
      <c r="J58" s="40" t="s">
        <v>2180</v>
      </c>
      <c r="K58" s="14" t="s">
        <v>2181</v>
      </c>
      <c r="L58" s="45" t="s">
        <v>298</v>
      </c>
      <c r="M58" s="16" t="s">
        <v>2182</v>
      </c>
      <c r="N58" s="16" t="s">
        <v>2183</v>
      </c>
      <c r="O58" s="44">
        <v>2006.0</v>
      </c>
      <c r="P58" s="44" t="s">
        <v>1803</v>
      </c>
      <c r="Q58" s="14" t="s">
        <v>1804</v>
      </c>
      <c r="R58" s="44" t="s">
        <v>1805</v>
      </c>
      <c r="S58" s="44" t="s">
        <v>1806</v>
      </c>
      <c r="T58" s="44" t="s">
        <v>1807</v>
      </c>
      <c r="U58" s="14">
        <v>8.0</v>
      </c>
      <c r="V58" s="59"/>
      <c r="Y58" s="47" t="s">
        <v>431</v>
      </c>
      <c r="Z58" s="47" t="s">
        <v>1808</v>
      </c>
      <c r="AA58" s="47" t="s">
        <v>1809</v>
      </c>
      <c r="AB58" s="47" t="s">
        <v>433</v>
      </c>
      <c r="AC58" s="47" t="s">
        <v>433</v>
      </c>
      <c r="AE58" s="47" t="s">
        <v>174</v>
      </c>
      <c r="AF58" s="47" t="s">
        <v>435</v>
      </c>
      <c r="AG58" s="14" t="s">
        <v>2184</v>
      </c>
      <c r="AH58" s="17" t="s">
        <v>1819</v>
      </c>
      <c r="AI58" s="17" t="s">
        <v>1820</v>
      </c>
      <c r="AJ58" s="16" t="s">
        <v>70</v>
      </c>
    </row>
    <row r="59" ht="15.75" customHeight="1">
      <c r="A59" s="9">
        <v>57.0</v>
      </c>
      <c r="B59" s="40" t="s">
        <v>2185</v>
      </c>
      <c r="C59" s="11" t="s">
        <v>1803</v>
      </c>
      <c r="D59" s="11" t="s">
        <v>298</v>
      </c>
      <c r="E59" s="11" t="s">
        <v>73</v>
      </c>
      <c r="F59" s="11" t="s">
        <v>315</v>
      </c>
      <c r="G59" s="11"/>
      <c r="H59" s="11"/>
      <c r="I59" s="14" t="s">
        <v>2186</v>
      </c>
      <c r="J59" s="40" t="s">
        <v>2187</v>
      </c>
      <c r="K59" s="14" t="s">
        <v>2188</v>
      </c>
      <c r="L59" s="45" t="s">
        <v>298</v>
      </c>
      <c r="M59" s="16" t="s">
        <v>2189</v>
      </c>
      <c r="N59" s="16" t="s">
        <v>2190</v>
      </c>
      <c r="O59" s="44">
        <v>2011.0</v>
      </c>
      <c r="P59" s="44" t="s">
        <v>1803</v>
      </c>
      <c r="Q59" s="14" t="s">
        <v>1804</v>
      </c>
      <c r="R59" s="44" t="s">
        <v>1805</v>
      </c>
      <c r="S59" s="44" t="s">
        <v>1806</v>
      </c>
      <c r="T59" s="44" t="s">
        <v>1807</v>
      </c>
      <c r="U59" s="14">
        <v>8.0</v>
      </c>
      <c r="V59" s="59"/>
      <c r="Y59" s="47" t="s">
        <v>431</v>
      </c>
      <c r="Z59" s="47" t="s">
        <v>1808</v>
      </c>
      <c r="AA59" s="47" t="s">
        <v>1809</v>
      </c>
      <c r="AB59" s="47" t="s">
        <v>433</v>
      </c>
      <c r="AC59" s="47" t="s">
        <v>433</v>
      </c>
      <c r="AE59" s="47" t="s">
        <v>174</v>
      </c>
      <c r="AF59" s="47" t="s">
        <v>435</v>
      </c>
      <c r="AG59" s="14" t="s">
        <v>2191</v>
      </c>
      <c r="AH59" s="17" t="s">
        <v>2192</v>
      </c>
      <c r="AI59" s="17" t="s">
        <v>2193</v>
      </c>
      <c r="AJ59" s="16" t="s">
        <v>70</v>
      </c>
    </row>
    <row r="60" ht="15.75" customHeight="1">
      <c r="A60" s="9">
        <v>58.0</v>
      </c>
      <c r="B60" s="40" t="s">
        <v>2194</v>
      </c>
      <c r="C60" s="11" t="s">
        <v>1803</v>
      </c>
      <c r="D60" s="11" t="s">
        <v>298</v>
      </c>
      <c r="E60" s="11" t="s">
        <v>73</v>
      </c>
      <c r="F60" s="11" t="s">
        <v>315</v>
      </c>
      <c r="G60" s="11"/>
      <c r="H60" s="11"/>
      <c r="I60" s="14" t="s">
        <v>2195</v>
      </c>
      <c r="J60" s="40" t="s">
        <v>2196</v>
      </c>
      <c r="K60" s="14" t="s">
        <v>2197</v>
      </c>
      <c r="L60" s="45" t="s">
        <v>298</v>
      </c>
      <c r="M60" s="16" t="s">
        <v>2198</v>
      </c>
      <c r="N60" s="16" t="s">
        <v>2199</v>
      </c>
      <c r="O60" s="44">
        <v>2006.0</v>
      </c>
      <c r="P60" s="44" t="s">
        <v>1803</v>
      </c>
      <c r="Q60" s="14" t="s">
        <v>1804</v>
      </c>
      <c r="R60" s="44" t="s">
        <v>1805</v>
      </c>
      <c r="S60" s="44" t="s">
        <v>1806</v>
      </c>
      <c r="T60" s="44" t="s">
        <v>1807</v>
      </c>
      <c r="U60" s="14">
        <v>8.0</v>
      </c>
      <c r="V60" s="59"/>
      <c r="Y60" s="47" t="s">
        <v>431</v>
      </c>
      <c r="Z60" s="47" t="s">
        <v>1808</v>
      </c>
      <c r="AA60" s="47" t="s">
        <v>1809</v>
      </c>
      <c r="AB60" s="47" t="s">
        <v>433</v>
      </c>
      <c r="AC60" s="47" t="s">
        <v>433</v>
      </c>
      <c r="AE60" s="47" t="s">
        <v>174</v>
      </c>
      <c r="AF60" s="47" t="s">
        <v>435</v>
      </c>
      <c r="AG60" s="14" t="s">
        <v>2200</v>
      </c>
      <c r="AH60" s="17" t="s">
        <v>1819</v>
      </c>
      <c r="AI60" s="17" t="s">
        <v>1820</v>
      </c>
      <c r="AJ60" s="16" t="s">
        <v>70</v>
      </c>
    </row>
    <row r="61" ht="15.75" customHeight="1">
      <c r="A61" s="9">
        <v>59.0</v>
      </c>
      <c r="B61" s="40" t="s">
        <v>2201</v>
      </c>
      <c r="C61" s="11" t="s">
        <v>1803</v>
      </c>
      <c r="D61" s="11" t="s">
        <v>298</v>
      </c>
      <c r="E61" s="11" t="s">
        <v>73</v>
      </c>
      <c r="F61" s="11" t="s">
        <v>315</v>
      </c>
      <c r="G61" s="11"/>
      <c r="H61" s="11"/>
      <c r="I61" s="14" t="s">
        <v>2202</v>
      </c>
      <c r="J61" s="40" t="s">
        <v>2203</v>
      </c>
      <c r="K61" s="14" t="s">
        <v>2204</v>
      </c>
      <c r="L61" s="45" t="s">
        <v>298</v>
      </c>
      <c r="M61" s="16" t="s">
        <v>2205</v>
      </c>
      <c r="N61" s="16" t="s">
        <v>2206</v>
      </c>
      <c r="O61" s="44">
        <v>2006.0</v>
      </c>
      <c r="P61" s="44" t="s">
        <v>1803</v>
      </c>
      <c r="Q61" s="14" t="s">
        <v>1804</v>
      </c>
      <c r="R61" s="44" t="s">
        <v>1805</v>
      </c>
      <c r="S61" s="44" t="s">
        <v>1806</v>
      </c>
      <c r="T61" s="44" t="s">
        <v>1807</v>
      </c>
      <c r="U61" s="14">
        <v>8.0</v>
      </c>
      <c r="V61" s="59"/>
      <c r="Y61" s="47" t="s">
        <v>431</v>
      </c>
      <c r="Z61" s="47" t="s">
        <v>1808</v>
      </c>
      <c r="AA61" s="47" t="s">
        <v>1809</v>
      </c>
      <c r="AB61" s="47" t="s">
        <v>433</v>
      </c>
      <c r="AC61" s="47" t="s">
        <v>433</v>
      </c>
      <c r="AE61" s="47" t="s">
        <v>174</v>
      </c>
      <c r="AF61" s="47" t="s">
        <v>435</v>
      </c>
      <c r="AG61" s="14" t="s">
        <v>2207</v>
      </c>
      <c r="AH61" s="17" t="s">
        <v>1819</v>
      </c>
      <c r="AI61" s="17" t="s">
        <v>1820</v>
      </c>
      <c r="AJ61" s="16" t="s">
        <v>70</v>
      </c>
    </row>
    <row r="62" ht="15.75" customHeight="1">
      <c r="A62" s="9">
        <v>60.0</v>
      </c>
      <c r="B62" s="40" t="s">
        <v>2208</v>
      </c>
      <c r="C62" s="11" t="s">
        <v>1803</v>
      </c>
      <c r="D62" s="11" t="s">
        <v>298</v>
      </c>
      <c r="E62" s="11" t="s">
        <v>73</v>
      </c>
      <c r="F62" s="11" t="s">
        <v>315</v>
      </c>
      <c r="G62" s="11"/>
      <c r="H62" s="11"/>
      <c r="I62" s="14" t="s">
        <v>2209</v>
      </c>
      <c r="J62" s="40" t="s">
        <v>2210</v>
      </c>
      <c r="K62" s="14" t="s">
        <v>2211</v>
      </c>
      <c r="L62" s="45" t="s">
        <v>298</v>
      </c>
      <c r="M62" s="16" t="s">
        <v>2212</v>
      </c>
      <c r="N62" s="16" t="s">
        <v>2213</v>
      </c>
      <c r="O62" s="44">
        <v>2006.0</v>
      </c>
      <c r="P62" s="44" t="s">
        <v>1803</v>
      </c>
      <c r="Q62" s="14" t="s">
        <v>1804</v>
      </c>
      <c r="R62" s="44" t="s">
        <v>1805</v>
      </c>
      <c r="S62" s="44" t="s">
        <v>1806</v>
      </c>
      <c r="T62" s="44" t="s">
        <v>1807</v>
      </c>
      <c r="U62" s="14">
        <v>8.0</v>
      </c>
      <c r="V62" s="59"/>
      <c r="Y62" s="47" t="s">
        <v>431</v>
      </c>
      <c r="Z62" s="47" t="s">
        <v>1808</v>
      </c>
      <c r="AA62" s="47" t="s">
        <v>1809</v>
      </c>
      <c r="AB62" s="47" t="s">
        <v>433</v>
      </c>
      <c r="AC62" s="47" t="s">
        <v>433</v>
      </c>
      <c r="AE62" s="47" t="s">
        <v>174</v>
      </c>
      <c r="AF62" s="47" t="s">
        <v>435</v>
      </c>
      <c r="AG62" s="14" t="s">
        <v>2214</v>
      </c>
      <c r="AH62" s="17" t="s">
        <v>1819</v>
      </c>
      <c r="AI62" s="17" t="s">
        <v>1820</v>
      </c>
      <c r="AJ62" s="16" t="s">
        <v>70</v>
      </c>
    </row>
    <row r="63" ht="15.75" customHeight="1">
      <c r="A63" s="9">
        <v>61.0</v>
      </c>
      <c r="B63" s="40" t="s">
        <v>2215</v>
      </c>
      <c r="C63" s="11" t="s">
        <v>1803</v>
      </c>
      <c r="D63" s="11" t="s">
        <v>298</v>
      </c>
      <c r="E63" s="11" t="s">
        <v>73</v>
      </c>
      <c r="F63" s="11" t="s">
        <v>315</v>
      </c>
      <c r="G63" s="11"/>
      <c r="H63" s="11"/>
      <c r="I63" s="14" t="s">
        <v>2216</v>
      </c>
      <c r="J63" s="40" t="s">
        <v>2217</v>
      </c>
      <c r="K63" s="14" t="s">
        <v>2218</v>
      </c>
      <c r="L63" s="45" t="s">
        <v>298</v>
      </c>
      <c r="M63" s="16" t="s">
        <v>2219</v>
      </c>
      <c r="N63" s="16" t="s">
        <v>2220</v>
      </c>
      <c r="O63" s="44">
        <v>2006.0</v>
      </c>
      <c r="P63" s="44" t="s">
        <v>1803</v>
      </c>
      <c r="Q63" s="14" t="s">
        <v>1804</v>
      </c>
      <c r="R63" s="44" t="s">
        <v>1805</v>
      </c>
      <c r="S63" s="44" t="s">
        <v>1806</v>
      </c>
      <c r="T63" s="44" t="s">
        <v>1807</v>
      </c>
      <c r="U63" s="14">
        <v>8.0</v>
      </c>
      <c r="V63" s="59"/>
      <c r="Y63" s="47" t="s">
        <v>431</v>
      </c>
      <c r="Z63" s="47" t="s">
        <v>1808</v>
      </c>
      <c r="AA63" s="47" t="s">
        <v>1809</v>
      </c>
      <c r="AB63" s="47" t="s">
        <v>433</v>
      </c>
      <c r="AC63" s="47" t="s">
        <v>433</v>
      </c>
      <c r="AE63" s="47" t="s">
        <v>174</v>
      </c>
      <c r="AF63" s="47" t="s">
        <v>435</v>
      </c>
      <c r="AG63" s="14" t="s">
        <v>2221</v>
      </c>
      <c r="AH63" s="17" t="s">
        <v>1819</v>
      </c>
      <c r="AI63" s="17" t="s">
        <v>1820</v>
      </c>
      <c r="AJ63" s="16" t="s">
        <v>70</v>
      </c>
    </row>
    <row r="64" ht="15.75" customHeight="1">
      <c r="A64" s="9">
        <v>62.0</v>
      </c>
      <c r="B64" s="40" t="s">
        <v>2222</v>
      </c>
      <c r="C64" s="11" t="s">
        <v>1803</v>
      </c>
      <c r="D64" s="11" t="s">
        <v>298</v>
      </c>
      <c r="E64" s="11" t="s">
        <v>73</v>
      </c>
      <c r="F64" s="11" t="s">
        <v>315</v>
      </c>
      <c r="G64" s="11"/>
      <c r="H64" s="11"/>
      <c r="I64" s="14" t="s">
        <v>2223</v>
      </c>
      <c r="J64" s="40" t="s">
        <v>2224</v>
      </c>
      <c r="K64" s="14" t="s">
        <v>2225</v>
      </c>
      <c r="L64" s="45" t="s">
        <v>298</v>
      </c>
      <c r="M64" s="16" t="s">
        <v>2226</v>
      </c>
      <c r="N64" s="16" t="s">
        <v>2227</v>
      </c>
      <c r="O64" s="44">
        <v>2006.0</v>
      </c>
      <c r="P64" s="44" t="s">
        <v>1803</v>
      </c>
      <c r="Q64" s="14" t="s">
        <v>1804</v>
      </c>
      <c r="R64" s="44" t="s">
        <v>1805</v>
      </c>
      <c r="S64" s="44" t="s">
        <v>1806</v>
      </c>
      <c r="T64" s="44" t="s">
        <v>1807</v>
      </c>
      <c r="U64" s="14">
        <v>8.0</v>
      </c>
      <c r="V64" s="59"/>
      <c r="Y64" s="47" t="s">
        <v>431</v>
      </c>
      <c r="Z64" s="47" t="s">
        <v>1808</v>
      </c>
      <c r="AA64" s="47" t="s">
        <v>1809</v>
      </c>
      <c r="AB64" s="47" t="s">
        <v>433</v>
      </c>
      <c r="AC64" s="47" t="s">
        <v>433</v>
      </c>
      <c r="AE64" s="47" t="s">
        <v>174</v>
      </c>
      <c r="AF64" s="47" t="s">
        <v>435</v>
      </c>
      <c r="AG64" s="14" t="s">
        <v>2228</v>
      </c>
      <c r="AH64" s="17" t="s">
        <v>1819</v>
      </c>
      <c r="AI64" s="17" t="s">
        <v>1820</v>
      </c>
      <c r="AJ64" s="16" t="s">
        <v>70</v>
      </c>
    </row>
    <row r="65" ht="15.75" customHeight="1">
      <c r="A65" s="9">
        <v>63.0</v>
      </c>
      <c r="B65" s="40" t="s">
        <v>2229</v>
      </c>
      <c r="C65" s="11" t="s">
        <v>1803</v>
      </c>
      <c r="D65" s="11" t="s">
        <v>298</v>
      </c>
      <c r="E65" s="11" t="s">
        <v>73</v>
      </c>
      <c r="F65" s="11" t="s">
        <v>315</v>
      </c>
      <c r="G65" s="11"/>
      <c r="H65" s="11"/>
      <c r="I65" s="14" t="s">
        <v>2230</v>
      </c>
      <c r="J65" s="40" t="s">
        <v>2231</v>
      </c>
      <c r="K65" s="14" t="s">
        <v>2232</v>
      </c>
      <c r="L65" s="45" t="s">
        <v>298</v>
      </c>
      <c r="M65" s="16" t="s">
        <v>2233</v>
      </c>
      <c r="N65" s="16" t="s">
        <v>2234</v>
      </c>
      <c r="O65" s="44">
        <v>2011.0</v>
      </c>
      <c r="P65" s="44" t="s">
        <v>1803</v>
      </c>
      <c r="Q65" s="14" t="s">
        <v>1804</v>
      </c>
      <c r="R65" s="44" t="s">
        <v>1805</v>
      </c>
      <c r="S65" s="44" t="s">
        <v>1806</v>
      </c>
      <c r="T65" s="44" t="s">
        <v>1807</v>
      </c>
      <c r="U65" s="14">
        <v>8.0</v>
      </c>
      <c r="V65" s="59"/>
      <c r="Y65" s="47" t="s">
        <v>431</v>
      </c>
      <c r="Z65" s="47" t="s">
        <v>1808</v>
      </c>
      <c r="AA65" s="47" t="s">
        <v>1809</v>
      </c>
      <c r="AB65" s="47" t="s">
        <v>433</v>
      </c>
      <c r="AC65" s="47" t="s">
        <v>433</v>
      </c>
      <c r="AE65" s="47" t="s">
        <v>174</v>
      </c>
      <c r="AF65" s="47" t="s">
        <v>435</v>
      </c>
      <c r="AG65" s="14" t="s">
        <v>2235</v>
      </c>
      <c r="AH65" s="17" t="s">
        <v>2192</v>
      </c>
      <c r="AI65" s="17" t="s">
        <v>2193</v>
      </c>
      <c r="AJ65" s="16" t="s">
        <v>70</v>
      </c>
    </row>
    <row r="66" ht="15.75" customHeight="1">
      <c r="A66" s="9">
        <v>64.0</v>
      </c>
      <c r="B66" s="40" t="s">
        <v>2236</v>
      </c>
      <c r="C66" s="11" t="s">
        <v>1803</v>
      </c>
      <c r="D66" s="11" t="s">
        <v>298</v>
      </c>
      <c r="E66" s="11" t="s">
        <v>73</v>
      </c>
      <c r="F66" s="11" t="s">
        <v>315</v>
      </c>
      <c r="G66" s="11"/>
      <c r="H66" s="11"/>
      <c r="I66" s="14" t="s">
        <v>2237</v>
      </c>
      <c r="J66" s="40" t="s">
        <v>2238</v>
      </c>
      <c r="K66" s="14" t="s">
        <v>2239</v>
      </c>
      <c r="L66" s="45" t="s">
        <v>298</v>
      </c>
      <c r="M66" s="16" t="s">
        <v>2240</v>
      </c>
      <c r="N66" s="16" t="s">
        <v>2241</v>
      </c>
      <c r="O66" s="44">
        <v>2012.0</v>
      </c>
      <c r="P66" s="44" t="s">
        <v>1803</v>
      </c>
      <c r="Q66" s="14" t="s">
        <v>1804</v>
      </c>
      <c r="R66" s="44" t="s">
        <v>1805</v>
      </c>
      <c r="S66" s="44" t="s">
        <v>1806</v>
      </c>
      <c r="T66" s="44" t="s">
        <v>1807</v>
      </c>
      <c r="U66" s="14">
        <v>8.0</v>
      </c>
      <c r="V66" s="59"/>
      <c r="Y66" s="47" t="s">
        <v>431</v>
      </c>
      <c r="Z66" s="47" t="s">
        <v>1808</v>
      </c>
      <c r="AA66" s="47" t="s">
        <v>1809</v>
      </c>
      <c r="AB66" s="47" t="s">
        <v>433</v>
      </c>
      <c r="AC66" s="47" t="s">
        <v>433</v>
      </c>
      <c r="AE66" s="47" t="s">
        <v>174</v>
      </c>
      <c r="AF66" s="47" t="s">
        <v>435</v>
      </c>
      <c r="AG66" s="14" t="s">
        <v>2242</v>
      </c>
      <c r="AH66" s="17" t="s">
        <v>2243</v>
      </c>
      <c r="AI66" s="17" t="s">
        <v>2244</v>
      </c>
      <c r="AJ66" s="16" t="s">
        <v>70</v>
      </c>
    </row>
    <row r="67" ht="15.75" customHeight="1">
      <c r="A67" s="9">
        <v>67.0</v>
      </c>
      <c r="B67" s="16" t="s">
        <v>2245</v>
      </c>
      <c r="C67" s="11" t="s">
        <v>1803</v>
      </c>
      <c r="D67" s="11" t="s">
        <v>298</v>
      </c>
      <c r="E67" s="11" t="s">
        <v>73</v>
      </c>
      <c r="F67" s="11" t="s">
        <v>315</v>
      </c>
      <c r="G67" s="11"/>
      <c r="H67" s="11"/>
      <c r="I67" s="14" t="s">
        <v>2246</v>
      </c>
      <c r="J67" s="40" t="s">
        <v>2247</v>
      </c>
      <c r="K67" s="14" t="s">
        <v>2248</v>
      </c>
      <c r="L67" s="45" t="s">
        <v>298</v>
      </c>
      <c r="M67" s="16" t="s">
        <v>2249</v>
      </c>
      <c r="N67" s="16" t="s">
        <v>2250</v>
      </c>
      <c r="O67" s="44">
        <v>2019.0</v>
      </c>
      <c r="P67" s="44" t="s">
        <v>1803</v>
      </c>
      <c r="Q67" s="14" t="s">
        <v>1804</v>
      </c>
      <c r="R67" s="44" t="s">
        <v>1805</v>
      </c>
      <c r="S67" s="44" t="s">
        <v>1806</v>
      </c>
      <c r="T67" s="44" t="s">
        <v>1807</v>
      </c>
      <c r="U67" s="14">
        <v>5.0</v>
      </c>
      <c r="V67" s="59"/>
      <c r="Y67" s="47" t="s">
        <v>431</v>
      </c>
      <c r="Z67" s="47" t="s">
        <v>1808</v>
      </c>
      <c r="AA67" s="47" t="s">
        <v>1809</v>
      </c>
      <c r="AB67" s="47" t="s">
        <v>433</v>
      </c>
      <c r="AC67" s="47" t="s">
        <v>433</v>
      </c>
      <c r="AE67" s="47" t="s">
        <v>174</v>
      </c>
      <c r="AF67" s="47" t="s">
        <v>435</v>
      </c>
      <c r="AG67" s="14" t="s">
        <v>2251</v>
      </c>
      <c r="AH67" s="17" t="s">
        <v>2252</v>
      </c>
      <c r="AI67" s="17" t="s">
        <v>2253</v>
      </c>
      <c r="AJ67" s="16" t="s">
        <v>70</v>
      </c>
    </row>
    <row r="68" ht="15.75" customHeight="1">
      <c r="A68" s="9">
        <v>69.0</v>
      </c>
      <c r="B68" s="16" t="s">
        <v>2254</v>
      </c>
      <c r="C68" s="11" t="s">
        <v>1803</v>
      </c>
      <c r="D68" s="11" t="s">
        <v>298</v>
      </c>
      <c r="E68" s="11" t="s">
        <v>73</v>
      </c>
      <c r="F68" s="11" t="s">
        <v>315</v>
      </c>
      <c r="G68" s="11"/>
      <c r="H68" s="11"/>
      <c r="I68" s="14" t="s">
        <v>2255</v>
      </c>
      <c r="J68" s="40" t="s">
        <v>2256</v>
      </c>
      <c r="K68" s="14" t="s">
        <v>2257</v>
      </c>
      <c r="L68" s="45" t="s">
        <v>298</v>
      </c>
      <c r="M68" s="16" t="s">
        <v>2258</v>
      </c>
      <c r="N68" s="16" t="s">
        <v>2259</v>
      </c>
      <c r="O68" s="44">
        <v>2020.0</v>
      </c>
      <c r="P68" s="44" t="s">
        <v>1803</v>
      </c>
      <c r="Q68" s="14" t="s">
        <v>1804</v>
      </c>
      <c r="R68" s="44" t="s">
        <v>1805</v>
      </c>
      <c r="S68" s="44" t="s">
        <v>1806</v>
      </c>
      <c r="T68" s="44" t="s">
        <v>1807</v>
      </c>
      <c r="U68" s="14">
        <v>5.0</v>
      </c>
      <c r="V68" s="59"/>
      <c r="Y68" s="47" t="s">
        <v>431</v>
      </c>
      <c r="Z68" s="47" t="s">
        <v>1808</v>
      </c>
      <c r="AA68" s="47" t="s">
        <v>1809</v>
      </c>
      <c r="AB68" s="47" t="s">
        <v>433</v>
      </c>
      <c r="AC68" s="47" t="s">
        <v>433</v>
      </c>
      <c r="AE68" s="47" t="s">
        <v>174</v>
      </c>
      <c r="AF68" s="47" t="s">
        <v>435</v>
      </c>
      <c r="AG68" s="14" t="s">
        <v>2260</v>
      </c>
      <c r="AH68" s="17" t="s">
        <v>1964</v>
      </c>
      <c r="AI68" s="17" t="s">
        <v>1965</v>
      </c>
      <c r="AJ68" s="16" t="s">
        <v>70</v>
      </c>
    </row>
    <row r="69" ht="15.75" customHeight="1">
      <c r="A69" s="9">
        <v>71.0</v>
      </c>
      <c r="B69" s="16" t="s">
        <v>2261</v>
      </c>
      <c r="C69" s="11" t="s">
        <v>1803</v>
      </c>
      <c r="D69" s="11" t="s">
        <v>298</v>
      </c>
      <c r="E69" s="11" t="s">
        <v>73</v>
      </c>
      <c r="F69" s="11" t="s">
        <v>315</v>
      </c>
      <c r="G69" s="11"/>
      <c r="H69" s="11"/>
      <c r="I69" s="14" t="s">
        <v>2262</v>
      </c>
      <c r="J69" s="40" t="s">
        <v>2263</v>
      </c>
      <c r="K69" s="14" t="s">
        <v>2264</v>
      </c>
      <c r="L69" s="45" t="s">
        <v>298</v>
      </c>
      <c r="M69" s="16" t="s">
        <v>2265</v>
      </c>
      <c r="N69" s="16" t="s">
        <v>2266</v>
      </c>
      <c r="O69" s="44">
        <v>2021.0</v>
      </c>
      <c r="P69" s="44" t="s">
        <v>1803</v>
      </c>
      <c r="Q69" s="14" t="s">
        <v>1804</v>
      </c>
      <c r="R69" s="44" t="s">
        <v>1805</v>
      </c>
      <c r="S69" s="44" t="s">
        <v>1806</v>
      </c>
      <c r="T69" s="44" t="s">
        <v>1807</v>
      </c>
      <c r="U69" s="14">
        <v>4.0</v>
      </c>
      <c r="V69" s="59"/>
      <c r="Y69" s="47" t="s">
        <v>431</v>
      </c>
      <c r="Z69" s="47" t="s">
        <v>1808</v>
      </c>
      <c r="AA69" s="47" t="s">
        <v>1809</v>
      </c>
      <c r="AB69" s="47" t="s">
        <v>433</v>
      </c>
      <c r="AC69" s="47" t="s">
        <v>433</v>
      </c>
      <c r="AE69" s="47" t="s">
        <v>174</v>
      </c>
      <c r="AF69" s="47" t="s">
        <v>435</v>
      </c>
      <c r="AG69" s="14" t="s">
        <v>2267</v>
      </c>
      <c r="AH69" s="17" t="s">
        <v>1884</v>
      </c>
      <c r="AI69" s="17" t="s">
        <v>1885</v>
      </c>
      <c r="AJ69" s="16" t="s">
        <v>70</v>
      </c>
    </row>
    <row r="70" ht="15.75" customHeight="1">
      <c r="A70" s="9">
        <v>73.0</v>
      </c>
      <c r="B70" s="16" t="s">
        <v>2268</v>
      </c>
      <c r="C70" s="11" t="s">
        <v>1803</v>
      </c>
      <c r="D70" s="11" t="s">
        <v>298</v>
      </c>
      <c r="E70" s="11" t="s">
        <v>73</v>
      </c>
      <c r="F70" s="11" t="s">
        <v>315</v>
      </c>
      <c r="G70" s="11"/>
      <c r="H70" s="11"/>
      <c r="I70" s="14" t="s">
        <v>2269</v>
      </c>
      <c r="J70" s="40" t="s">
        <v>2270</v>
      </c>
      <c r="K70" s="14" t="s">
        <v>2271</v>
      </c>
      <c r="L70" s="45" t="s">
        <v>298</v>
      </c>
      <c r="M70" s="16" t="s">
        <v>2272</v>
      </c>
      <c r="N70" s="16" t="s">
        <v>2273</v>
      </c>
      <c r="O70" s="44">
        <v>2020.0</v>
      </c>
      <c r="P70" s="44" t="s">
        <v>1803</v>
      </c>
      <c r="Q70" s="14" t="s">
        <v>1804</v>
      </c>
      <c r="R70" s="44" t="s">
        <v>1805</v>
      </c>
      <c r="S70" s="44" t="s">
        <v>1806</v>
      </c>
      <c r="T70" s="44" t="s">
        <v>1807</v>
      </c>
      <c r="U70" s="14">
        <v>4.0</v>
      </c>
      <c r="V70" s="59"/>
      <c r="Y70" s="47" t="s">
        <v>431</v>
      </c>
      <c r="Z70" s="47" t="s">
        <v>1808</v>
      </c>
      <c r="AA70" s="47" t="s">
        <v>1809</v>
      </c>
      <c r="AB70" s="47" t="s">
        <v>433</v>
      </c>
      <c r="AC70" s="47" t="s">
        <v>433</v>
      </c>
      <c r="AE70" s="47" t="s">
        <v>174</v>
      </c>
      <c r="AF70" s="47" t="s">
        <v>435</v>
      </c>
      <c r="AG70" s="14" t="s">
        <v>2274</v>
      </c>
      <c r="AH70" s="17" t="s">
        <v>2275</v>
      </c>
      <c r="AI70" s="17" t="s">
        <v>2276</v>
      </c>
      <c r="AJ70" s="16" t="s">
        <v>70</v>
      </c>
    </row>
    <row r="71" ht="15.75" customHeight="1">
      <c r="A71" s="9">
        <v>75.0</v>
      </c>
      <c r="B71" s="16" t="s">
        <v>2277</v>
      </c>
      <c r="C71" s="11" t="s">
        <v>1803</v>
      </c>
      <c r="D71" s="11" t="s">
        <v>298</v>
      </c>
      <c r="E71" s="11" t="s">
        <v>73</v>
      </c>
      <c r="F71" s="11" t="s">
        <v>315</v>
      </c>
      <c r="G71" s="11"/>
      <c r="H71" s="11"/>
      <c r="I71" s="14" t="s">
        <v>2278</v>
      </c>
      <c r="J71" s="40" t="s">
        <v>2279</v>
      </c>
      <c r="K71" s="14" t="s">
        <v>2280</v>
      </c>
      <c r="L71" s="45" t="s">
        <v>298</v>
      </c>
      <c r="M71" s="16" t="s">
        <v>2281</v>
      </c>
      <c r="N71" s="16" t="s">
        <v>2282</v>
      </c>
      <c r="O71" s="44">
        <v>2014.0</v>
      </c>
      <c r="P71" s="44" t="s">
        <v>1803</v>
      </c>
      <c r="Q71" s="14" t="s">
        <v>1804</v>
      </c>
      <c r="R71" s="44" t="s">
        <v>1805</v>
      </c>
      <c r="S71" s="44" t="s">
        <v>1806</v>
      </c>
      <c r="T71" s="44" t="s">
        <v>1807</v>
      </c>
      <c r="U71" s="14">
        <v>4.0</v>
      </c>
      <c r="V71" s="59"/>
      <c r="Y71" s="47" t="s">
        <v>431</v>
      </c>
      <c r="Z71" s="47" t="s">
        <v>1808</v>
      </c>
      <c r="AA71" s="47" t="s">
        <v>1809</v>
      </c>
      <c r="AB71" s="47" t="s">
        <v>433</v>
      </c>
      <c r="AC71" s="47" t="s">
        <v>433</v>
      </c>
      <c r="AE71" s="47" t="s">
        <v>174</v>
      </c>
      <c r="AF71" s="47" t="s">
        <v>435</v>
      </c>
      <c r="AG71" s="14" t="s">
        <v>2283</v>
      </c>
      <c r="AH71" s="17" t="s">
        <v>2284</v>
      </c>
      <c r="AI71" s="17" t="s">
        <v>2285</v>
      </c>
      <c r="AJ71" s="16" t="s">
        <v>70</v>
      </c>
    </row>
    <row r="72" ht="15.75" customHeight="1">
      <c r="A72" s="9">
        <v>77.0</v>
      </c>
      <c r="B72" s="16" t="s">
        <v>2286</v>
      </c>
      <c r="C72" s="11" t="s">
        <v>1803</v>
      </c>
      <c r="D72" s="11" t="s">
        <v>298</v>
      </c>
      <c r="E72" s="11" t="s">
        <v>73</v>
      </c>
      <c r="F72" s="11" t="s">
        <v>315</v>
      </c>
      <c r="G72" s="11"/>
      <c r="H72" s="11"/>
      <c r="I72" s="14" t="s">
        <v>2287</v>
      </c>
      <c r="J72" s="40" t="s">
        <v>2288</v>
      </c>
      <c r="K72" s="14" t="s">
        <v>2289</v>
      </c>
      <c r="L72" s="45" t="s">
        <v>298</v>
      </c>
      <c r="M72" s="16" t="s">
        <v>2290</v>
      </c>
      <c r="N72" s="16" t="s">
        <v>2291</v>
      </c>
      <c r="O72" s="44">
        <v>2021.0</v>
      </c>
      <c r="P72" s="44" t="s">
        <v>1803</v>
      </c>
      <c r="Q72" s="14" t="s">
        <v>1804</v>
      </c>
      <c r="R72" s="44" t="s">
        <v>1805</v>
      </c>
      <c r="S72" s="44" t="s">
        <v>1806</v>
      </c>
      <c r="T72" s="44" t="s">
        <v>1807</v>
      </c>
      <c r="U72" s="14">
        <v>5.0</v>
      </c>
      <c r="V72" s="59"/>
      <c r="Y72" s="47" t="s">
        <v>431</v>
      </c>
      <c r="Z72" s="47" t="s">
        <v>1808</v>
      </c>
      <c r="AA72" s="47" t="s">
        <v>1809</v>
      </c>
      <c r="AB72" s="47" t="s">
        <v>433</v>
      </c>
      <c r="AC72" s="47" t="s">
        <v>433</v>
      </c>
      <c r="AE72" s="47" t="s">
        <v>174</v>
      </c>
      <c r="AF72" s="47" t="s">
        <v>435</v>
      </c>
      <c r="AG72" s="14" t="s">
        <v>2292</v>
      </c>
      <c r="AH72" s="17" t="s">
        <v>2293</v>
      </c>
      <c r="AI72" s="17" t="s">
        <v>2294</v>
      </c>
      <c r="AJ72" s="16" t="s">
        <v>70</v>
      </c>
    </row>
    <row r="73" ht="15.75" customHeight="1">
      <c r="A73" s="9">
        <v>79.0</v>
      </c>
      <c r="B73" s="16" t="s">
        <v>2295</v>
      </c>
      <c r="C73" s="11" t="s">
        <v>1803</v>
      </c>
      <c r="D73" s="11" t="s">
        <v>298</v>
      </c>
      <c r="E73" s="11" t="s">
        <v>73</v>
      </c>
      <c r="F73" s="11" t="s">
        <v>315</v>
      </c>
      <c r="G73" s="11"/>
      <c r="H73" s="11"/>
      <c r="I73" s="14" t="s">
        <v>2296</v>
      </c>
      <c r="J73" s="40" t="s">
        <v>2297</v>
      </c>
      <c r="K73" s="14" t="s">
        <v>2239</v>
      </c>
      <c r="L73" s="45" t="s">
        <v>298</v>
      </c>
      <c r="M73" s="16" t="s">
        <v>2240</v>
      </c>
      <c r="N73" s="16" t="s">
        <v>2241</v>
      </c>
      <c r="O73" s="44">
        <v>2021.0</v>
      </c>
      <c r="P73" s="44" t="s">
        <v>1803</v>
      </c>
      <c r="Q73" s="14" t="s">
        <v>1804</v>
      </c>
      <c r="R73" s="44" t="s">
        <v>1805</v>
      </c>
      <c r="S73" s="44" t="s">
        <v>1806</v>
      </c>
      <c r="T73" s="44" t="s">
        <v>1807</v>
      </c>
      <c r="U73" s="14">
        <v>5.0</v>
      </c>
      <c r="V73" s="59"/>
      <c r="Y73" s="47" t="s">
        <v>431</v>
      </c>
      <c r="Z73" s="47" t="s">
        <v>1808</v>
      </c>
      <c r="AA73" s="47" t="s">
        <v>1809</v>
      </c>
      <c r="AB73" s="47" t="s">
        <v>433</v>
      </c>
      <c r="AC73" s="47" t="s">
        <v>433</v>
      </c>
      <c r="AE73" s="47" t="s">
        <v>174</v>
      </c>
      <c r="AF73" s="47" t="s">
        <v>435</v>
      </c>
      <c r="AG73" s="14" t="s">
        <v>2298</v>
      </c>
      <c r="AH73" s="17" t="s">
        <v>2293</v>
      </c>
      <c r="AI73" s="17" t="s">
        <v>2294</v>
      </c>
      <c r="AJ73" s="16" t="s">
        <v>70</v>
      </c>
    </row>
    <row r="74" ht="15.75" customHeight="1">
      <c r="A74" s="9">
        <v>81.0</v>
      </c>
      <c r="B74" s="16" t="s">
        <v>2299</v>
      </c>
      <c r="C74" s="11" t="s">
        <v>1803</v>
      </c>
      <c r="D74" s="11" t="s">
        <v>298</v>
      </c>
      <c r="E74" s="11" t="s">
        <v>73</v>
      </c>
      <c r="F74" s="11" t="s">
        <v>315</v>
      </c>
      <c r="G74" s="11"/>
      <c r="H74" s="11"/>
      <c r="I74" s="14" t="s">
        <v>2300</v>
      </c>
      <c r="J74" s="40" t="s">
        <v>2301</v>
      </c>
      <c r="K74" s="14" t="s">
        <v>2302</v>
      </c>
      <c r="L74" s="45" t="s">
        <v>298</v>
      </c>
      <c r="M74" s="16" t="s">
        <v>2303</v>
      </c>
      <c r="N74" s="16" t="s">
        <v>2304</v>
      </c>
      <c r="O74" s="44">
        <v>2023.0</v>
      </c>
      <c r="P74" s="44" t="s">
        <v>1803</v>
      </c>
      <c r="Q74" s="14" t="s">
        <v>1804</v>
      </c>
      <c r="R74" s="44" t="s">
        <v>1805</v>
      </c>
      <c r="S74" s="44" t="s">
        <v>1806</v>
      </c>
      <c r="T74" s="44" t="s">
        <v>1807</v>
      </c>
      <c r="U74" s="14">
        <v>5.0</v>
      </c>
      <c r="V74" s="59"/>
      <c r="Y74" s="47" t="s">
        <v>431</v>
      </c>
      <c r="Z74" s="47" t="s">
        <v>1808</v>
      </c>
      <c r="AA74" s="47" t="s">
        <v>1809</v>
      </c>
      <c r="AB74" s="47" t="s">
        <v>433</v>
      </c>
      <c r="AC74" s="47" t="s">
        <v>433</v>
      </c>
      <c r="AE74" s="47" t="s">
        <v>174</v>
      </c>
      <c r="AF74" s="47" t="s">
        <v>435</v>
      </c>
      <c r="AG74" s="14" t="s">
        <v>2305</v>
      </c>
      <c r="AH74" s="17" t="s">
        <v>1975</v>
      </c>
      <c r="AI74" s="17" t="s">
        <v>1976</v>
      </c>
      <c r="AJ74" s="16" t="s">
        <v>70</v>
      </c>
    </row>
    <row r="75" ht="15.75" customHeight="1">
      <c r="A75" s="9">
        <v>83.0</v>
      </c>
      <c r="B75" s="16" t="s">
        <v>2306</v>
      </c>
      <c r="C75" s="11" t="s">
        <v>1803</v>
      </c>
      <c r="D75" s="11" t="s">
        <v>298</v>
      </c>
      <c r="E75" s="11" t="s">
        <v>73</v>
      </c>
      <c r="F75" s="11" t="s">
        <v>315</v>
      </c>
      <c r="G75" s="11"/>
      <c r="H75" s="11"/>
      <c r="I75" s="14" t="s">
        <v>2307</v>
      </c>
      <c r="J75" s="40" t="s">
        <v>2308</v>
      </c>
      <c r="K75" s="14" t="s">
        <v>2309</v>
      </c>
      <c r="L75" s="45" t="s">
        <v>298</v>
      </c>
      <c r="M75" s="16" t="s">
        <v>2310</v>
      </c>
      <c r="N75" s="16" t="s">
        <v>2311</v>
      </c>
      <c r="O75" s="44">
        <v>2021.0</v>
      </c>
      <c r="P75" s="44" t="s">
        <v>1803</v>
      </c>
      <c r="Q75" s="14" t="s">
        <v>1804</v>
      </c>
      <c r="R75" s="44" t="s">
        <v>1805</v>
      </c>
      <c r="S75" s="44" t="s">
        <v>1806</v>
      </c>
      <c r="T75" s="44" t="s">
        <v>1807</v>
      </c>
      <c r="U75" s="14">
        <v>5.0</v>
      </c>
      <c r="V75" s="59"/>
      <c r="Y75" s="47" t="s">
        <v>431</v>
      </c>
      <c r="Z75" s="47" t="s">
        <v>1808</v>
      </c>
      <c r="AA75" s="47" t="s">
        <v>1809</v>
      </c>
      <c r="AB75" s="47" t="s">
        <v>433</v>
      </c>
      <c r="AC75" s="47" t="s">
        <v>433</v>
      </c>
      <c r="AE75" s="47" t="s">
        <v>174</v>
      </c>
      <c r="AF75" s="47" t="s">
        <v>435</v>
      </c>
      <c r="AG75" s="14" t="s">
        <v>2312</v>
      </c>
      <c r="AH75" s="17" t="s">
        <v>2313</v>
      </c>
      <c r="AI75" s="17" t="s">
        <v>2314</v>
      </c>
      <c r="AJ75" s="16" t="s">
        <v>70</v>
      </c>
    </row>
    <row r="76" ht="15.75" customHeight="1">
      <c r="A76" s="9">
        <v>85.0</v>
      </c>
      <c r="B76" s="16" t="s">
        <v>2315</v>
      </c>
      <c r="C76" s="11" t="s">
        <v>1803</v>
      </c>
      <c r="D76" s="11" t="s">
        <v>298</v>
      </c>
      <c r="E76" s="11" t="s">
        <v>73</v>
      </c>
      <c r="F76" s="11" t="s">
        <v>315</v>
      </c>
      <c r="G76" s="11"/>
      <c r="H76" s="11"/>
      <c r="I76" s="14" t="s">
        <v>2316</v>
      </c>
      <c r="J76" s="40" t="s">
        <v>2317</v>
      </c>
      <c r="K76" s="14" t="s">
        <v>1979</v>
      </c>
      <c r="L76" s="45" t="s">
        <v>298</v>
      </c>
      <c r="M76" s="16" t="s">
        <v>2318</v>
      </c>
      <c r="N76" s="16" t="s">
        <v>2319</v>
      </c>
      <c r="O76" s="44">
        <v>2021.0</v>
      </c>
      <c r="P76" s="44" t="s">
        <v>1803</v>
      </c>
      <c r="Q76" s="14" t="s">
        <v>1804</v>
      </c>
      <c r="R76" s="44" t="s">
        <v>1805</v>
      </c>
      <c r="S76" s="44" t="s">
        <v>1806</v>
      </c>
      <c r="T76" s="44" t="s">
        <v>1807</v>
      </c>
      <c r="U76" s="14">
        <v>5.0</v>
      </c>
      <c r="V76" s="59"/>
      <c r="Y76" s="47" t="s">
        <v>431</v>
      </c>
      <c r="Z76" s="47" t="s">
        <v>1808</v>
      </c>
      <c r="AA76" s="47" t="s">
        <v>1809</v>
      </c>
      <c r="AB76" s="47" t="s">
        <v>433</v>
      </c>
      <c r="AC76" s="47" t="s">
        <v>433</v>
      </c>
      <c r="AE76" s="47" t="s">
        <v>174</v>
      </c>
      <c r="AF76" s="47" t="s">
        <v>435</v>
      </c>
      <c r="AG76" s="14" t="s">
        <v>2320</v>
      </c>
      <c r="AH76" s="17" t="s">
        <v>2314</v>
      </c>
      <c r="AI76" s="17" t="s">
        <v>2321</v>
      </c>
      <c r="AJ76" s="16" t="s">
        <v>70</v>
      </c>
    </row>
    <row r="77" ht="15.75" customHeight="1">
      <c r="A77" s="9">
        <v>87.0</v>
      </c>
      <c r="B77" s="16" t="s">
        <v>2322</v>
      </c>
      <c r="C77" s="11" t="s">
        <v>1803</v>
      </c>
      <c r="D77" s="11" t="s">
        <v>298</v>
      </c>
      <c r="E77" s="11" t="s">
        <v>73</v>
      </c>
      <c r="F77" s="11" t="s">
        <v>315</v>
      </c>
      <c r="G77" s="11"/>
      <c r="H77" s="11"/>
      <c r="I77" s="14" t="s">
        <v>2323</v>
      </c>
      <c r="J77" s="40" t="s">
        <v>2324</v>
      </c>
      <c r="K77" s="14" t="s">
        <v>2325</v>
      </c>
      <c r="L77" s="45" t="s">
        <v>298</v>
      </c>
      <c r="M77" s="16" t="s">
        <v>2326</v>
      </c>
      <c r="N77" s="16" t="s">
        <v>2327</v>
      </c>
      <c r="O77" s="44">
        <v>2006.0</v>
      </c>
      <c r="P77" s="44" t="s">
        <v>1803</v>
      </c>
      <c r="Q77" s="14" t="s">
        <v>1804</v>
      </c>
      <c r="R77" s="44" t="s">
        <v>1805</v>
      </c>
      <c r="S77" s="44" t="s">
        <v>1806</v>
      </c>
      <c r="T77" s="44" t="s">
        <v>1807</v>
      </c>
      <c r="U77" s="14">
        <v>8.0</v>
      </c>
      <c r="V77" s="59"/>
      <c r="Y77" s="47" t="s">
        <v>431</v>
      </c>
      <c r="Z77" s="47" t="s">
        <v>1808</v>
      </c>
      <c r="AA77" s="47" t="s">
        <v>1809</v>
      </c>
      <c r="AB77" s="47" t="s">
        <v>433</v>
      </c>
      <c r="AC77" s="47" t="s">
        <v>433</v>
      </c>
      <c r="AE77" s="47" t="s">
        <v>174</v>
      </c>
      <c r="AF77" s="47" t="s">
        <v>435</v>
      </c>
      <c r="AG77" s="14" t="s">
        <v>2328</v>
      </c>
      <c r="AH77" s="17" t="s">
        <v>1820</v>
      </c>
      <c r="AI77" s="17" t="s">
        <v>2329</v>
      </c>
      <c r="AJ77" s="16" t="s">
        <v>70</v>
      </c>
    </row>
    <row r="78" ht="15.75" customHeight="1">
      <c r="A78" s="9">
        <v>89.0</v>
      </c>
      <c r="B78" s="16" t="s">
        <v>2330</v>
      </c>
      <c r="C78" s="11" t="s">
        <v>1803</v>
      </c>
      <c r="D78" s="11" t="s">
        <v>298</v>
      </c>
      <c r="E78" s="11" t="s">
        <v>73</v>
      </c>
      <c r="F78" s="11" t="s">
        <v>315</v>
      </c>
      <c r="G78" s="11"/>
      <c r="H78" s="11"/>
      <c r="I78" s="14" t="s">
        <v>2331</v>
      </c>
      <c r="J78" s="40" t="s">
        <v>2332</v>
      </c>
      <c r="K78" s="14" t="s">
        <v>2333</v>
      </c>
      <c r="L78" s="45" t="s">
        <v>298</v>
      </c>
      <c r="M78" s="16" t="s">
        <v>2334</v>
      </c>
      <c r="N78" s="16" t="s">
        <v>2335</v>
      </c>
      <c r="O78" s="44">
        <v>2006.0</v>
      </c>
      <c r="P78" s="44" t="s">
        <v>1803</v>
      </c>
      <c r="Q78" s="14" t="s">
        <v>1804</v>
      </c>
      <c r="R78" s="44" t="s">
        <v>1805</v>
      </c>
      <c r="S78" s="44" t="s">
        <v>1806</v>
      </c>
      <c r="T78" s="44" t="s">
        <v>1807</v>
      </c>
      <c r="U78" s="14">
        <v>8.0</v>
      </c>
      <c r="V78" s="59"/>
      <c r="Y78" s="47" t="s">
        <v>431</v>
      </c>
      <c r="Z78" s="47" t="s">
        <v>1808</v>
      </c>
      <c r="AA78" s="47" t="s">
        <v>1809</v>
      </c>
      <c r="AB78" s="47" t="s">
        <v>433</v>
      </c>
      <c r="AC78" s="47" t="s">
        <v>433</v>
      </c>
      <c r="AE78" s="47" t="s">
        <v>174</v>
      </c>
      <c r="AF78" s="47" t="s">
        <v>435</v>
      </c>
      <c r="AG78" s="14" t="s">
        <v>2336</v>
      </c>
      <c r="AH78" s="17" t="s">
        <v>1820</v>
      </c>
      <c r="AI78" s="17" t="s">
        <v>2329</v>
      </c>
      <c r="AJ78" s="16" t="s">
        <v>70</v>
      </c>
    </row>
    <row r="79" ht="15.75" customHeight="1">
      <c r="A79" s="9">
        <v>91.0</v>
      </c>
      <c r="B79" s="16" t="s">
        <v>2337</v>
      </c>
      <c r="C79" s="11" t="s">
        <v>1803</v>
      </c>
      <c r="D79" s="11" t="s">
        <v>298</v>
      </c>
      <c r="E79" s="11" t="s">
        <v>73</v>
      </c>
      <c r="F79" s="11" t="s">
        <v>315</v>
      </c>
      <c r="G79" s="11"/>
      <c r="H79" s="11"/>
      <c r="I79" s="14" t="s">
        <v>2338</v>
      </c>
      <c r="J79" s="40" t="s">
        <v>2339</v>
      </c>
      <c r="K79" s="14" t="s">
        <v>2340</v>
      </c>
      <c r="L79" s="45" t="s">
        <v>298</v>
      </c>
      <c r="M79" s="16" t="s">
        <v>2341</v>
      </c>
      <c r="N79" s="16" t="s">
        <v>2342</v>
      </c>
      <c r="O79" s="44">
        <v>2006.0</v>
      </c>
      <c r="P79" s="44" t="s">
        <v>1803</v>
      </c>
      <c r="Q79" s="14" t="s">
        <v>1804</v>
      </c>
      <c r="R79" s="44" t="s">
        <v>1805</v>
      </c>
      <c r="S79" s="44" t="s">
        <v>1806</v>
      </c>
      <c r="T79" s="44" t="s">
        <v>1807</v>
      </c>
      <c r="U79" s="14">
        <v>8.0</v>
      </c>
      <c r="V79" s="59"/>
      <c r="Y79" s="47" t="s">
        <v>431</v>
      </c>
      <c r="Z79" s="47" t="s">
        <v>1808</v>
      </c>
      <c r="AA79" s="47" t="s">
        <v>1809</v>
      </c>
      <c r="AB79" s="47" t="s">
        <v>433</v>
      </c>
      <c r="AC79" s="47" t="s">
        <v>433</v>
      </c>
      <c r="AE79" s="47" t="s">
        <v>174</v>
      </c>
      <c r="AF79" s="47" t="s">
        <v>435</v>
      </c>
      <c r="AG79" s="14" t="s">
        <v>2343</v>
      </c>
      <c r="AH79" s="17" t="s">
        <v>1820</v>
      </c>
      <c r="AI79" s="17" t="s">
        <v>2329</v>
      </c>
      <c r="AJ79" s="16" t="s">
        <v>70</v>
      </c>
    </row>
    <row r="80" ht="15.75" customHeight="1">
      <c r="A80" s="9">
        <v>93.0</v>
      </c>
      <c r="B80" s="16" t="s">
        <v>2344</v>
      </c>
      <c r="C80" s="11" t="s">
        <v>1803</v>
      </c>
      <c r="D80" s="11" t="s">
        <v>298</v>
      </c>
      <c r="E80" s="11" t="s">
        <v>73</v>
      </c>
      <c r="F80" s="11" t="s">
        <v>315</v>
      </c>
      <c r="G80" s="11"/>
      <c r="H80" s="11"/>
      <c r="I80" s="14" t="s">
        <v>2345</v>
      </c>
      <c r="J80" s="40" t="s">
        <v>2346</v>
      </c>
      <c r="K80" s="14" t="s">
        <v>2280</v>
      </c>
      <c r="L80" s="45" t="s">
        <v>298</v>
      </c>
      <c r="M80" s="16" t="s">
        <v>2347</v>
      </c>
      <c r="N80" s="16" t="s">
        <v>2348</v>
      </c>
      <c r="O80" s="44">
        <v>2006.0</v>
      </c>
      <c r="P80" s="44" t="s">
        <v>1803</v>
      </c>
      <c r="Q80" s="14" t="s">
        <v>1804</v>
      </c>
      <c r="R80" s="44" t="s">
        <v>1805</v>
      </c>
      <c r="S80" s="44" t="s">
        <v>1806</v>
      </c>
      <c r="T80" s="44" t="s">
        <v>1807</v>
      </c>
      <c r="U80" s="14">
        <v>8.0</v>
      </c>
      <c r="V80" s="59"/>
      <c r="Y80" s="47" t="s">
        <v>431</v>
      </c>
      <c r="Z80" s="47" t="s">
        <v>1808</v>
      </c>
      <c r="AA80" s="47" t="s">
        <v>1809</v>
      </c>
      <c r="AB80" s="47" t="s">
        <v>433</v>
      </c>
      <c r="AC80" s="47" t="s">
        <v>433</v>
      </c>
      <c r="AE80" s="47" t="s">
        <v>174</v>
      </c>
      <c r="AF80" s="47" t="s">
        <v>435</v>
      </c>
      <c r="AG80" s="14" t="s">
        <v>2349</v>
      </c>
      <c r="AH80" s="17" t="s">
        <v>1820</v>
      </c>
      <c r="AI80" s="17" t="s">
        <v>2329</v>
      </c>
      <c r="AJ80" s="16" t="s">
        <v>70</v>
      </c>
    </row>
    <row r="81" ht="15.75" customHeight="1">
      <c r="A81" s="9">
        <v>95.0</v>
      </c>
      <c r="B81" s="16" t="s">
        <v>2350</v>
      </c>
      <c r="C81" s="11" t="s">
        <v>1803</v>
      </c>
      <c r="D81" s="11" t="s">
        <v>298</v>
      </c>
      <c r="E81" s="11" t="s">
        <v>73</v>
      </c>
      <c r="F81" s="11" t="s">
        <v>315</v>
      </c>
      <c r="G81" s="11"/>
      <c r="H81" s="11"/>
      <c r="I81" s="14" t="s">
        <v>2351</v>
      </c>
      <c r="J81" s="40" t="s">
        <v>2352</v>
      </c>
      <c r="K81" s="14" t="s">
        <v>2353</v>
      </c>
      <c r="L81" s="45" t="s">
        <v>298</v>
      </c>
      <c r="M81" s="16" t="s">
        <v>2354</v>
      </c>
      <c r="N81" s="16" t="s">
        <v>2355</v>
      </c>
      <c r="O81" s="44">
        <v>2006.0</v>
      </c>
      <c r="P81" s="44" t="s">
        <v>1803</v>
      </c>
      <c r="Q81" s="14" t="s">
        <v>1804</v>
      </c>
      <c r="R81" s="44" t="s">
        <v>1805</v>
      </c>
      <c r="S81" s="44" t="s">
        <v>1806</v>
      </c>
      <c r="T81" s="44" t="s">
        <v>1807</v>
      </c>
      <c r="U81" s="14">
        <v>8.0</v>
      </c>
      <c r="V81" s="59"/>
      <c r="Y81" s="47" t="s">
        <v>431</v>
      </c>
      <c r="Z81" s="47" t="s">
        <v>1808</v>
      </c>
      <c r="AA81" s="47" t="s">
        <v>1809</v>
      </c>
      <c r="AB81" s="47" t="s">
        <v>433</v>
      </c>
      <c r="AC81" s="47" t="s">
        <v>433</v>
      </c>
      <c r="AE81" s="47" t="s">
        <v>174</v>
      </c>
      <c r="AF81" s="47" t="s">
        <v>435</v>
      </c>
      <c r="AG81" s="14" t="s">
        <v>2356</v>
      </c>
      <c r="AH81" s="17" t="s">
        <v>1820</v>
      </c>
      <c r="AI81" s="17" t="s">
        <v>2329</v>
      </c>
      <c r="AJ81" s="16" t="s">
        <v>70</v>
      </c>
    </row>
    <row r="82" ht="15.75" customHeight="1">
      <c r="A82" s="9">
        <v>97.0</v>
      </c>
      <c r="B82" s="16" t="s">
        <v>2357</v>
      </c>
      <c r="C82" s="11" t="s">
        <v>1803</v>
      </c>
      <c r="D82" s="11" t="s">
        <v>298</v>
      </c>
      <c r="E82" s="11" t="s">
        <v>73</v>
      </c>
      <c r="F82" s="11" t="s">
        <v>315</v>
      </c>
      <c r="G82" s="11"/>
      <c r="H82" s="11"/>
      <c r="I82" s="14" t="s">
        <v>2358</v>
      </c>
      <c r="J82" s="40" t="s">
        <v>2359</v>
      </c>
      <c r="K82" s="14" t="s">
        <v>2239</v>
      </c>
      <c r="L82" s="45" t="s">
        <v>298</v>
      </c>
      <c r="M82" s="16" t="s">
        <v>2360</v>
      </c>
      <c r="N82" s="16" t="s">
        <v>2361</v>
      </c>
      <c r="O82" s="44">
        <v>2006.0</v>
      </c>
      <c r="P82" s="44" t="s">
        <v>1803</v>
      </c>
      <c r="Q82" s="14" t="s">
        <v>1804</v>
      </c>
      <c r="R82" s="44" t="s">
        <v>1805</v>
      </c>
      <c r="S82" s="44" t="s">
        <v>1806</v>
      </c>
      <c r="T82" s="44" t="s">
        <v>1807</v>
      </c>
      <c r="U82" s="14">
        <v>8.0</v>
      </c>
      <c r="V82" s="59"/>
      <c r="Y82" s="47" t="s">
        <v>431</v>
      </c>
      <c r="Z82" s="47" t="s">
        <v>1808</v>
      </c>
      <c r="AA82" s="47" t="s">
        <v>1809</v>
      </c>
      <c r="AB82" s="47" t="s">
        <v>433</v>
      </c>
      <c r="AC82" s="47" t="s">
        <v>433</v>
      </c>
      <c r="AE82" s="47" t="s">
        <v>174</v>
      </c>
      <c r="AF82" s="47" t="s">
        <v>435</v>
      </c>
      <c r="AG82" s="14" t="s">
        <v>2362</v>
      </c>
      <c r="AH82" s="17" t="s">
        <v>1820</v>
      </c>
      <c r="AI82" s="17" t="s">
        <v>2329</v>
      </c>
      <c r="AJ82" s="16" t="s">
        <v>70</v>
      </c>
    </row>
    <row r="83" ht="15.75" customHeight="1">
      <c r="A83" s="9">
        <v>99.0</v>
      </c>
      <c r="B83" s="16" t="s">
        <v>2363</v>
      </c>
      <c r="C83" s="11" t="s">
        <v>1803</v>
      </c>
      <c r="D83" s="11" t="s">
        <v>298</v>
      </c>
      <c r="E83" s="11" t="s">
        <v>73</v>
      </c>
      <c r="F83" s="11" t="s">
        <v>315</v>
      </c>
      <c r="G83" s="11"/>
      <c r="H83" s="11"/>
      <c r="I83" s="14" t="s">
        <v>2364</v>
      </c>
      <c r="J83" s="40" t="s">
        <v>2365</v>
      </c>
      <c r="K83" s="14" t="s">
        <v>2366</v>
      </c>
      <c r="L83" s="45" t="s">
        <v>298</v>
      </c>
      <c r="M83" s="16" t="s">
        <v>2367</v>
      </c>
      <c r="N83" s="16" t="s">
        <v>2368</v>
      </c>
      <c r="O83" s="44">
        <v>2006.0</v>
      </c>
      <c r="P83" s="44" t="s">
        <v>1803</v>
      </c>
      <c r="Q83" s="14" t="s">
        <v>1804</v>
      </c>
      <c r="R83" s="44" t="s">
        <v>1805</v>
      </c>
      <c r="S83" s="44" t="s">
        <v>1806</v>
      </c>
      <c r="T83" s="44" t="s">
        <v>1807</v>
      </c>
      <c r="U83" s="14">
        <v>8.0</v>
      </c>
      <c r="V83" s="59"/>
      <c r="Y83" s="47" t="s">
        <v>431</v>
      </c>
      <c r="Z83" s="47" t="s">
        <v>1808</v>
      </c>
      <c r="AA83" s="47" t="s">
        <v>1809</v>
      </c>
      <c r="AB83" s="47" t="s">
        <v>433</v>
      </c>
      <c r="AC83" s="47" t="s">
        <v>433</v>
      </c>
      <c r="AE83" s="47" t="s">
        <v>174</v>
      </c>
      <c r="AF83" s="47" t="s">
        <v>435</v>
      </c>
      <c r="AG83" s="14" t="s">
        <v>2369</v>
      </c>
      <c r="AH83" s="17" t="s">
        <v>1820</v>
      </c>
      <c r="AI83" s="17" t="s">
        <v>2329</v>
      </c>
      <c r="AJ83" s="16" t="s">
        <v>70</v>
      </c>
    </row>
    <row r="84" ht="15.75" customHeight="1">
      <c r="A84" s="9">
        <v>101.0</v>
      </c>
      <c r="B84" s="16" t="s">
        <v>2370</v>
      </c>
      <c r="C84" s="11" t="s">
        <v>1803</v>
      </c>
      <c r="D84" s="11" t="s">
        <v>298</v>
      </c>
      <c r="E84" s="11" t="s">
        <v>73</v>
      </c>
      <c r="F84" s="11" t="s">
        <v>315</v>
      </c>
      <c r="G84" s="11"/>
      <c r="H84" s="11"/>
      <c r="I84" s="14" t="s">
        <v>2371</v>
      </c>
      <c r="J84" s="40" t="s">
        <v>2372</v>
      </c>
      <c r="K84" s="14" t="s">
        <v>1831</v>
      </c>
      <c r="L84" s="45" t="s">
        <v>298</v>
      </c>
      <c r="M84" s="16" t="s">
        <v>2373</v>
      </c>
      <c r="N84" s="16" t="s">
        <v>2374</v>
      </c>
      <c r="O84" s="44">
        <v>2012.0</v>
      </c>
      <c r="P84" s="44" t="s">
        <v>1803</v>
      </c>
      <c r="Q84" s="14" t="s">
        <v>1804</v>
      </c>
      <c r="R84" s="44" t="s">
        <v>1805</v>
      </c>
      <c r="S84" s="44" t="s">
        <v>1806</v>
      </c>
      <c r="T84" s="44" t="s">
        <v>1807</v>
      </c>
      <c r="U84" s="14">
        <v>8.0</v>
      </c>
      <c r="V84" s="59"/>
      <c r="Y84" s="47" t="s">
        <v>431</v>
      </c>
      <c r="Z84" s="47" t="s">
        <v>1808</v>
      </c>
      <c r="AA84" s="47" t="s">
        <v>1809</v>
      </c>
      <c r="AB84" s="47" t="s">
        <v>433</v>
      </c>
      <c r="AC84" s="47" t="s">
        <v>433</v>
      </c>
      <c r="AE84" s="47" t="s">
        <v>174</v>
      </c>
      <c r="AF84" s="47" t="s">
        <v>435</v>
      </c>
      <c r="AG84" s="14" t="s">
        <v>2375</v>
      </c>
      <c r="AH84" s="17" t="s">
        <v>2376</v>
      </c>
      <c r="AI84" s="17" t="s">
        <v>2377</v>
      </c>
      <c r="AJ84" s="16" t="s">
        <v>70</v>
      </c>
    </row>
    <row r="85" ht="15.75" customHeight="1">
      <c r="A85" s="9">
        <v>103.0</v>
      </c>
      <c r="B85" s="16" t="s">
        <v>2378</v>
      </c>
      <c r="C85" s="11" t="s">
        <v>1803</v>
      </c>
      <c r="D85" s="11" t="s">
        <v>298</v>
      </c>
      <c r="E85" s="11" t="s">
        <v>73</v>
      </c>
      <c r="F85" s="11" t="s">
        <v>315</v>
      </c>
      <c r="G85" s="11"/>
      <c r="H85" s="11"/>
      <c r="I85" s="14" t="s">
        <v>2379</v>
      </c>
      <c r="J85" s="40" t="s">
        <v>2380</v>
      </c>
      <c r="K85" s="14" t="s">
        <v>2381</v>
      </c>
      <c r="L85" s="45" t="s">
        <v>298</v>
      </c>
      <c r="M85" s="16" t="s">
        <v>2382</v>
      </c>
      <c r="N85" s="16" t="s">
        <v>2383</v>
      </c>
      <c r="O85" s="44">
        <v>2006.0</v>
      </c>
      <c r="P85" s="44" t="s">
        <v>1803</v>
      </c>
      <c r="Q85" s="14" t="s">
        <v>1804</v>
      </c>
      <c r="R85" s="44" t="s">
        <v>1805</v>
      </c>
      <c r="S85" s="44" t="s">
        <v>1806</v>
      </c>
      <c r="T85" s="44" t="s">
        <v>1807</v>
      </c>
      <c r="U85" s="14">
        <v>8.0</v>
      </c>
      <c r="V85" s="59"/>
      <c r="Y85" s="47" t="s">
        <v>431</v>
      </c>
      <c r="Z85" s="47" t="s">
        <v>1808</v>
      </c>
      <c r="AA85" s="47" t="s">
        <v>1809</v>
      </c>
      <c r="AB85" s="47" t="s">
        <v>433</v>
      </c>
      <c r="AC85" s="47" t="s">
        <v>433</v>
      </c>
      <c r="AE85" s="47" t="s">
        <v>174</v>
      </c>
      <c r="AF85" s="47" t="s">
        <v>435</v>
      </c>
      <c r="AG85" s="14" t="s">
        <v>2384</v>
      </c>
      <c r="AH85" s="17" t="s">
        <v>1819</v>
      </c>
      <c r="AI85" s="17" t="s">
        <v>1820</v>
      </c>
      <c r="AJ85" s="16" t="s">
        <v>70</v>
      </c>
    </row>
    <row r="86" ht="15.75" customHeight="1">
      <c r="A86" s="9">
        <v>105.0</v>
      </c>
      <c r="B86" s="16" t="s">
        <v>2385</v>
      </c>
      <c r="C86" s="11" t="s">
        <v>1803</v>
      </c>
      <c r="D86" s="11" t="s">
        <v>298</v>
      </c>
      <c r="E86" s="11" t="s">
        <v>73</v>
      </c>
      <c r="F86" s="11" t="s">
        <v>315</v>
      </c>
      <c r="G86" s="11"/>
      <c r="H86" s="11"/>
      <c r="I86" s="14" t="s">
        <v>2386</v>
      </c>
      <c r="J86" s="40" t="s">
        <v>2387</v>
      </c>
      <c r="K86" s="14" t="s">
        <v>2388</v>
      </c>
      <c r="L86" s="45" t="s">
        <v>298</v>
      </c>
      <c r="M86" s="16" t="s">
        <v>2389</v>
      </c>
      <c r="N86" s="16" t="s">
        <v>2390</v>
      </c>
      <c r="O86" s="44">
        <v>2006.0</v>
      </c>
      <c r="P86" s="44" t="s">
        <v>1803</v>
      </c>
      <c r="Q86" s="14" t="s">
        <v>1804</v>
      </c>
      <c r="R86" s="44" t="s">
        <v>1805</v>
      </c>
      <c r="S86" s="44" t="s">
        <v>1806</v>
      </c>
      <c r="T86" s="44" t="s">
        <v>1807</v>
      </c>
      <c r="U86" s="14">
        <v>8.0</v>
      </c>
      <c r="V86" s="59"/>
      <c r="Y86" s="47" t="s">
        <v>431</v>
      </c>
      <c r="Z86" s="47" t="s">
        <v>1808</v>
      </c>
      <c r="AA86" s="47" t="s">
        <v>1809</v>
      </c>
      <c r="AB86" s="47" t="s">
        <v>433</v>
      </c>
      <c r="AC86" s="47" t="s">
        <v>433</v>
      </c>
      <c r="AE86" s="47" t="s">
        <v>174</v>
      </c>
      <c r="AF86" s="47" t="s">
        <v>435</v>
      </c>
      <c r="AG86" s="14" t="s">
        <v>2391</v>
      </c>
      <c r="AH86" s="17" t="s">
        <v>1819</v>
      </c>
      <c r="AI86" s="17" t="s">
        <v>1820</v>
      </c>
      <c r="AJ86" s="16" t="s">
        <v>70</v>
      </c>
    </row>
    <row r="87" ht="15.75" customHeight="1">
      <c r="A87" s="9">
        <v>107.0</v>
      </c>
      <c r="B87" s="16" t="s">
        <v>2392</v>
      </c>
      <c r="C87" s="11" t="s">
        <v>1803</v>
      </c>
      <c r="D87" s="11" t="s">
        <v>298</v>
      </c>
      <c r="E87" s="11" t="s">
        <v>73</v>
      </c>
      <c r="F87" s="11" t="s">
        <v>315</v>
      </c>
      <c r="G87" s="11"/>
      <c r="H87" s="11"/>
      <c r="I87" s="14" t="s">
        <v>2393</v>
      </c>
      <c r="J87" s="40" t="s">
        <v>2394</v>
      </c>
      <c r="K87" s="14" t="s">
        <v>2395</v>
      </c>
      <c r="L87" s="45" t="s">
        <v>298</v>
      </c>
      <c r="M87" s="16" t="s">
        <v>2396</v>
      </c>
      <c r="N87" s="16" t="s">
        <v>2397</v>
      </c>
      <c r="O87" s="44">
        <v>2006.0</v>
      </c>
      <c r="P87" s="44" t="s">
        <v>1803</v>
      </c>
      <c r="Q87" s="14" t="s">
        <v>1804</v>
      </c>
      <c r="R87" s="44" t="s">
        <v>1805</v>
      </c>
      <c r="S87" s="44" t="s">
        <v>1806</v>
      </c>
      <c r="T87" s="44" t="s">
        <v>1807</v>
      </c>
      <c r="U87" s="14">
        <v>8.0</v>
      </c>
      <c r="V87" s="59"/>
      <c r="Y87" s="47" t="s">
        <v>431</v>
      </c>
      <c r="Z87" s="47" t="s">
        <v>1808</v>
      </c>
      <c r="AA87" s="47" t="s">
        <v>1809</v>
      </c>
      <c r="AB87" s="47" t="s">
        <v>433</v>
      </c>
      <c r="AC87" s="47" t="s">
        <v>433</v>
      </c>
      <c r="AE87" s="47" t="s">
        <v>174</v>
      </c>
      <c r="AF87" s="47" t="s">
        <v>435</v>
      </c>
      <c r="AG87" s="14" t="s">
        <v>2398</v>
      </c>
      <c r="AH87" s="17" t="s">
        <v>1819</v>
      </c>
      <c r="AI87" s="17" t="s">
        <v>1820</v>
      </c>
      <c r="AJ87" s="16" t="s">
        <v>70</v>
      </c>
    </row>
    <row r="88" ht="15.75" customHeight="1">
      <c r="A88" s="9">
        <v>109.0</v>
      </c>
      <c r="B88" s="16" t="s">
        <v>2399</v>
      </c>
      <c r="C88" s="11" t="s">
        <v>1803</v>
      </c>
      <c r="D88" s="11" t="s">
        <v>298</v>
      </c>
      <c r="E88" s="11" t="s">
        <v>73</v>
      </c>
      <c r="F88" s="11" t="s">
        <v>315</v>
      </c>
      <c r="G88" s="11"/>
      <c r="H88" s="11"/>
      <c r="I88" s="14" t="s">
        <v>2400</v>
      </c>
      <c r="J88" s="40" t="s">
        <v>2401</v>
      </c>
      <c r="K88" s="14" t="s">
        <v>2402</v>
      </c>
      <c r="L88" s="45" t="s">
        <v>298</v>
      </c>
      <c r="M88" s="16" t="s">
        <v>2403</v>
      </c>
      <c r="N88" s="16" t="s">
        <v>2404</v>
      </c>
      <c r="O88" s="44">
        <v>2006.0</v>
      </c>
      <c r="P88" s="44" t="s">
        <v>1803</v>
      </c>
      <c r="Q88" s="14" t="s">
        <v>1804</v>
      </c>
      <c r="R88" s="44" t="s">
        <v>1805</v>
      </c>
      <c r="S88" s="44" t="s">
        <v>1806</v>
      </c>
      <c r="T88" s="44" t="s">
        <v>1807</v>
      </c>
      <c r="U88" s="14">
        <v>8.0</v>
      </c>
      <c r="V88" s="59"/>
      <c r="Y88" s="47" t="s">
        <v>431</v>
      </c>
      <c r="Z88" s="47" t="s">
        <v>1808</v>
      </c>
      <c r="AA88" s="47" t="s">
        <v>1809</v>
      </c>
      <c r="AB88" s="47" t="s">
        <v>433</v>
      </c>
      <c r="AC88" s="47" t="s">
        <v>433</v>
      </c>
      <c r="AE88" s="47" t="s">
        <v>174</v>
      </c>
      <c r="AF88" s="47" t="s">
        <v>435</v>
      </c>
      <c r="AG88" s="14" t="s">
        <v>2405</v>
      </c>
      <c r="AH88" s="17" t="s">
        <v>1820</v>
      </c>
      <c r="AI88" s="17" t="s">
        <v>2329</v>
      </c>
      <c r="AJ88" s="16" t="s">
        <v>70</v>
      </c>
    </row>
    <row r="89" ht="15.75" customHeight="1">
      <c r="A89" s="9">
        <v>111.0</v>
      </c>
      <c r="B89" s="16" t="s">
        <v>2406</v>
      </c>
      <c r="C89" s="11" t="s">
        <v>1803</v>
      </c>
      <c r="D89" s="11" t="s">
        <v>298</v>
      </c>
      <c r="E89" s="11" t="s">
        <v>73</v>
      </c>
      <c r="F89" s="11" t="s">
        <v>315</v>
      </c>
      <c r="G89" s="11"/>
      <c r="H89" s="11"/>
      <c r="I89" s="14" t="s">
        <v>2407</v>
      </c>
      <c r="J89" s="40" t="s">
        <v>2408</v>
      </c>
      <c r="K89" s="14" t="s">
        <v>2409</v>
      </c>
      <c r="L89" s="45" t="s">
        <v>298</v>
      </c>
      <c r="M89" s="16" t="s">
        <v>2410</v>
      </c>
      <c r="N89" s="16" t="s">
        <v>2411</v>
      </c>
      <c r="O89" s="44">
        <v>2018.0</v>
      </c>
      <c r="P89" s="44" t="s">
        <v>1803</v>
      </c>
      <c r="Q89" s="14" t="s">
        <v>1804</v>
      </c>
      <c r="R89" s="44" t="s">
        <v>1805</v>
      </c>
      <c r="S89" s="44" t="s">
        <v>1806</v>
      </c>
      <c r="T89" s="44" t="s">
        <v>1807</v>
      </c>
      <c r="U89" s="14">
        <v>5.0</v>
      </c>
      <c r="V89" s="59"/>
      <c r="Y89" s="47" t="s">
        <v>431</v>
      </c>
      <c r="Z89" s="47" t="s">
        <v>1808</v>
      </c>
      <c r="AA89" s="47" t="s">
        <v>1809</v>
      </c>
      <c r="AB89" s="47" t="s">
        <v>433</v>
      </c>
      <c r="AC89" s="47" t="s">
        <v>433</v>
      </c>
      <c r="AE89" s="47" t="s">
        <v>174</v>
      </c>
      <c r="AF89" s="47" t="s">
        <v>435</v>
      </c>
      <c r="AG89" s="14" t="s">
        <v>2412</v>
      </c>
      <c r="AH89" s="17" t="s">
        <v>2413</v>
      </c>
      <c r="AI89" s="17" t="s">
        <v>2414</v>
      </c>
      <c r="AJ89" s="16" t="s">
        <v>70</v>
      </c>
    </row>
    <row r="90" ht="15.75" customHeight="1">
      <c r="A90" s="9">
        <v>113.0</v>
      </c>
      <c r="B90" s="16" t="s">
        <v>2415</v>
      </c>
      <c r="C90" s="11" t="s">
        <v>1803</v>
      </c>
      <c r="D90" s="11" t="s">
        <v>298</v>
      </c>
      <c r="E90" s="11" t="s">
        <v>73</v>
      </c>
      <c r="F90" s="11" t="s">
        <v>315</v>
      </c>
      <c r="G90" s="11"/>
      <c r="H90" s="11"/>
      <c r="I90" s="14" t="s">
        <v>2416</v>
      </c>
      <c r="J90" s="40" t="s">
        <v>2417</v>
      </c>
      <c r="K90" s="14" t="s">
        <v>2418</v>
      </c>
      <c r="L90" s="45" t="s">
        <v>298</v>
      </c>
      <c r="M90" s="16" t="s">
        <v>2419</v>
      </c>
      <c r="N90" s="16" t="s">
        <v>2420</v>
      </c>
      <c r="O90" s="44">
        <v>2018.0</v>
      </c>
      <c r="P90" s="44" t="s">
        <v>1803</v>
      </c>
      <c r="Q90" s="14" t="s">
        <v>1804</v>
      </c>
      <c r="R90" s="44" t="s">
        <v>1805</v>
      </c>
      <c r="S90" s="44" t="s">
        <v>1806</v>
      </c>
      <c r="T90" s="44" t="s">
        <v>1807</v>
      </c>
      <c r="U90" s="14">
        <v>5.0</v>
      </c>
      <c r="V90" s="59"/>
      <c r="Y90" s="47" t="s">
        <v>431</v>
      </c>
      <c r="Z90" s="47" t="s">
        <v>1808</v>
      </c>
      <c r="AA90" s="47" t="s">
        <v>1809</v>
      </c>
      <c r="AB90" s="47" t="s">
        <v>433</v>
      </c>
      <c r="AC90" s="47" t="s">
        <v>433</v>
      </c>
      <c r="AE90" s="47" t="s">
        <v>174</v>
      </c>
      <c r="AF90" s="47" t="s">
        <v>435</v>
      </c>
      <c r="AG90" s="14" t="s">
        <v>2421</v>
      </c>
      <c r="AH90" s="17" t="s">
        <v>2422</v>
      </c>
      <c r="AI90" s="17" t="s">
        <v>2423</v>
      </c>
      <c r="AJ90" s="16" t="s">
        <v>70</v>
      </c>
    </row>
    <row r="91" ht="15.75" customHeight="1">
      <c r="A91" s="9">
        <v>115.0</v>
      </c>
      <c r="B91" s="16" t="s">
        <v>2424</v>
      </c>
      <c r="C91" s="11" t="s">
        <v>1803</v>
      </c>
      <c r="D91" s="11" t="s">
        <v>298</v>
      </c>
      <c r="E91" s="11" t="s">
        <v>73</v>
      </c>
      <c r="F91" s="11" t="s">
        <v>315</v>
      </c>
      <c r="G91" s="11"/>
      <c r="H91" s="11"/>
      <c r="I91" s="14" t="s">
        <v>2425</v>
      </c>
      <c r="J91" s="40" t="s">
        <v>2426</v>
      </c>
      <c r="K91" s="14" t="s">
        <v>2409</v>
      </c>
      <c r="L91" s="45" t="s">
        <v>298</v>
      </c>
      <c r="M91" s="16" t="s">
        <v>2410</v>
      </c>
      <c r="N91" s="16" t="s">
        <v>2411</v>
      </c>
      <c r="O91" s="44">
        <v>2019.0</v>
      </c>
      <c r="P91" s="44" t="s">
        <v>1803</v>
      </c>
      <c r="Q91" s="14" t="s">
        <v>1804</v>
      </c>
      <c r="R91" s="44" t="s">
        <v>1805</v>
      </c>
      <c r="S91" s="44" t="s">
        <v>1806</v>
      </c>
      <c r="T91" s="44" t="s">
        <v>1807</v>
      </c>
      <c r="U91" s="14">
        <v>5.0</v>
      </c>
      <c r="V91" s="59"/>
      <c r="Y91" s="47" t="s">
        <v>431</v>
      </c>
      <c r="Z91" s="47" t="s">
        <v>1808</v>
      </c>
      <c r="AA91" s="47" t="s">
        <v>1809</v>
      </c>
      <c r="AB91" s="47" t="s">
        <v>433</v>
      </c>
      <c r="AC91" s="47" t="s">
        <v>433</v>
      </c>
      <c r="AE91" s="47" t="s">
        <v>174</v>
      </c>
      <c r="AF91" s="47" t="s">
        <v>435</v>
      </c>
      <c r="AG91" s="14" t="s">
        <v>2427</v>
      </c>
      <c r="AH91" s="17" t="s">
        <v>2428</v>
      </c>
      <c r="AI91" s="17" t="s">
        <v>2429</v>
      </c>
      <c r="AJ91" s="16" t="s">
        <v>70</v>
      </c>
    </row>
    <row r="92" ht="15.75" customHeight="1">
      <c r="A92" s="9">
        <v>117.0</v>
      </c>
      <c r="B92" s="16" t="s">
        <v>2430</v>
      </c>
      <c r="C92" s="11" t="s">
        <v>1803</v>
      </c>
      <c r="D92" s="11" t="s">
        <v>298</v>
      </c>
      <c r="E92" s="11" t="s">
        <v>73</v>
      </c>
      <c r="F92" s="11" t="s">
        <v>315</v>
      </c>
      <c r="G92" s="11"/>
      <c r="H92" s="11"/>
      <c r="I92" s="14" t="s">
        <v>2431</v>
      </c>
      <c r="J92" s="40" t="s">
        <v>2432</v>
      </c>
      <c r="K92" s="14" t="s">
        <v>2433</v>
      </c>
      <c r="L92" s="45" t="s">
        <v>298</v>
      </c>
      <c r="M92" s="16" t="s">
        <v>2434</v>
      </c>
      <c r="N92" s="16" t="s">
        <v>2435</v>
      </c>
      <c r="O92" s="44">
        <v>2019.0</v>
      </c>
      <c r="P92" s="44" t="s">
        <v>1803</v>
      </c>
      <c r="Q92" s="14" t="s">
        <v>1804</v>
      </c>
      <c r="R92" s="44" t="s">
        <v>1805</v>
      </c>
      <c r="S92" s="44" t="s">
        <v>1806</v>
      </c>
      <c r="T92" s="44" t="s">
        <v>1807</v>
      </c>
      <c r="U92" s="14">
        <v>4.0</v>
      </c>
      <c r="V92" s="59"/>
      <c r="Y92" s="47" t="s">
        <v>431</v>
      </c>
      <c r="Z92" s="47" t="s">
        <v>1808</v>
      </c>
      <c r="AA92" s="47" t="s">
        <v>1809</v>
      </c>
      <c r="AB92" s="47" t="s">
        <v>433</v>
      </c>
      <c r="AC92" s="47" t="s">
        <v>433</v>
      </c>
      <c r="AE92" s="47" t="s">
        <v>174</v>
      </c>
      <c r="AF92" s="47" t="s">
        <v>435</v>
      </c>
      <c r="AG92" s="14" t="s">
        <v>2436</v>
      </c>
      <c r="AH92" s="17" t="s">
        <v>2437</v>
      </c>
      <c r="AI92" s="17" t="s">
        <v>2438</v>
      </c>
      <c r="AJ92" s="16" t="s">
        <v>70</v>
      </c>
    </row>
    <row r="93" ht="15.75" customHeight="1">
      <c r="A93" s="9">
        <v>119.0</v>
      </c>
      <c r="B93" s="16" t="s">
        <v>2439</v>
      </c>
      <c r="C93" s="11" t="s">
        <v>1803</v>
      </c>
      <c r="D93" s="11" t="s">
        <v>298</v>
      </c>
      <c r="E93" s="11" t="s">
        <v>73</v>
      </c>
      <c r="F93" s="11" t="s">
        <v>315</v>
      </c>
      <c r="G93" s="11"/>
      <c r="H93" s="11"/>
      <c r="I93" s="14" t="s">
        <v>2440</v>
      </c>
      <c r="J93" s="40" t="s">
        <v>2441</v>
      </c>
      <c r="K93" s="14" t="s">
        <v>2442</v>
      </c>
      <c r="L93" s="45" t="s">
        <v>298</v>
      </c>
      <c r="M93" s="16" t="s">
        <v>2443</v>
      </c>
      <c r="N93" s="16" t="s">
        <v>2444</v>
      </c>
      <c r="O93" s="44">
        <v>2014.0</v>
      </c>
      <c r="P93" s="44" t="s">
        <v>1803</v>
      </c>
      <c r="Q93" s="14" t="s">
        <v>1804</v>
      </c>
      <c r="R93" s="44" t="s">
        <v>1805</v>
      </c>
      <c r="S93" s="44" t="s">
        <v>1806</v>
      </c>
      <c r="T93" s="44" t="s">
        <v>1807</v>
      </c>
      <c r="U93" s="14">
        <v>8.0</v>
      </c>
      <c r="V93" s="59"/>
      <c r="Y93" s="47" t="s">
        <v>431</v>
      </c>
      <c r="Z93" s="47" t="s">
        <v>1808</v>
      </c>
      <c r="AA93" s="47" t="s">
        <v>1809</v>
      </c>
      <c r="AB93" s="47" t="s">
        <v>433</v>
      </c>
      <c r="AC93" s="47" t="s">
        <v>433</v>
      </c>
      <c r="AE93" s="47" t="s">
        <v>174</v>
      </c>
      <c r="AF93" s="47" t="s">
        <v>435</v>
      </c>
      <c r="AG93" s="14" t="s">
        <v>2445</v>
      </c>
      <c r="AH93" s="17" t="s">
        <v>1852</v>
      </c>
      <c r="AI93" s="17" t="s">
        <v>1853</v>
      </c>
      <c r="AJ93" s="16" t="s">
        <v>70</v>
      </c>
    </row>
    <row r="94" ht="15.75" customHeight="1">
      <c r="A94" s="9">
        <v>121.0</v>
      </c>
      <c r="B94" s="16" t="s">
        <v>2446</v>
      </c>
      <c r="C94" s="11" t="s">
        <v>1803</v>
      </c>
      <c r="D94" s="11" t="s">
        <v>298</v>
      </c>
      <c r="E94" s="11" t="s">
        <v>73</v>
      </c>
      <c r="F94" s="11" t="s">
        <v>315</v>
      </c>
      <c r="G94" s="11"/>
      <c r="H94" s="11"/>
      <c r="I94" s="14" t="s">
        <v>2447</v>
      </c>
      <c r="J94" s="40" t="s">
        <v>2448</v>
      </c>
      <c r="K94" s="14" t="s">
        <v>2449</v>
      </c>
      <c r="L94" s="45" t="s">
        <v>298</v>
      </c>
      <c r="M94" s="16" t="s">
        <v>2450</v>
      </c>
      <c r="N94" s="16" t="s">
        <v>2451</v>
      </c>
      <c r="O94" s="44">
        <v>2017.0</v>
      </c>
      <c r="P94" s="44" t="s">
        <v>1803</v>
      </c>
      <c r="Q94" s="14" t="s">
        <v>1804</v>
      </c>
      <c r="R94" s="44" t="s">
        <v>1805</v>
      </c>
      <c r="S94" s="44" t="s">
        <v>1806</v>
      </c>
      <c r="T94" s="44" t="s">
        <v>1807</v>
      </c>
      <c r="U94" s="14">
        <v>8.0</v>
      </c>
      <c r="V94" s="59"/>
      <c r="Y94" s="47" t="s">
        <v>431</v>
      </c>
      <c r="Z94" s="47" t="s">
        <v>1808</v>
      </c>
      <c r="AA94" s="47" t="s">
        <v>1809</v>
      </c>
      <c r="AB94" s="47" t="s">
        <v>433</v>
      </c>
      <c r="AC94" s="47" t="s">
        <v>433</v>
      </c>
      <c r="AE94" s="47" t="s">
        <v>174</v>
      </c>
      <c r="AF94" s="47" t="s">
        <v>435</v>
      </c>
      <c r="AG94" s="14" t="s">
        <v>2452</v>
      </c>
      <c r="AH94" s="17" t="s">
        <v>2453</v>
      </c>
      <c r="AI94" s="17" t="s">
        <v>2454</v>
      </c>
      <c r="AJ94" s="16" t="s">
        <v>70</v>
      </c>
    </row>
    <row r="95" ht="15.75" customHeight="1">
      <c r="A95" s="9">
        <v>123.0</v>
      </c>
      <c r="B95" s="16" t="s">
        <v>2455</v>
      </c>
      <c r="C95" s="11" t="s">
        <v>1803</v>
      </c>
      <c r="D95" s="11" t="s">
        <v>298</v>
      </c>
      <c r="E95" s="11" t="s">
        <v>73</v>
      </c>
      <c r="F95" s="11" t="s">
        <v>315</v>
      </c>
      <c r="G95" s="11"/>
      <c r="H95" s="11"/>
      <c r="I95" s="14" t="s">
        <v>2456</v>
      </c>
      <c r="J95" s="40" t="s">
        <v>2457</v>
      </c>
      <c r="K95" s="14" t="s">
        <v>2458</v>
      </c>
      <c r="L95" s="45" t="s">
        <v>298</v>
      </c>
      <c r="M95" s="16" t="s">
        <v>2459</v>
      </c>
      <c r="N95" s="16" t="s">
        <v>2460</v>
      </c>
      <c r="O95" s="44">
        <v>2017.0</v>
      </c>
      <c r="P95" s="44" t="s">
        <v>1803</v>
      </c>
      <c r="Q95" s="14" t="s">
        <v>1804</v>
      </c>
      <c r="R95" s="44" t="s">
        <v>1805</v>
      </c>
      <c r="S95" s="44" t="s">
        <v>1806</v>
      </c>
      <c r="T95" s="44" t="s">
        <v>1807</v>
      </c>
      <c r="U95" s="14">
        <v>8.0</v>
      </c>
      <c r="V95" s="59"/>
      <c r="Y95" s="47" t="s">
        <v>431</v>
      </c>
      <c r="Z95" s="47" t="s">
        <v>1808</v>
      </c>
      <c r="AA95" s="47" t="s">
        <v>1809</v>
      </c>
      <c r="AB95" s="47" t="s">
        <v>433</v>
      </c>
      <c r="AC95" s="47" t="s">
        <v>433</v>
      </c>
      <c r="AE95" s="47" t="s">
        <v>174</v>
      </c>
      <c r="AF95" s="47" t="s">
        <v>435</v>
      </c>
      <c r="AG95" s="14" t="s">
        <v>2461</v>
      </c>
      <c r="AH95" s="17" t="s">
        <v>2462</v>
      </c>
      <c r="AI95" s="17" t="s">
        <v>2462</v>
      </c>
      <c r="AJ95" s="16" t="s">
        <v>70</v>
      </c>
    </row>
    <row r="96" ht="15.75" customHeight="1">
      <c r="A96" s="9">
        <v>125.0</v>
      </c>
      <c r="B96" s="16" t="s">
        <v>2463</v>
      </c>
      <c r="C96" s="11" t="s">
        <v>1803</v>
      </c>
      <c r="D96" s="11" t="s">
        <v>298</v>
      </c>
      <c r="E96" s="11" t="s">
        <v>73</v>
      </c>
      <c r="F96" s="11" t="s">
        <v>315</v>
      </c>
      <c r="G96" s="11"/>
      <c r="H96" s="11"/>
      <c r="I96" s="14" t="s">
        <v>2464</v>
      </c>
      <c r="J96" s="40" t="s">
        <v>2465</v>
      </c>
      <c r="K96" s="14" t="s">
        <v>2466</v>
      </c>
      <c r="L96" s="45" t="s">
        <v>298</v>
      </c>
      <c r="M96" s="16" t="s">
        <v>2467</v>
      </c>
      <c r="N96" s="16" t="s">
        <v>2468</v>
      </c>
      <c r="O96" s="44">
        <v>2025.0</v>
      </c>
      <c r="P96" s="44" t="s">
        <v>1803</v>
      </c>
      <c r="Q96" s="14" t="s">
        <v>1804</v>
      </c>
      <c r="R96" s="44" t="s">
        <v>1805</v>
      </c>
      <c r="S96" s="44" t="s">
        <v>1806</v>
      </c>
      <c r="T96" s="44" t="s">
        <v>1807</v>
      </c>
      <c r="U96" s="14">
        <v>5.0</v>
      </c>
      <c r="V96" s="59"/>
      <c r="Y96" s="47" t="s">
        <v>431</v>
      </c>
      <c r="Z96" s="47" t="s">
        <v>1808</v>
      </c>
      <c r="AA96" s="47" t="s">
        <v>1809</v>
      </c>
      <c r="AB96" s="47" t="s">
        <v>433</v>
      </c>
      <c r="AC96" s="47" t="s">
        <v>433</v>
      </c>
      <c r="AE96" s="47" t="s">
        <v>174</v>
      </c>
      <c r="AF96" s="47" t="s">
        <v>435</v>
      </c>
      <c r="AG96" s="14" t="s">
        <v>2469</v>
      </c>
      <c r="AH96" s="17" t="s">
        <v>2470</v>
      </c>
      <c r="AI96" s="17" t="s">
        <v>2471</v>
      </c>
      <c r="AJ96" s="16" t="s">
        <v>70</v>
      </c>
    </row>
    <row r="97" ht="15.75" customHeight="1">
      <c r="A97" s="9">
        <v>127.0</v>
      </c>
      <c r="B97" s="16" t="s">
        <v>2472</v>
      </c>
      <c r="C97" s="11" t="s">
        <v>1803</v>
      </c>
      <c r="D97" s="11" t="s">
        <v>298</v>
      </c>
      <c r="E97" s="11" t="s">
        <v>73</v>
      </c>
      <c r="F97" s="11" t="s">
        <v>315</v>
      </c>
      <c r="G97" s="11"/>
      <c r="H97" s="11"/>
      <c r="I97" s="14" t="s">
        <v>2473</v>
      </c>
      <c r="J97" s="40" t="s">
        <v>2474</v>
      </c>
      <c r="K97" s="14" t="s">
        <v>2475</v>
      </c>
      <c r="L97" s="45" t="s">
        <v>298</v>
      </c>
      <c r="M97" s="16" t="s">
        <v>2476</v>
      </c>
      <c r="N97" s="16" t="s">
        <v>2477</v>
      </c>
      <c r="O97" s="44">
        <v>2006.0</v>
      </c>
      <c r="P97" s="44" t="s">
        <v>1803</v>
      </c>
      <c r="Q97" s="14" t="s">
        <v>1804</v>
      </c>
      <c r="R97" s="44" t="s">
        <v>1805</v>
      </c>
      <c r="S97" s="44" t="s">
        <v>1806</v>
      </c>
      <c r="T97" s="44" t="s">
        <v>1807</v>
      </c>
      <c r="U97" s="14">
        <v>8.0</v>
      </c>
      <c r="V97" s="59"/>
      <c r="Y97" s="47" t="s">
        <v>431</v>
      </c>
      <c r="Z97" s="47" t="s">
        <v>1808</v>
      </c>
      <c r="AA97" s="47" t="s">
        <v>1809</v>
      </c>
      <c r="AB97" s="47" t="s">
        <v>433</v>
      </c>
      <c r="AC97" s="47" t="s">
        <v>433</v>
      </c>
      <c r="AE97" s="47" t="s">
        <v>174</v>
      </c>
      <c r="AF97" s="47" t="s">
        <v>435</v>
      </c>
      <c r="AG97" s="14" t="s">
        <v>2478</v>
      </c>
      <c r="AH97" s="17" t="s">
        <v>1820</v>
      </c>
      <c r="AI97" s="17" t="s">
        <v>2329</v>
      </c>
      <c r="AJ97" s="16" t="s">
        <v>70</v>
      </c>
    </row>
    <row r="98" ht="15.75" customHeight="1">
      <c r="A98" s="9">
        <v>129.0</v>
      </c>
      <c r="B98" s="16" t="s">
        <v>2479</v>
      </c>
      <c r="C98" s="11" t="s">
        <v>1803</v>
      </c>
      <c r="D98" s="11" t="s">
        <v>298</v>
      </c>
      <c r="E98" s="11" t="s">
        <v>73</v>
      </c>
      <c r="F98" s="11" t="s">
        <v>315</v>
      </c>
      <c r="G98" s="11"/>
      <c r="H98" s="11"/>
      <c r="I98" s="14" t="s">
        <v>2480</v>
      </c>
      <c r="J98" s="40" t="s">
        <v>2481</v>
      </c>
      <c r="K98" s="14" t="s">
        <v>2482</v>
      </c>
      <c r="L98" s="45" t="s">
        <v>298</v>
      </c>
      <c r="M98" s="16" t="s">
        <v>2483</v>
      </c>
      <c r="N98" s="16" t="s">
        <v>2484</v>
      </c>
      <c r="O98" s="44">
        <v>2006.0</v>
      </c>
      <c r="P98" s="44" t="s">
        <v>1803</v>
      </c>
      <c r="Q98" s="14" t="s">
        <v>1804</v>
      </c>
      <c r="R98" s="44" t="s">
        <v>1805</v>
      </c>
      <c r="S98" s="44" t="s">
        <v>1806</v>
      </c>
      <c r="T98" s="44" t="s">
        <v>1807</v>
      </c>
      <c r="U98" s="14">
        <v>8.0</v>
      </c>
      <c r="V98" s="59"/>
      <c r="Y98" s="47" t="s">
        <v>431</v>
      </c>
      <c r="Z98" s="47" t="s">
        <v>1808</v>
      </c>
      <c r="AA98" s="47" t="s">
        <v>1809</v>
      </c>
      <c r="AB98" s="47" t="s">
        <v>433</v>
      </c>
      <c r="AC98" s="47" t="s">
        <v>433</v>
      </c>
      <c r="AE98" s="47" t="s">
        <v>174</v>
      </c>
      <c r="AF98" s="47" t="s">
        <v>435</v>
      </c>
      <c r="AG98" s="14" t="s">
        <v>2485</v>
      </c>
      <c r="AH98" s="17" t="s">
        <v>1820</v>
      </c>
      <c r="AI98" s="17" t="s">
        <v>2329</v>
      </c>
      <c r="AJ98" s="16" t="s">
        <v>70</v>
      </c>
    </row>
    <row r="99" ht="15.75" customHeight="1">
      <c r="A99" s="9">
        <v>131.0</v>
      </c>
      <c r="B99" s="16" t="s">
        <v>2486</v>
      </c>
      <c r="C99" s="11" t="s">
        <v>1803</v>
      </c>
      <c r="D99" s="11" t="s">
        <v>298</v>
      </c>
      <c r="E99" s="11" t="s">
        <v>73</v>
      </c>
      <c r="F99" s="11" t="s">
        <v>315</v>
      </c>
      <c r="G99" s="11"/>
      <c r="H99" s="11"/>
      <c r="I99" s="14" t="s">
        <v>2487</v>
      </c>
      <c r="J99" s="40" t="s">
        <v>2488</v>
      </c>
      <c r="K99" s="14" t="s">
        <v>2489</v>
      </c>
      <c r="L99" s="45" t="s">
        <v>298</v>
      </c>
      <c r="M99" s="16" t="s">
        <v>2490</v>
      </c>
      <c r="N99" s="16" t="s">
        <v>2491</v>
      </c>
      <c r="O99" s="44">
        <v>2006.0</v>
      </c>
      <c r="P99" s="44" t="s">
        <v>1803</v>
      </c>
      <c r="Q99" s="14" t="s">
        <v>1804</v>
      </c>
      <c r="R99" s="44" t="s">
        <v>1805</v>
      </c>
      <c r="S99" s="44" t="s">
        <v>1806</v>
      </c>
      <c r="T99" s="44" t="s">
        <v>1807</v>
      </c>
      <c r="U99" s="14">
        <v>8.0</v>
      </c>
      <c r="V99" s="59"/>
      <c r="Y99" s="47" t="s">
        <v>431</v>
      </c>
      <c r="Z99" s="47" t="s">
        <v>1808</v>
      </c>
      <c r="AA99" s="47" t="s">
        <v>1809</v>
      </c>
      <c r="AB99" s="47" t="s">
        <v>433</v>
      </c>
      <c r="AC99" s="47" t="s">
        <v>433</v>
      </c>
      <c r="AE99" s="47" t="s">
        <v>174</v>
      </c>
      <c r="AF99" s="47" t="s">
        <v>435</v>
      </c>
      <c r="AG99" s="14" t="s">
        <v>2492</v>
      </c>
      <c r="AH99" s="17" t="s">
        <v>2329</v>
      </c>
      <c r="AI99" s="17" t="s">
        <v>2493</v>
      </c>
      <c r="AJ99" s="16" t="s">
        <v>70</v>
      </c>
    </row>
    <row r="100" ht="15.75" customHeight="1">
      <c r="A100" s="9">
        <v>133.0</v>
      </c>
      <c r="B100" s="16" t="s">
        <v>2494</v>
      </c>
      <c r="C100" s="11" t="s">
        <v>1803</v>
      </c>
      <c r="D100" s="11" t="s">
        <v>298</v>
      </c>
      <c r="E100" s="11" t="s">
        <v>73</v>
      </c>
      <c r="F100" s="11" t="s">
        <v>315</v>
      </c>
      <c r="G100" s="11"/>
      <c r="H100" s="11"/>
      <c r="I100" s="14" t="s">
        <v>2495</v>
      </c>
      <c r="J100" s="40" t="s">
        <v>2496</v>
      </c>
      <c r="K100" s="14" t="s">
        <v>2497</v>
      </c>
      <c r="L100" s="45" t="s">
        <v>298</v>
      </c>
      <c r="M100" s="16" t="s">
        <v>2498</v>
      </c>
      <c r="N100" s="16" t="s">
        <v>2499</v>
      </c>
      <c r="O100" s="44">
        <v>2006.0</v>
      </c>
      <c r="P100" s="44" t="s">
        <v>1803</v>
      </c>
      <c r="Q100" s="14" t="s">
        <v>1804</v>
      </c>
      <c r="R100" s="44" t="s">
        <v>1805</v>
      </c>
      <c r="S100" s="44" t="s">
        <v>1806</v>
      </c>
      <c r="T100" s="44" t="s">
        <v>1807</v>
      </c>
      <c r="U100" s="14">
        <v>8.0</v>
      </c>
      <c r="V100" s="59"/>
      <c r="Y100" s="47" t="s">
        <v>431</v>
      </c>
      <c r="Z100" s="47" t="s">
        <v>1808</v>
      </c>
      <c r="AA100" s="47" t="s">
        <v>1809</v>
      </c>
      <c r="AB100" s="47" t="s">
        <v>433</v>
      </c>
      <c r="AC100" s="47" t="s">
        <v>433</v>
      </c>
      <c r="AE100" s="47" t="s">
        <v>174</v>
      </c>
      <c r="AF100" s="47" t="s">
        <v>435</v>
      </c>
      <c r="AG100" s="14" t="s">
        <v>2500</v>
      </c>
      <c r="AH100" s="17" t="s">
        <v>2329</v>
      </c>
      <c r="AI100" s="17" t="s">
        <v>2493</v>
      </c>
      <c r="AJ100" s="16" t="s">
        <v>70</v>
      </c>
    </row>
    <row r="101" ht="15.75" customHeight="1">
      <c r="A101" s="9">
        <v>135.0</v>
      </c>
      <c r="B101" s="16" t="s">
        <v>2501</v>
      </c>
      <c r="C101" s="11" t="s">
        <v>1803</v>
      </c>
      <c r="D101" s="11" t="s">
        <v>298</v>
      </c>
      <c r="E101" s="11" t="s">
        <v>73</v>
      </c>
      <c r="F101" s="11" t="s">
        <v>315</v>
      </c>
      <c r="G101" s="11"/>
      <c r="H101" s="11"/>
      <c r="I101" s="14" t="s">
        <v>2502</v>
      </c>
      <c r="J101" s="40" t="s">
        <v>2503</v>
      </c>
      <c r="K101" s="14" t="s">
        <v>2504</v>
      </c>
      <c r="L101" s="45" t="s">
        <v>298</v>
      </c>
      <c r="M101" s="16" t="s">
        <v>2505</v>
      </c>
      <c r="N101" s="16" t="s">
        <v>2506</v>
      </c>
      <c r="O101" s="44">
        <v>2006.0</v>
      </c>
      <c r="P101" s="44" t="s">
        <v>1803</v>
      </c>
      <c r="Q101" s="14" t="s">
        <v>1804</v>
      </c>
      <c r="R101" s="44" t="s">
        <v>1805</v>
      </c>
      <c r="S101" s="44" t="s">
        <v>1806</v>
      </c>
      <c r="T101" s="44" t="s">
        <v>1807</v>
      </c>
      <c r="U101" s="14">
        <v>8.0</v>
      </c>
      <c r="V101" s="59"/>
      <c r="Y101" s="47" t="s">
        <v>431</v>
      </c>
      <c r="Z101" s="47" t="s">
        <v>1808</v>
      </c>
      <c r="AA101" s="47" t="s">
        <v>1809</v>
      </c>
      <c r="AB101" s="47" t="s">
        <v>433</v>
      </c>
      <c r="AC101" s="47" t="s">
        <v>433</v>
      </c>
      <c r="AE101" s="47" t="s">
        <v>174</v>
      </c>
      <c r="AF101" s="47" t="s">
        <v>435</v>
      </c>
      <c r="AG101" s="14" t="s">
        <v>2507</v>
      </c>
      <c r="AH101" s="17" t="s">
        <v>2329</v>
      </c>
      <c r="AI101" s="17" t="s">
        <v>2493</v>
      </c>
      <c r="AJ101" s="16" t="s">
        <v>70</v>
      </c>
    </row>
    <row r="102" ht="15.75" customHeight="1">
      <c r="A102" s="9">
        <v>137.0</v>
      </c>
      <c r="B102" s="16" t="s">
        <v>2508</v>
      </c>
      <c r="C102" s="11" t="s">
        <v>1803</v>
      </c>
      <c r="D102" s="11" t="s">
        <v>298</v>
      </c>
      <c r="E102" s="11" t="s">
        <v>73</v>
      </c>
      <c r="F102" s="11" t="s">
        <v>315</v>
      </c>
      <c r="G102" s="11"/>
      <c r="H102" s="11"/>
      <c r="I102" s="14" t="s">
        <v>2509</v>
      </c>
      <c r="J102" s="40" t="s">
        <v>2510</v>
      </c>
      <c r="K102" s="14" t="s">
        <v>2511</v>
      </c>
      <c r="L102" s="45" t="s">
        <v>298</v>
      </c>
      <c r="M102" s="16" t="s">
        <v>2512</v>
      </c>
      <c r="N102" s="16" t="s">
        <v>2513</v>
      </c>
      <c r="O102" s="44">
        <v>2009.0</v>
      </c>
      <c r="P102" s="44" t="s">
        <v>1803</v>
      </c>
      <c r="Q102" s="14" t="s">
        <v>1804</v>
      </c>
      <c r="R102" s="44" t="s">
        <v>1805</v>
      </c>
      <c r="S102" s="44" t="s">
        <v>1806</v>
      </c>
      <c r="T102" s="44" t="s">
        <v>1807</v>
      </c>
      <c r="U102" s="14">
        <v>8.0</v>
      </c>
      <c r="V102" s="59"/>
      <c r="Y102" s="47" t="s">
        <v>431</v>
      </c>
      <c r="Z102" s="47" t="s">
        <v>1808</v>
      </c>
      <c r="AA102" s="47" t="s">
        <v>1809</v>
      </c>
      <c r="AB102" s="47" t="s">
        <v>433</v>
      </c>
      <c r="AC102" s="47" t="s">
        <v>433</v>
      </c>
      <c r="AE102" s="47" t="s">
        <v>174</v>
      </c>
      <c r="AF102" s="47" t="s">
        <v>435</v>
      </c>
      <c r="AG102" s="14" t="s">
        <v>2514</v>
      </c>
      <c r="AH102" s="17" t="s">
        <v>1828</v>
      </c>
      <c r="AI102" s="17" t="s">
        <v>2156</v>
      </c>
      <c r="AJ102" s="16" t="s">
        <v>70</v>
      </c>
    </row>
    <row r="103" ht="15.75" customHeight="1">
      <c r="A103" s="9">
        <v>139.0</v>
      </c>
      <c r="B103" s="16" t="s">
        <v>2515</v>
      </c>
      <c r="C103" s="11" t="s">
        <v>1803</v>
      </c>
      <c r="D103" s="11" t="s">
        <v>298</v>
      </c>
      <c r="E103" s="11" t="s">
        <v>73</v>
      </c>
      <c r="F103" s="11" t="s">
        <v>315</v>
      </c>
      <c r="G103" s="11"/>
      <c r="H103" s="11"/>
      <c r="I103" s="14" t="s">
        <v>2516</v>
      </c>
      <c r="J103" s="40" t="s">
        <v>2517</v>
      </c>
      <c r="K103" s="14" t="s">
        <v>2518</v>
      </c>
      <c r="L103" s="45" t="s">
        <v>298</v>
      </c>
      <c r="M103" s="16" t="s">
        <v>2519</v>
      </c>
      <c r="N103" s="16" t="s">
        <v>2520</v>
      </c>
      <c r="O103" s="44">
        <v>2012.0</v>
      </c>
      <c r="P103" s="44" t="s">
        <v>1803</v>
      </c>
      <c r="Q103" s="14" t="s">
        <v>1804</v>
      </c>
      <c r="R103" s="44" t="s">
        <v>1805</v>
      </c>
      <c r="S103" s="44" t="s">
        <v>1806</v>
      </c>
      <c r="T103" s="44" t="s">
        <v>1807</v>
      </c>
      <c r="U103" s="14">
        <v>8.0</v>
      </c>
      <c r="V103" s="59"/>
      <c r="Y103" s="47" t="s">
        <v>431</v>
      </c>
      <c r="Z103" s="47" t="s">
        <v>1808</v>
      </c>
      <c r="AA103" s="47" t="s">
        <v>1809</v>
      </c>
      <c r="AB103" s="47" t="s">
        <v>433</v>
      </c>
      <c r="AC103" s="47" t="s">
        <v>433</v>
      </c>
      <c r="AE103" s="47" t="s">
        <v>174</v>
      </c>
      <c r="AF103" s="47" t="s">
        <v>435</v>
      </c>
      <c r="AG103" s="14" t="s">
        <v>2521</v>
      </c>
      <c r="AH103" s="17" t="s">
        <v>2192</v>
      </c>
      <c r="AI103" s="17" t="s">
        <v>2193</v>
      </c>
      <c r="AJ103" s="16" t="s">
        <v>70</v>
      </c>
    </row>
    <row r="104" ht="15.75" customHeight="1">
      <c r="A104" s="9">
        <v>141.0</v>
      </c>
      <c r="B104" s="16" t="s">
        <v>2522</v>
      </c>
      <c r="C104" s="11" t="s">
        <v>1803</v>
      </c>
      <c r="D104" s="11" t="s">
        <v>298</v>
      </c>
      <c r="E104" s="11" t="s">
        <v>73</v>
      </c>
      <c r="F104" s="11" t="s">
        <v>315</v>
      </c>
      <c r="G104" s="11"/>
      <c r="H104" s="11"/>
      <c r="I104" s="14" t="s">
        <v>2523</v>
      </c>
      <c r="J104" s="40" t="s">
        <v>2524</v>
      </c>
      <c r="K104" s="14" t="s">
        <v>2525</v>
      </c>
      <c r="L104" s="45" t="s">
        <v>298</v>
      </c>
      <c r="M104" s="16" t="s">
        <v>2526</v>
      </c>
      <c r="N104" s="16" t="s">
        <v>2527</v>
      </c>
      <c r="O104" s="44">
        <v>2012.0</v>
      </c>
      <c r="P104" s="44" t="s">
        <v>1803</v>
      </c>
      <c r="Q104" s="14" t="s">
        <v>1804</v>
      </c>
      <c r="R104" s="44" t="s">
        <v>1805</v>
      </c>
      <c r="S104" s="44" t="s">
        <v>1806</v>
      </c>
      <c r="T104" s="44" t="s">
        <v>1807</v>
      </c>
      <c r="U104" s="14">
        <v>8.0</v>
      </c>
      <c r="V104" s="59"/>
      <c r="Y104" s="47" t="s">
        <v>431</v>
      </c>
      <c r="Z104" s="47" t="s">
        <v>1808</v>
      </c>
      <c r="AA104" s="47" t="s">
        <v>1809</v>
      </c>
      <c r="AB104" s="47" t="s">
        <v>433</v>
      </c>
      <c r="AC104" s="47" t="s">
        <v>433</v>
      </c>
      <c r="AE104" s="47" t="s">
        <v>174</v>
      </c>
      <c r="AF104" s="47" t="s">
        <v>435</v>
      </c>
      <c r="AG104" s="14" t="s">
        <v>2528</v>
      </c>
      <c r="AH104" s="17" t="s">
        <v>1811</v>
      </c>
      <c r="AI104" s="17" t="s">
        <v>1812</v>
      </c>
      <c r="AJ104" s="16" t="s">
        <v>70</v>
      </c>
    </row>
    <row r="105" ht="15.75" customHeight="1">
      <c r="A105" s="9">
        <v>143.0</v>
      </c>
      <c r="B105" s="16" t="s">
        <v>2529</v>
      </c>
      <c r="C105" s="11" t="s">
        <v>1803</v>
      </c>
      <c r="D105" s="11" t="s">
        <v>298</v>
      </c>
      <c r="E105" s="11" t="s">
        <v>73</v>
      </c>
      <c r="F105" s="11" t="s">
        <v>315</v>
      </c>
      <c r="G105" s="11"/>
      <c r="H105" s="11"/>
      <c r="I105" s="14" t="s">
        <v>2530</v>
      </c>
      <c r="J105" s="40" t="s">
        <v>2531</v>
      </c>
      <c r="K105" s="14" t="s">
        <v>2532</v>
      </c>
      <c r="L105" s="45" t="s">
        <v>298</v>
      </c>
      <c r="M105" s="16" t="s">
        <v>2533</v>
      </c>
      <c r="N105" s="16" t="s">
        <v>2534</v>
      </c>
      <c r="O105" s="44">
        <v>2018.0</v>
      </c>
      <c r="P105" s="44" t="s">
        <v>1803</v>
      </c>
      <c r="Q105" s="14" t="s">
        <v>1804</v>
      </c>
      <c r="R105" s="44" t="s">
        <v>1805</v>
      </c>
      <c r="S105" s="44" t="s">
        <v>1806</v>
      </c>
      <c r="T105" s="44" t="s">
        <v>1807</v>
      </c>
      <c r="U105" s="14">
        <v>5.0</v>
      </c>
      <c r="V105" s="59"/>
      <c r="Y105" s="47" t="s">
        <v>431</v>
      </c>
      <c r="Z105" s="47" t="s">
        <v>1808</v>
      </c>
      <c r="AA105" s="47" t="s">
        <v>1809</v>
      </c>
      <c r="AB105" s="47" t="s">
        <v>433</v>
      </c>
      <c r="AC105" s="47" t="s">
        <v>433</v>
      </c>
      <c r="AE105" s="47" t="s">
        <v>174</v>
      </c>
      <c r="AF105" s="47" t="s">
        <v>435</v>
      </c>
      <c r="AG105" s="14" t="s">
        <v>2535</v>
      </c>
      <c r="AH105" s="17" t="s">
        <v>2422</v>
      </c>
      <c r="AI105" s="17" t="s">
        <v>2423</v>
      </c>
      <c r="AJ105" s="16" t="s">
        <v>70</v>
      </c>
    </row>
    <row r="106" ht="15.75" customHeight="1">
      <c r="A106" s="9">
        <v>145.0</v>
      </c>
      <c r="B106" s="16" t="s">
        <v>2536</v>
      </c>
      <c r="C106" s="11" t="s">
        <v>1803</v>
      </c>
      <c r="D106" s="11" t="s">
        <v>298</v>
      </c>
      <c r="E106" s="11" t="s">
        <v>73</v>
      </c>
      <c r="F106" s="11" t="s">
        <v>315</v>
      </c>
      <c r="G106" s="11"/>
      <c r="H106" s="11"/>
      <c r="I106" s="14" t="s">
        <v>2537</v>
      </c>
      <c r="J106" s="40" t="s">
        <v>2538</v>
      </c>
      <c r="K106" s="14" t="s">
        <v>2539</v>
      </c>
      <c r="L106" s="45" t="s">
        <v>298</v>
      </c>
      <c r="M106" s="16" t="s">
        <v>2540</v>
      </c>
      <c r="N106" s="16" t="s">
        <v>2541</v>
      </c>
      <c r="O106" s="44">
        <v>2018.0</v>
      </c>
      <c r="P106" s="44" t="s">
        <v>1803</v>
      </c>
      <c r="Q106" s="14" t="s">
        <v>1804</v>
      </c>
      <c r="R106" s="44" t="s">
        <v>1805</v>
      </c>
      <c r="S106" s="44" t="s">
        <v>1806</v>
      </c>
      <c r="T106" s="44" t="s">
        <v>1807</v>
      </c>
      <c r="U106" s="14">
        <v>5.0</v>
      </c>
      <c r="V106" s="59"/>
      <c r="Y106" s="47" t="s">
        <v>431</v>
      </c>
      <c r="Z106" s="47" t="s">
        <v>1808</v>
      </c>
      <c r="AA106" s="47" t="s">
        <v>1809</v>
      </c>
      <c r="AB106" s="47" t="s">
        <v>433</v>
      </c>
      <c r="AC106" s="47" t="s">
        <v>433</v>
      </c>
      <c r="AE106" s="47" t="s">
        <v>174</v>
      </c>
      <c r="AF106" s="47" t="s">
        <v>435</v>
      </c>
      <c r="AG106" s="14" t="s">
        <v>2542</v>
      </c>
      <c r="AH106" s="17" t="s">
        <v>2543</v>
      </c>
      <c r="AI106" s="17" t="s">
        <v>2544</v>
      </c>
      <c r="AJ106" s="16" t="s">
        <v>70</v>
      </c>
    </row>
    <row r="107" ht="15.75" customHeight="1">
      <c r="A107" s="9">
        <v>147.0</v>
      </c>
      <c r="B107" s="16" t="s">
        <v>2545</v>
      </c>
      <c r="C107" s="11" t="s">
        <v>1803</v>
      </c>
      <c r="D107" s="11" t="s">
        <v>298</v>
      </c>
      <c r="E107" s="11" t="s">
        <v>73</v>
      </c>
      <c r="F107" s="11" t="s">
        <v>315</v>
      </c>
      <c r="G107" s="11"/>
      <c r="H107" s="11"/>
      <c r="I107" s="14" t="s">
        <v>2546</v>
      </c>
      <c r="J107" s="40" t="s">
        <v>2547</v>
      </c>
      <c r="K107" s="14" t="s">
        <v>2548</v>
      </c>
      <c r="L107" s="45" t="s">
        <v>298</v>
      </c>
      <c r="M107" s="16" t="s">
        <v>2549</v>
      </c>
      <c r="N107" s="16" t="s">
        <v>2550</v>
      </c>
      <c r="O107" s="44">
        <v>2019.0</v>
      </c>
      <c r="P107" s="44" t="s">
        <v>1803</v>
      </c>
      <c r="Q107" s="14" t="s">
        <v>1804</v>
      </c>
      <c r="R107" s="44" t="s">
        <v>1805</v>
      </c>
      <c r="S107" s="44" t="s">
        <v>1806</v>
      </c>
      <c r="T107" s="44" t="s">
        <v>1807</v>
      </c>
      <c r="U107" s="14">
        <v>5.0</v>
      </c>
      <c r="V107" s="59"/>
      <c r="Y107" s="47" t="s">
        <v>431</v>
      </c>
      <c r="Z107" s="47" t="s">
        <v>1808</v>
      </c>
      <c r="AA107" s="47" t="s">
        <v>1809</v>
      </c>
      <c r="AB107" s="47" t="s">
        <v>433</v>
      </c>
      <c r="AC107" s="47" t="s">
        <v>433</v>
      </c>
      <c r="AE107" s="47" t="s">
        <v>174</v>
      </c>
      <c r="AF107" s="47" t="s">
        <v>435</v>
      </c>
      <c r="AG107" s="14" t="s">
        <v>2551</v>
      </c>
      <c r="AH107" s="17" t="s">
        <v>2552</v>
      </c>
      <c r="AI107" s="17" t="s">
        <v>2553</v>
      </c>
      <c r="AJ107" s="16" t="s">
        <v>70</v>
      </c>
    </row>
    <row r="108" ht="15.75" customHeight="1">
      <c r="A108" s="9">
        <v>149.0</v>
      </c>
      <c r="B108" s="16" t="s">
        <v>2554</v>
      </c>
      <c r="C108" s="11" t="s">
        <v>1803</v>
      </c>
      <c r="D108" s="11" t="s">
        <v>298</v>
      </c>
      <c r="E108" s="11" t="s">
        <v>73</v>
      </c>
      <c r="F108" s="11" t="s">
        <v>315</v>
      </c>
      <c r="G108" s="11"/>
      <c r="H108" s="11"/>
      <c r="I108" s="14" t="s">
        <v>2555</v>
      </c>
      <c r="J108" s="40" t="s">
        <v>2556</v>
      </c>
      <c r="K108" s="14" t="s">
        <v>2557</v>
      </c>
      <c r="L108" s="45" t="s">
        <v>298</v>
      </c>
      <c r="M108" s="16" t="s">
        <v>2558</v>
      </c>
      <c r="N108" s="16" t="s">
        <v>2559</v>
      </c>
      <c r="O108" s="44">
        <v>2019.0</v>
      </c>
      <c r="P108" s="44" t="s">
        <v>1803</v>
      </c>
      <c r="Q108" s="14" t="s">
        <v>1804</v>
      </c>
      <c r="R108" s="44" t="s">
        <v>1805</v>
      </c>
      <c r="S108" s="44" t="s">
        <v>1806</v>
      </c>
      <c r="T108" s="44" t="s">
        <v>1807</v>
      </c>
      <c r="U108" s="14">
        <v>8.0</v>
      </c>
      <c r="V108" s="59"/>
      <c r="Y108" s="47" t="s">
        <v>431</v>
      </c>
      <c r="Z108" s="47" t="s">
        <v>1808</v>
      </c>
      <c r="AA108" s="47" t="s">
        <v>1809</v>
      </c>
      <c r="AB108" s="47" t="s">
        <v>433</v>
      </c>
      <c r="AC108" s="47" t="s">
        <v>433</v>
      </c>
      <c r="AE108" s="47" t="s">
        <v>174</v>
      </c>
      <c r="AF108" s="47" t="s">
        <v>435</v>
      </c>
      <c r="AG108" s="14" t="s">
        <v>2560</v>
      </c>
      <c r="AH108" s="17" t="s">
        <v>1912</v>
      </c>
      <c r="AI108" s="17" t="s">
        <v>1912</v>
      </c>
      <c r="AJ108" s="16" t="s">
        <v>70</v>
      </c>
    </row>
    <row r="109" ht="15.75" customHeight="1">
      <c r="A109" s="9">
        <v>151.0</v>
      </c>
      <c r="B109" s="16" t="s">
        <v>2561</v>
      </c>
      <c r="C109" s="11" t="s">
        <v>1803</v>
      </c>
      <c r="D109" s="11" t="s">
        <v>298</v>
      </c>
      <c r="E109" s="11" t="s">
        <v>73</v>
      </c>
      <c r="F109" s="11" t="s">
        <v>315</v>
      </c>
      <c r="G109" s="11"/>
      <c r="H109" s="11"/>
      <c r="I109" s="14" t="s">
        <v>2562</v>
      </c>
      <c r="J109" s="40" t="s">
        <v>2563</v>
      </c>
      <c r="K109" s="14" t="s">
        <v>2564</v>
      </c>
      <c r="L109" s="45" t="s">
        <v>298</v>
      </c>
      <c r="M109" s="16" t="s">
        <v>2565</v>
      </c>
      <c r="N109" s="16" t="s">
        <v>2566</v>
      </c>
      <c r="O109" s="44">
        <v>2019.0</v>
      </c>
      <c r="P109" s="44" t="s">
        <v>1803</v>
      </c>
      <c r="Q109" s="14" t="s">
        <v>1804</v>
      </c>
      <c r="R109" s="44" t="s">
        <v>1805</v>
      </c>
      <c r="S109" s="44" t="s">
        <v>1806</v>
      </c>
      <c r="T109" s="44" t="s">
        <v>1807</v>
      </c>
      <c r="U109" s="14">
        <v>5.0</v>
      </c>
      <c r="V109" s="59"/>
      <c r="Y109" s="47" t="s">
        <v>431</v>
      </c>
      <c r="Z109" s="47" t="s">
        <v>1808</v>
      </c>
      <c r="AA109" s="47" t="s">
        <v>1809</v>
      </c>
      <c r="AB109" s="47" t="s">
        <v>433</v>
      </c>
      <c r="AC109" s="47" t="s">
        <v>433</v>
      </c>
      <c r="AE109" s="47" t="s">
        <v>174</v>
      </c>
      <c r="AF109" s="47" t="s">
        <v>435</v>
      </c>
      <c r="AG109" s="14" t="s">
        <v>2567</v>
      </c>
      <c r="AH109" s="17" t="s">
        <v>2552</v>
      </c>
      <c r="AI109" s="17" t="s">
        <v>2553</v>
      </c>
      <c r="AJ109" s="16" t="s">
        <v>70</v>
      </c>
    </row>
    <row r="110" ht="15.75" customHeight="1">
      <c r="A110" s="9">
        <v>153.0</v>
      </c>
      <c r="B110" s="16" t="s">
        <v>2568</v>
      </c>
      <c r="C110" s="11" t="s">
        <v>1803</v>
      </c>
      <c r="D110" s="11" t="s">
        <v>298</v>
      </c>
      <c r="E110" s="11" t="s">
        <v>73</v>
      </c>
      <c r="F110" s="11" t="s">
        <v>315</v>
      </c>
      <c r="G110" s="11"/>
      <c r="H110" s="11"/>
      <c r="I110" s="14" t="s">
        <v>2569</v>
      </c>
      <c r="J110" s="40" t="s">
        <v>2570</v>
      </c>
      <c r="K110" s="14" t="s">
        <v>2571</v>
      </c>
      <c r="L110" s="45" t="s">
        <v>298</v>
      </c>
      <c r="M110" s="16" t="s">
        <v>2572</v>
      </c>
      <c r="N110" s="16" t="s">
        <v>2573</v>
      </c>
      <c r="O110" s="44">
        <v>2022.0</v>
      </c>
      <c r="P110" s="44" t="s">
        <v>1803</v>
      </c>
      <c r="Q110" s="14" t="s">
        <v>1804</v>
      </c>
      <c r="R110" s="44" t="s">
        <v>1805</v>
      </c>
      <c r="S110" s="44" t="s">
        <v>1806</v>
      </c>
      <c r="T110" s="44" t="s">
        <v>1807</v>
      </c>
      <c r="U110" s="14">
        <v>4.0</v>
      </c>
      <c r="V110" s="59"/>
      <c r="Y110" s="47" t="s">
        <v>431</v>
      </c>
      <c r="Z110" s="47" t="s">
        <v>1808</v>
      </c>
      <c r="AA110" s="47" t="s">
        <v>1809</v>
      </c>
      <c r="AB110" s="47" t="s">
        <v>433</v>
      </c>
      <c r="AC110" s="47" t="s">
        <v>433</v>
      </c>
      <c r="AE110" s="47" t="s">
        <v>174</v>
      </c>
      <c r="AF110" s="47" t="s">
        <v>435</v>
      </c>
      <c r="AG110" s="14" t="s">
        <v>2574</v>
      </c>
      <c r="AH110" s="17" t="s">
        <v>2575</v>
      </c>
      <c r="AI110" s="17" t="s">
        <v>2576</v>
      </c>
      <c r="AJ110" s="16" t="s">
        <v>70</v>
      </c>
    </row>
    <row r="111" ht="15.75" customHeight="1">
      <c r="A111" s="9">
        <v>155.0</v>
      </c>
      <c r="B111" s="16" t="s">
        <v>2577</v>
      </c>
      <c r="C111" s="11" t="s">
        <v>1803</v>
      </c>
      <c r="D111" s="11" t="s">
        <v>298</v>
      </c>
      <c r="E111" s="11" t="s">
        <v>73</v>
      </c>
      <c r="F111" s="11" t="s">
        <v>315</v>
      </c>
      <c r="G111" s="11"/>
      <c r="H111" s="11"/>
      <c r="I111" s="14" t="s">
        <v>2578</v>
      </c>
      <c r="J111" s="40" t="s">
        <v>2579</v>
      </c>
      <c r="K111" s="14" t="s">
        <v>2580</v>
      </c>
      <c r="L111" s="45" t="s">
        <v>298</v>
      </c>
      <c r="M111" s="16" t="s">
        <v>2581</v>
      </c>
      <c r="N111" s="16" t="s">
        <v>2582</v>
      </c>
      <c r="O111" s="44">
        <v>2014.0</v>
      </c>
      <c r="P111" s="44" t="s">
        <v>1803</v>
      </c>
      <c r="Q111" s="14" t="s">
        <v>1804</v>
      </c>
      <c r="R111" s="44" t="s">
        <v>1805</v>
      </c>
      <c r="S111" s="44" t="s">
        <v>1806</v>
      </c>
      <c r="T111" s="44" t="s">
        <v>1807</v>
      </c>
      <c r="U111" s="14">
        <v>4.0</v>
      </c>
      <c r="V111" s="59"/>
      <c r="Y111" s="47" t="s">
        <v>431</v>
      </c>
      <c r="Z111" s="47" t="s">
        <v>1808</v>
      </c>
      <c r="AA111" s="47" t="s">
        <v>1809</v>
      </c>
      <c r="AB111" s="47" t="s">
        <v>433</v>
      </c>
      <c r="AC111" s="47" t="s">
        <v>433</v>
      </c>
      <c r="AE111" s="47" t="s">
        <v>174</v>
      </c>
      <c r="AF111" s="47" t="s">
        <v>435</v>
      </c>
      <c r="AG111" s="14" t="s">
        <v>2583</v>
      </c>
      <c r="AH111" s="17" t="s">
        <v>2284</v>
      </c>
      <c r="AI111" s="17" t="s">
        <v>2285</v>
      </c>
      <c r="AJ111" s="16" t="s">
        <v>70</v>
      </c>
    </row>
    <row r="112" ht="15.75" customHeight="1">
      <c r="A112" s="9">
        <v>157.0</v>
      </c>
      <c r="B112" s="16" t="s">
        <v>2584</v>
      </c>
      <c r="C112" s="11" t="s">
        <v>1803</v>
      </c>
      <c r="D112" s="11" t="s">
        <v>298</v>
      </c>
      <c r="E112" s="11" t="s">
        <v>73</v>
      </c>
      <c r="F112" s="11" t="s">
        <v>315</v>
      </c>
      <c r="G112" s="11"/>
      <c r="H112" s="11"/>
      <c r="I112" s="14" t="s">
        <v>2585</v>
      </c>
      <c r="J112" s="40" t="s">
        <v>2586</v>
      </c>
      <c r="K112" s="14" t="s">
        <v>2587</v>
      </c>
      <c r="L112" s="45" t="s">
        <v>298</v>
      </c>
      <c r="M112" s="16" t="s">
        <v>2588</v>
      </c>
      <c r="N112" s="16" t="s">
        <v>2589</v>
      </c>
      <c r="O112" s="44">
        <v>2020.0</v>
      </c>
      <c r="P112" s="44" t="s">
        <v>1803</v>
      </c>
      <c r="Q112" s="14" t="s">
        <v>1804</v>
      </c>
      <c r="R112" s="44" t="s">
        <v>1805</v>
      </c>
      <c r="S112" s="44" t="s">
        <v>1806</v>
      </c>
      <c r="T112" s="44" t="s">
        <v>1807</v>
      </c>
      <c r="U112" s="14">
        <v>5.0</v>
      </c>
      <c r="V112" s="59"/>
      <c r="Y112" s="47" t="s">
        <v>431</v>
      </c>
      <c r="Z112" s="47" t="s">
        <v>1808</v>
      </c>
      <c r="AA112" s="47" t="s">
        <v>1809</v>
      </c>
      <c r="AB112" s="47" t="s">
        <v>433</v>
      </c>
      <c r="AC112" s="47" t="s">
        <v>433</v>
      </c>
      <c r="AE112" s="47" t="s">
        <v>174</v>
      </c>
      <c r="AF112" s="47" t="s">
        <v>435</v>
      </c>
      <c r="AG112" s="14" t="s">
        <v>2590</v>
      </c>
      <c r="AH112" s="17" t="s">
        <v>2591</v>
      </c>
      <c r="AI112" s="17" t="s">
        <v>2592</v>
      </c>
      <c r="AJ112" s="16" t="s">
        <v>70</v>
      </c>
    </row>
    <row r="113" ht="15.75" customHeight="1">
      <c r="A113" s="9">
        <v>159.0</v>
      </c>
      <c r="B113" s="16" t="s">
        <v>2593</v>
      </c>
      <c r="C113" s="11" t="s">
        <v>1803</v>
      </c>
      <c r="D113" s="11" t="s">
        <v>298</v>
      </c>
      <c r="E113" s="11" t="s">
        <v>73</v>
      </c>
      <c r="F113" s="11" t="s">
        <v>315</v>
      </c>
      <c r="G113" s="11"/>
      <c r="H113" s="11"/>
      <c r="I113" s="14" t="s">
        <v>2594</v>
      </c>
      <c r="J113" s="40" t="s">
        <v>2595</v>
      </c>
      <c r="K113" s="14" t="s">
        <v>2596</v>
      </c>
      <c r="L113" s="45" t="s">
        <v>298</v>
      </c>
      <c r="M113" s="16" t="s">
        <v>2597</v>
      </c>
      <c r="N113" s="16" t="s">
        <v>2598</v>
      </c>
      <c r="O113" s="44">
        <v>2006.0</v>
      </c>
      <c r="P113" s="44" t="s">
        <v>1803</v>
      </c>
      <c r="Q113" s="14" t="s">
        <v>1804</v>
      </c>
      <c r="R113" s="44" t="s">
        <v>1805</v>
      </c>
      <c r="S113" s="44" t="s">
        <v>1806</v>
      </c>
      <c r="T113" s="44" t="s">
        <v>1807</v>
      </c>
      <c r="U113" s="14">
        <v>8.0</v>
      </c>
      <c r="V113" s="59"/>
      <c r="Y113" s="47" t="s">
        <v>431</v>
      </c>
      <c r="Z113" s="47" t="s">
        <v>1808</v>
      </c>
      <c r="AA113" s="47" t="s">
        <v>1809</v>
      </c>
      <c r="AB113" s="47" t="s">
        <v>433</v>
      </c>
      <c r="AC113" s="47" t="s">
        <v>433</v>
      </c>
      <c r="AE113" s="47" t="s">
        <v>174</v>
      </c>
      <c r="AF113" s="47" t="s">
        <v>435</v>
      </c>
      <c r="AG113" s="14" t="s">
        <v>2599</v>
      </c>
      <c r="AH113" s="17" t="s">
        <v>2600</v>
      </c>
      <c r="AI113" s="17" t="s">
        <v>2601</v>
      </c>
      <c r="AJ113" s="16" t="s">
        <v>70</v>
      </c>
    </row>
    <row r="114" ht="15.75" customHeight="1">
      <c r="A114" s="9">
        <v>161.0</v>
      </c>
      <c r="B114" s="16" t="s">
        <v>2602</v>
      </c>
      <c r="C114" s="11" t="s">
        <v>1803</v>
      </c>
      <c r="D114" s="11" t="s">
        <v>298</v>
      </c>
      <c r="E114" s="11" t="s">
        <v>73</v>
      </c>
      <c r="F114" s="11" t="s">
        <v>315</v>
      </c>
      <c r="G114" s="11"/>
      <c r="H114" s="11"/>
      <c r="I114" s="14" t="s">
        <v>2603</v>
      </c>
      <c r="J114" s="40" t="s">
        <v>2604</v>
      </c>
      <c r="K114" s="14" t="s">
        <v>2605</v>
      </c>
      <c r="L114" s="45" t="s">
        <v>298</v>
      </c>
      <c r="M114" s="16" t="s">
        <v>2606</v>
      </c>
      <c r="N114" s="16" t="s">
        <v>2607</v>
      </c>
      <c r="O114" s="44">
        <v>2006.0</v>
      </c>
      <c r="P114" s="44" t="s">
        <v>1803</v>
      </c>
      <c r="Q114" s="14" t="s">
        <v>1804</v>
      </c>
      <c r="R114" s="44" t="s">
        <v>1805</v>
      </c>
      <c r="S114" s="44" t="s">
        <v>1806</v>
      </c>
      <c r="T114" s="44" t="s">
        <v>1807</v>
      </c>
      <c r="U114" s="14">
        <v>8.0</v>
      </c>
      <c r="V114" s="59"/>
      <c r="Y114" s="47" t="s">
        <v>431</v>
      </c>
      <c r="Z114" s="47" t="s">
        <v>1808</v>
      </c>
      <c r="AA114" s="47" t="s">
        <v>1809</v>
      </c>
      <c r="AB114" s="47" t="s">
        <v>433</v>
      </c>
      <c r="AC114" s="47" t="s">
        <v>433</v>
      </c>
      <c r="AE114" s="47" t="s">
        <v>174</v>
      </c>
      <c r="AF114" s="47" t="s">
        <v>435</v>
      </c>
      <c r="AG114" s="14" t="s">
        <v>2608</v>
      </c>
      <c r="AH114" s="17" t="s">
        <v>2600</v>
      </c>
      <c r="AI114" s="17" t="s">
        <v>2601</v>
      </c>
      <c r="AJ114" s="16" t="s">
        <v>70</v>
      </c>
    </row>
    <row r="115" ht="15.75" customHeight="1">
      <c r="A115" s="9">
        <v>163.0</v>
      </c>
      <c r="B115" s="16" t="s">
        <v>2609</v>
      </c>
      <c r="C115" s="11" t="s">
        <v>1803</v>
      </c>
      <c r="D115" s="11" t="s">
        <v>298</v>
      </c>
      <c r="E115" s="11" t="s">
        <v>73</v>
      </c>
      <c r="F115" s="11" t="s">
        <v>315</v>
      </c>
      <c r="G115" s="11"/>
      <c r="H115" s="11"/>
      <c r="I115" s="14" t="s">
        <v>2610</v>
      </c>
      <c r="J115" s="40" t="s">
        <v>2611</v>
      </c>
      <c r="K115" s="14" t="s">
        <v>2612</v>
      </c>
      <c r="L115" s="45" t="s">
        <v>298</v>
      </c>
      <c r="M115" s="16" t="s">
        <v>2613</v>
      </c>
      <c r="N115" s="16" t="s">
        <v>2614</v>
      </c>
      <c r="O115" s="44">
        <v>2006.0</v>
      </c>
      <c r="P115" s="44" t="s">
        <v>1803</v>
      </c>
      <c r="Q115" s="14" t="s">
        <v>1804</v>
      </c>
      <c r="R115" s="44" t="s">
        <v>1805</v>
      </c>
      <c r="S115" s="44" t="s">
        <v>1806</v>
      </c>
      <c r="T115" s="44" t="s">
        <v>1807</v>
      </c>
      <c r="U115" s="14">
        <v>8.0</v>
      </c>
      <c r="V115" s="59"/>
      <c r="Y115" s="47" t="s">
        <v>431</v>
      </c>
      <c r="Z115" s="47" t="s">
        <v>1808</v>
      </c>
      <c r="AA115" s="47" t="s">
        <v>1809</v>
      </c>
      <c r="AB115" s="47" t="s">
        <v>433</v>
      </c>
      <c r="AC115" s="47" t="s">
        <v>433</v>
      </c>
      <c r="AE115" s="47" t="s">
        <v>174</v>
      </c>
      <c r="AF115" s="47" t="s">
        <v>435</v>
      </c>
      <c r="AG115" s="14" t="s">
        <v>2615</v>
      </c>
      <c r="AH115" s="17" t="s">
        <v>2600</v>
      </c>
      <c r="AI115" s="17" t="s">
        <v>2601</v>
      </c>
      <c r="AJ115" s="16" t="s">
        <v>70</v>
      </c>
    </row>
    <row r="116" ht="15.75" customHeight="1">
      <c r="A116" s="9">
        <v>165.0</v>
      </c>
      <c r="B116" s="16" t="s">
        <v>2616</v>
      </c>
      <c r="C116" s="11" t="s">
        <v>1803</v>
      </c>
      <c r="D116" s="11" t="s">
        <v>298</v>
      </c>
      <c r="E116" s="11" t="s">
        <v>73</v>
      </c>
      <c r="F116" s="11" t="s">
        <v>315</v>
      </c>
      <c r="G116" s="11"/>
      <c r="H116" s="11"/>
      <c r="I116" s="14" t="s">
        <v>2617</v>
      </c>
      <c r="J116" s="40" t="s">
        <v>2618</v>
      </c>
      <c r="K116" s="14" t="s">
        <v>2619</v>
      </c>
      <c r="L116" s="45" t="s">
        <v>298</v>
      </c>
      <c r="M116" s="16" t="s">
        <v>2620</v>
      </c>
      <c r="N116" s="16" t="s">
        <v>2621</v>
      </c>
      <c r="O116" s="44">
        <v>2006.0</v>
      </c>
      <c r="P116" s="44" t="s">
        <v>1803</v>
      </c>
      <c r="Q116" s="14" t="s">
        <v>1804</v>
      </c>
      <c r="R116" s="44" t="s">
        <v>1805</v>
      </c>
      <c r="S116" s="44" t="s">
        <v>1806</v>
      </c>
      <c r="T116" s="44" t="s">
        <v>1807</v>
      </c>
      <c r="U116" s="14">
        <v>8.0</v>
      </c>
      <c r="V116" s="59"/>
      <c r="Y116" s="47" t="s">
        <v>431</v>
      </c>
      <c r="Z116" s="47" t="s">
        <v>1808</v>
      </c>
      <c r="AA116" s="47" t="s">
        <v>1809</v>
      </c>
      <c r="AB116" s="47" t="s">
        <v>433</v>
      </c>
      <c r="AC116" s="47" t="s">
        <v>433</v>
      </c>
      <c r="AE116" s="47" t="s">
        <v>174</v>
      </c>
      <c r="AF116" s="47" t="s">
        <v>435</v>
      </c>
      <c r="AG116" s="14" t="s">
        <v>2622</v>
      </c>
      <c r="AH116" s="17" t="s">
        <v>2600</v>
      </c>
      <c r="AI116" s="17" t="s">
        <v>2601</v>
      </c>
      <c r="AJ116" s="16" t="s">
        <v>70</v>
      </c>
    </row>
    <row r="117" ht="15.75" customHeight="1">
      <c r="A117" s="9">
        <v>167.0</v>
      </c>
      <c r="B117" s="16" t="s">
        <v>2623</v>
      </c>
      <c r="C117" s="11" t="s">
        <v>1803</v>
      </c>
      <c r="D117" s="11" t="s">
        <v>298</v>
      </c>
      <c r="E117" s="11" t="s">
        <v>73</v>
      </c>
      <c r="F117" s="11" t="s">
        <v>315</v>
      </c>
      <c r="G117" s="11"/>
      <c r="H117" s="11"/>
      <c r="I117" s="14" t="s">
        <v>2624</v>
      </c>
      <c r="J117" s="40" t="s">
        <v>2625</v>
      </c>
      <c r="K117" s="14" t="s">
        <v>2626</v>
      </c>
      <c r="L117" s="45" t="s">
        <v>298</v>
      </c>
      <c r="M117" s="16" t="s">
        <v>2627</v>
      </c>
      <c r="N117" s="16" t="s">
        <v>2628</v>
      </c>
      <c r="O117" s="44">
        <v>2009.0</v>
      </c>
      <c r="P117" s="44" t="s">
        <v>1803</v>
      </c>
      <c r="Q117" s="14" t="s">
        <v>1804</v>
      </c>
      <c r="R117" s="44" t="s">
        <v>1805</v>
      </c>
      <c r="S117" s="44" t="s">
        <v>1806</v>
      </c>
      <c r="T117" s="44" t="s">
        <v>1807</v>
      </c>
      <c r="U117" s="14">
        <v>8.0</v>
      </c>
      <c r="V117" s="59"/>
      <c r="Y117" s="47" t="s">
        <v>431</v>
      </c>
      <c r="Z117" s="47" t="s">
        <v>1808</v>
      </c>
      <c r="AA117" s="47" t="s">
        <v>1809</v>
      </c>
      <c r="AB117" s="47" t="s">
        <v>433</v>
      </c>
      <c r="AC117" s="47" t="s">
        <v>433</v>
      </c>
      <c r="AE117" s="47" t="s">
        <v>174</v>
      </c>
      <c r="AF117" s="47" t="s">
        <v>435</v>
      </c>
      <c r="AG117" s="14" t="s">
        <v>1963</v>
      </c>
      <c r="AH117" s="17" t="s">
        <v>1828</v>
      </c>
      <c r="AI117" s="17" t="s">
        <v>2156</v>
      </c>
      <c r="AJ117" s="16" t="s">
        <v>70</v>
      </c>
    </row>
    <row r="118" ht="15.75" customHeight="1">
      <c r="A118" s="9">
        <v>169.0</v>
      </c>
      <c r="B118" s="16" t="s">
        <v>2629</v>
      </c>
      <c r="C118" s="11" t="s">
        <v>1803</v>
      </c>
      <c r="D118" s="11" t="s">
        <v>298</v>
      </c>
      <c r="E118" s="11" t="s">
        <v>73</v>
      </c>
      <c r="F118" s="11" t="s">
        <v>315</v>
      </c>
      <c r="G118" s="11"/>
      <c r="H118" s="11"/>
      <c r="I118" s="14" t="s">
        <v>2630</v>
      </c>
      <c r="J118" s="40" t="s">
        <v>2631</v>
      </c>
      <c r="K118" s="14" t="s">
        <v>1932</v>
      </c>
      <c r="L118" s="45" t="s">
        <v>298</v>
      </c>
      <c r="M118" s="16" t="s">
        <v>2632</v>
      </c>
      <c r="N118" s="16" t="s">
        <v>2633</v>
      </c>
      <c r="O118" s="44">
        <v>2012.0</v>
      </c>
      <c r="P118" s="44" t="s">
        <v>1803</v>
      </c>
      <c r="Q118" s="14" t="s">
        <v>1804</v>
      </c>
      <c r="R118" s="44" t="s">
        <v>1805</v>
      </c>
      <c r="S118" s="44" t="s">
        <v>1806</v>
      </c>
      <c r="T118" s="44" t="s">
        <v>1807</v>
      </c>
      <c r="U118" s="14">
        <v>8.0</v>
      </c>
      <c r="V118" s="59"/>
      <c r="Y118" s="47" t="s">
        <v>431</v>
      </c>
      <c r="Z118" s="47" t="s">
        <v>1808</v>
      </c>
      <c r="AA118" s="47" t="s">
        <v>1809</v>
      </c>
      <c r="AB118" s="47" t="s">
        <v>433</v>
      </c>
      <c r="AC118" s="47" t="s">
        <v>433</v>
      </c>
      <c r="AE118" s="47" t="s">
        <v>174</v>
      </c>
      <c r="AF118" s="47" t="s">
        <v>435</v>
      </c>
      <c r="AG118" s="14" t="s">
        <v>2634</v>
      </c>
      <c r="AH118" s="17" t="s">
        <v>1811</v>
      </c>
      <c r="AI118" s="17" t="s">
        <v>1812</v>
      </c>
      <c r="AJ118" s="16" t="s">
        <v>70</v>
      </c>
    </row>
    <row r="119" ht="15.75" customHeight="1">
      <c r="A119" s="9">
        <v>171.0</v>
      </c>
      <c r="B119" s="16" t="s">
        <v>2635</v>
      </c>
      <c r="C119" s="11" t="s">
        <v>1803</v>
      </c>
      <c r="D119" s="11" t="s">
        <v>298</v>
      </c>
      <c r="E119" s="11" t="s">
        <v>73</v>
      </c>
      <c r="F119" s="11" t="s">
        <v>315</v>
      </c>
      <c r="G119" s="11"/>
      <c r="H119" s="11"/>
      <c r="I119" s="14" t="s">
        <v>2636</v>
      </c>
      <c r="J119" s="40" t="s">
        <v>2637</v>
      </c>
      <c r="K119" s="14" t="s">
        <v>2638</v>
      </c>
      <c r="L119" s="45" t="s">
        <v>298</v>
      </c>
      <c r="M119" s="16" t="s">
        <v>2639</v>
      </c>
      <c r="N119" s="16" t="s">
        <v>2640</v>
      </c>
      <c r="O119" s="44">
        <v>2012.0</v>
      </c>
      <c r="P119" s="44" t="s">
        <v>1803</v>
      </c>
      <c r="Q119" s="14" t="s">
        <v>1804</v>
      </c>
      <c r="R119" s="44" t="s">
        <v>1805</v>
      </c>
      <c r="S119" s="44" t="s">
        <v>1806</v>
      </c>
      <c r="T119" s="44" t="s">
        <v>1807</v>
      </c>
      <c r="U119" s="14">
        <v>4.0</v>
      </c>
      <c r="V119" s="59"/>
      <c r="Y119" s="47" t="s">
        <v>431</v>
      </c>
      <c r="Z119" s="47" t="s">
        <v>1808</v>
      </c>
      <c r="AA119" s="47" t="s">
        <v>1809</v>
      </c>
      <c r="AB119" s="47" t="s">
        <v>433</v>
      </c>
      <c r="AC119" s="47" t="s">
        <v>433</v>
      </c>
      <c r="AE119" s="47" t="s">
        <v>174</v>
      </c>
      <c r="AF119" s="47" t="s">
        <v>435</v>
      </c>
      <c r="AG119" s="14" t="s">
        <v>2641</v>
      </c>
      <c r="AH119" s="17" t="s">
        <v>2642</v>
      </c>
      <c r="AI119" s="17" t="s">
        <v>2642</v>
      </c>
      <c r="AJ119" s="16" t="s">
        <v>70</v>
      </c>
    </row>
    <row r="120" ht="15.75" customHeight="1">
      <c r="A120" s="9">
        <v>173.0</v>
      </c>
      <c r="B120" s="16" t="s">
        <v>2643</v>
      </c>
      <c r="C120" s="11" t="s">
        <v>1803</v>
      </c>
      <c r="D120" s="11" t="s">
        <v>298</v>
      </c>
      <c r="E120" s="11" t="s">
        <v>73</v>
      </c>
      <c r="F120" s="11" t="s">
        <v>315</v>
      </c>
      <c r="G120" s="11"/>
      <c r="H120" s="11"/>
      <c r="I120" s="14" t="s">
        <v>2644</v>
      </c>
      <c r="J120" s="40" t="s">
        <v>2645</v>
      </c>
      <c r="K120" s="14" t="s">
        <v>2646</v>
      </c>
      <c r="L120" s="45" t="s">
        <v>298</v>
      </c>
      <c r="M120" s="16" t="s">
        <v>2647</v>
      </c>
      <c r="N120" s="16" t="s">
        <v>2648</v>
      </c>
      <c r="O120" s="44">
        <v>2025.0</v>
      </c>
      <c r="P120" s="44" t="s">
        <v>1803</v>
      </c>
      <c r="Q120" s="14" t="s">
        <v>1804</v>
      </c>
      <c r="R120" s="44" t="s">
        <v>1805</v>
      </c>
      <c r="S120" s="44" t="s">
        <v>1806</v>
      </c>
      <c r="T120" s="44" t="s">
        <v>1807</v>
      </c>
      <c r="U120" s="14">
        <v>5.0</v>
      </c>
      <c r="V120" s="59"/>
      <c r="Y120" s="47" t="s">
        <v>431</v>
      </c>
      <c r="Z120" s="47" t="s">
        <v>1808</v>
      </c>
      <c r="AA120" s="47" t="s">
        <v>1809</v>
      </c>
      <c r="AB120" s="47" t="s">
        <v>433</v>
      </c>
      <c r="AC120" s="47" t="s">
        <v>433</v>
      </c>
      <c r="AE120" s="47" t="s">
        <v>174</v>
      </c>
      <c r="AF120" s="47" t="s">
        <v>435</v>
      </c>
      <c r="AG120" s="14" t="s">
        <v>2649</v>
      </c>
      <c r="AH120" s="17" t="s">
        <v>2650</v>
      </c>
      <c r="AI120" s="17" t="s">
        <v>2651</v>
      </c>
      <c r="AJ120" s="16" t="s">
        <v>70</v>
      </c>
    </row>
    <row r="121" ht="15.75" customHeight="1">
      <c r="A121" s="9">
        <v>175.0</v>
      </c>
      <c r="B121" s="16" t="s">
        <v>2652</v>
      </c>
      <c r="C121" s="11" t="s">
        <v>1803</v>
      </c>
      <c r="D121" s="11" t="s">
        <v>298</v>
      </c>
      <c r="E121" s="11" t="s">
        <v>73</v>
      </c>
      <c r="F121" s="11" t="s">
        <v>315</v>
      </c>
      <c r="G121" s="11"/>
      <c r="H121" s="11"/>
      <c r="I121" s="14" t="s">
        <v>2653</v>
      </c>
      <c r="J121" s="40" t="s">
        <v>2654</v>
      </c>
      <c r="K121" s="14" t="s">
        <v>2655</v>
      </c>
      <c r="L121" s="45" t="s">
        <v>298</v>
      </c>
      <c r="M121" s="16" t="s">
        <v>2656</v>
      </c>
      <c r="N121" s="16" t="s">
        <v>2657</v>
      </c>
      <c r="O121" s="44">
        <v>2006.0</v>
      </c>
      <c r="P121" s="44" t="s">
        <v>1803</v>
      </c>
      <c r="Q121" s="14" t="s">
        <v>1804</v>
      </c>
      <c r="R121" s="44" t="s">
        <v>1805</v>
      </c>
      <c r="S121" s="44" t="s">
        <v>1806</v>
      </c>
      <c r="T121" s="44" t="s">
        <v>1807</v>
      </c>
      <c r="U121" s="14">
        <v>8.0</v>
      </c>
      <c r="V121" s="59"/>
      <c r="Y121" s="47" t="s">
        <v>431</v>
      </c>
      <c r="Z121" s="47" t="s">
        <v>1808</v>
      </c>
      <c r="AA121" s="47" t="s">
        <v>1809</v>
      </c>
      <c r="AB121" s="47" t="s">
        <v>433</v>
      </c>
      <c r="AC121" s="47" t="s">
        <v>433</v>
      </c>
      <c r="AE121" s="47" t="s">
        <v>174</v>
      </c>
      <c r="AF121" s="47" t="s">
        <v>435</v>
      </c>
      <c r="AG121" s="14" t="s">
        <v>2658</v>
      </c>
      <c r="AH121" s="17" t="s">
        <v>2600</v>
      </c>
      <c r="AI121" s="17" t="s">
        <v>2601</v>
      </c>
      <c r="AJ121" s="16" t="s">
        <v>70</v>
      </c>
    </row>
    <row r="122" ht="15.75" customHeight="1">
      <c r="A122" s="9">
        <v>177.0</v>
      </c>
      <c r="B122" s="16" t="s">
        <v>2659</v>
      </c>
      <c r="C122" s="11" t="s">
        <v>1803</v>
      </c>
      <c r="D122" s="11" t="s">
        <v>298</v>
      </c>
      <c r="E122" s="11" t="s">
        <v>73</v>
      </c>
      <c r="F122" s="11" t="s">
        <v>315</v>
      </c>
      <c r="G122" s="11"/>
      <c r="H122" s="11"/>
      <c r="I122" s="14" t="s">
        <v>2660</v>
      </c>
      <c r="J122" s="40" t="s">
        <v>2661</v>
      </c>
      <c r="K122" s="14" t="s">
        <v>2662</v>
      </c>
      <c r="L122" s="45" t="s">
        <v>298</v>
      </c>
      <c r="M122" s="16" t="s">
        <v>2663</v>
      </c>
      <c r="N122" s="16" t="s">
        <v>2664</v>
      </c>
      <c r="O122" s="44">
        <v>2006.0</v>
      </c>
      <c r="P122" s="44" t="s">
        <v>1803</v>
      </c>
      <c r="Q122" s="14" t="s">
        <v>1804</v>
      </c>
      <c r="R122" s="44" t="s">
        <v>1805</v>
      </c>
      <c r="S122" s="44" t="s">
        <v>1806</v>
      </c>
      <c r="T122" s="44" t="s">
        <v>1807</v>
      </c>
      <c r="U122" s="14">
        <v>8.0</v>
      </c>
      <c r="V122" s="59"/>
      <c r="Y122" s="47" t="s">
        <v>431</v>
      </c>
      <c r="Z122" s="47" t="s">
        <v>1808</v>
      </c>
      <c r="AA122" s="47" t="s">
        <v>1809</v>
      </c>
      <c r="AB122" s="47" t="s">
        <v>433</v>
      </c>
      <c r="AC122" s="47" t="s">
        <v>433</v>
      </c>
      <c r="AE122" s="47" t="s">
        <v>174</v>
      </c>
      <c r="AF122" s="47" t="s">
        <v>435</v>
      </c>
      <c r="AG122" s="14" t="s">
        <v>2665</v>
      </c>
      <c r="AH122" s="17" t="s">
        <v>2600</v>
      </c>
      <c r="AI122" s="17" t="s">
        <v>2601</v>
      </c>
      <c r="AJ122" s="16" t="s">
        <v>70</v>
      </c>
    </row>
    <row r="123" ht="15.75" customHeight="1">
      <c r="A123" s="9"/>
      <c r="B123" s="40"/>
      <c r="C123" s="11"/>
      <c r="D123" s="11"/>
      <c r="E123" s="11"/>
      <c r="F123" s="11"/>
      <c r="G123" s="11"/>
      <c r="H123" s="11"/>
      <c r="J123" s="59"/>
      <c r="L123" s="45"/>
      <c r="O123" s="44"/>
      <c r="P123" s="44"/>
      <c r="R123" s="44"/>
      <c r="S123" s="44"/>
      <c r="T123" s="44"/>
      <c r="V123" s="59"/>
    </row>
    <row r="124" ht="15.75" customHeight="1">
      <c r="A124" s="9"/>
      <c r="B124" s="40"/>
      <c r="C124" s="11"/>
      <c r="D124" s="11"/>
      <c r="E124" s="11"/>
      <c r="F124" s="11"/>
      <c r="G124" s="11"/>
      <c r="H124" s="11"/>
      <c r="L124" s="45"/>
      <c r="O124" s="44"/>
      <c r="P124" s="44"/>
      <c r="R124" s="44"/>
      <c r="S124" s="44"/>
      <c r="T124" s="44"/>
      <c r="V124" s="59"/>
    </row>
    <row r="125" ht="15.75" customHeight="1">
      <c r="A125" s="9"/>
      <c r="B125" s="40"/>
      <c r="C125" s="11"/>
      <c r="D125" s="11"/>
      <c r="E125" s="11"/>
      <c r="F125" s="11"/>
      <c r="G125" s="11"/>
      <c r="H125" s="11"/>
      <c r="L125" s="45"/>
      <c r="O125" s="44"/>
      <c r="P125" s="44"/>
      <c r="R125" s="44"/>
      <c r="S125" s="44"/>
      <c r="T125" s="44"/>
      <c r="V125" s="59"/>
    </row>
    <row r="126" ht="15.75" customHeight="1">
      <c r="A126" s="9"/>
      <c r="B126" s="40"/>
      <c r="C126" s="11"/>
      <c r="D126" s="11"/>
      <c r="E126" s="11"/>
      <c r="F126" s="11"/>
      <c r="G126" s="11"/>
      <c r="H126" s="11"/>
      <c r="J126" s="44"/>
      <c r="L126" s="45"/>
      <c r="O126" s="44"/>
      <c r="P126" s="44"/>
      <c r="R126" s="44"/>
      <c r="S126" s="44"/>
      <c r="T126" s="44"/>
      <c r="V126" s="59"/>
    </row>
    <row r="127" ht="15.75" customHeight="1">
      <c r="A127" s="9"/>
      <c r="B127" s="40"/>
      <c r="C127" s="11"/>
      <c r="D127" s="11"/>
      <c r="E127" s="11"/>
      <c r="F127" s="11"/>
      <c r="G127" s="11"/>
      <c r="H127" s="11"/>
      <c r="J127" s="44"/>
      <c r="L127" s="45"/>
      <c r="O127" s="44"/>
      <c r="P127" s="44"/>
      <c r="R127" s="44"/>
      <c r="S127" s="44"/>
      <c r="T127" s="44"/>
      <c r="V127" s="59"/>
    </row>
    <row r="128" ht="15.75" customHeight="1">
      <c r="A128" s="9"/>
      <c r="B128" s="40"/>
      <c r="C128" s="11"/>
      <c r="D128" s="11"/>
      <c r="E128" s="11"/>
      <c r="F128" s="11"/>
      <c r="G128" s="11"/>
      <c r="H128" s="11"/>
      <c r="J128" s="44"/>
      <c r="L128" s="45"/>
      <c r="O128" s="44"/>
      <c r="P128" s="44"/>
      <c r="Q128" s="40"/>
      <c r="R128" s="44"/>
      <c r="S128" s="44"/>
      <c r="T128" s="44"/>
      <c r="V128" s="59"/>
    </row>
    <row r="129" ht="15.75" customHeight="1">
      <c r="A129" s="9"/>
      <c r="B129" s="40"/>
      <c r="C129" s="11"/>
      <c r="D129" s="11"/>
      <c r="E129" s="11"/>
      <c r="F129" s="11"/>
      <c r="G129" s="11"/>
      <c r="H129" s="11"/>
      <c r="J129" s="44"/>
      <c r="L129" s="45"/>
      <c r="O129" s="44"/>
      <c r="P129" s="44"/>
      <c r="Q129" s="40"/>
      <c r="R129" s="44"/>
      <c r="S129" s="44"/>
      <c r="T129" s="44"/>
      <c r="V129" s="59"/>
    </row>
    <row r="130" ht="15.75" customHeight="1">
      <c r="A130" s="9"/>
      <c r="B130" s="40"/>
      <c r="C130" s="11"/>
      <c r="D130" s="11"/>
      <c r="E130" s="11"/>
      <c r="F130" s="11"/>
      <c r="G130" s="11"/>
      <c r="H130" s="11"/>
      <c r="J130" s="44"/>
      <c r="L130" s="45"/>
      <c r="O130" s="44"/>
      <c r="P130" s="44"/>
      <c r="Q130" s="40"/>
      <c r="R130" s="44"/>
      <c r="S130" s="44"/>
      <c r="T130" s="44"/>
      <c r="V130" s="59"/>
    </row>
    <row r="131" ht="15.75" customHeight="1">
      <c r="A131" s="9"/>
      <c r="B131" s="40"/>
      <c r="C131" s="60"/>
      <c r="D131" s="60"/>
      <c r="E131" s="11"/>
      <c r="F131" s="11"/>
      <c r="G131" s="11"/>
      <c r="H131" s="11"/>
      <c r="J131" s="44"/>
      <c r="L131" s="45"/>
      <c r="O131" s="44"/>
      <c r="P131" s="44"/>
      <c r="Q131" s="40"/>
      <c r="R131" s="44"/>
      <c r="S131" s="44"/>
      <c r="T131" s="44"/>
      <c r="V131" s="59"/>
    </row>
    <row r="132" ht="15.75" customHeight="1">
      <c r="A132" s="9"/>
      <c r="B132" s="40"/>
      <c r="C132" s="60"/>
      <c r="D132" s="60"/>
      <c r="E132" s="11"/>
      <c r="F132" s="11"/>
      <c r="G132" s="11"/>
      <c r="H132" s="11"/>
      <c r="J132" s="44"/>
      <c r="L132" s="45"/>
      <c r="O132" s="44"/>
      <c r="P132" s="44"/>
      <c r="Q132" s="40"/>
      <c r="R132" s="44"/>
      <c r="S132" s="44"/>
      <c r="T132" s="44"/>
      <c r="V132" s="59"/>
    </row>
    <row r="133" ht="15.75" customHeight="1">
      <c r="A133" s="9"/>
      <c r="B133" s="40"/>
      <c r="C133" s="60"/>
      <c r="D133" s="60"/>
      <c r="E133" s="11"/>
      <c r="F133" s="11"/>
      <c r="G133" s="11"/>
      <c r="H133" s="11"/>
      <c r="J133" s="44"/>
      <c r="L133" s="45"/>
      <c r="O133" s="44"/>
      <c r="P133" s="44"/>
      <c r="Q133" s="40"/>
      <c r="R133" s="44"/>
      <c r="S133" s="44"/>
      <c r="T133" s="44"/>
    </row>
    <row r="134" ht="15.75" customHeight="1">
      <c r="A134" s="9"/>
      <c r="B134" s="40"/>
      <c r="C134" s="60"/>
      <c r="D134" s="60"/>
      <c r="E134" s="11"/>
      <c r="F134" s="11"/>
      <c r="G134" s="11"/>
      <c r="H134" s="11"/>
      <c r="J134" s="44"/>
      <c r="L134" s="45"/>
      <c r="O134" s="44"/>
      <c r="P134" s="44"/>
      <c r="Q134" s="40"/>
      <c r="R134" s="44"/>
      <c r="S134" s="44"/>
      <c r="T134" s="44"/>
    </row>
    <row r="135" ht="15.75" customHeight="1">
      <c r="A135" s="9"/>
      <c r="B135" s="40"/>
      <c r="C135" s="60"/>
      <c r="D135" s="60"/>
      <c r="E135" s="11"/>
      <c r="F135" s="11"/>
      <c r="G135" s="11"/>
      <c r="H135" s="11"/>
      <c r="J135" s="44"/>
      <c r="L135" s="45"/>
      <c r="O135" s="44"/>
      <c r="P135" s="44"/>
      <c r="Q135" s="40"/>
      <c r="R135" s="44"/>
      <c r="S135" s="44"/>
      <c r="T135" s="44"/>
    </row>
    <row r="136" ht="15.75" customHeight="1">
      <c r="A136" s="9"/>
      <c r="B136" s="40"/>
      <c r="C136" s="11"/>
      <c r="D136" s="11"/>
      <c r="E136" s="11"/>
      <c r="F136" s="11"/>
      <c r="G136" s="11"/>
      <c r="H136" s="11"/>
      <c r="J136" s="44"/>
      <c r="L136" s="45"/>
      <c r="O136" s="44"/>
      <c r="P136" s="44"/>
      <c r="Q136" s="40"/>
      <c r="R136" s="44"/>
      <c r="S136" s="44"/>
      <c r="T136" s="44"/>
    </row>
    <row r="137" ht="15.75" customHeight="1">
      <c r="A137" s="9"/>
      <c r="B137" s="40"/>
      <c r="C137" s="11"/>
      <c r="D137" s="11"/>
      <c r="E137" s="11"/>
      <c r="F137" s="11"/>
      <c r="G137" s="11"/>
      <c r="H137" s="11"/>
      <c r="J137" s="44"/>
      <c r="L137" s="45"/>
      <c r="O137" s="44"/>
      <c r="P137" s="44"/>
      <c r="Q137" s="40"/>
      <c r="R137" s="44"/>
      <c r="S137" s="44"/>
      <c r="T137" s="44"/>
    </row>
    <row r="138" ht="15.75" customHeight="1">
      <c r="A138" s="9"/>
      <c r="B138" s="40"/>
      <c r="C138" s="11"/>
      <c r="D138" s="11"/>
      <c r="E138" s="11"/>
      <c r="F138" s="11"/>
      <c r="G138" s="11"/>
      <c r="H138" s="11"/>
      <c r="J138" s="44"/>
      <c r="L138" s="45"/>
      <c r="O138" s="44"/>
      <c r="P138" s="44"/>
      <c r="Q138" s="40"/>
      <c r="R138" s="44"/>
      <c r="S138" s="44"/>
      <c r="T138" s="44"/>
    </row>
    <row r="139" ht="15.75" customHeight="1">
      <c r="A139" s="9"/>
      <c r="B139" s="40"/>
      <c r="C139" s="11"/>
      <c r="D139" s="11"/>
      <c r="E139" s="11"/>
      <c r="F139" s="11"/>
      <c r="G139" s="11"/>
      <c r="H139" s="11"/>
      <c r="J139" s="44"/>
      <c r="L139" s="45"/>
      <c r="O139" s="44"/>
      <c r="P139" s="44"/>
      <c r="Q139" s="40"/>
      <c r="R139" s="44"/>
      <c r="S139" s="44"/>
      <c r="T139" s="44"/>
    </row>
    <row r="140" ht="15.75" customHeight="1">
      <c r="A140" s="9"/>
      <c r="B140" s="40"/>
      <c r="C140" s="11"/>
      <c r="D140" s="11"/>
      <c r="E140" s="11"/>
      <c r="F140" s="11"/>
      <c r="G140" s="11"/>
      <c r="H140" s="11"/>
      <c r="J140" s="44"/>
      <c r="L140" s="45"/>
      <c r="O140" s="44"/>
      <c r="P140" s="44"/>
      <c r="Q140" s="40"/>
      <c r="R140" s="44"/>
      <c r="S140" s="44"/>
      <c r="T140" s="44"/>
    </row>
    <row r="141" ht="15.75" customHeight="1">
      <c r="A141" s="9"/>
      <c r="B141" s="40"/>
      <c r="C141" s="11"/>
      <c r="D141" s="11"/>
      <c r="E141" s="11"/>
      <c r="F141" s="11"/>
      <c r="G141" s="11"/>
      <c r="H141" s="11"/>
      <c r="J141" s="44"/>
      <c r="L141" s="45"/>
      <c r="O141" s="44"/>
      <c r="P141" s="44"/>
      <c r="Q141" s="40"/>
      <c r="R141" s="44"/>
      <c r="S141" s="44"/>
      <c r="T141" s="44"/>
    </row>
    <row r="142" ht="15.75" customHeight="1">
      <c r="A142" s="9"/>
      <c r="B142" s="40"/>
      <c r="C142" s="11"/>
      <c r="D142" s="11"/>
      <c r="E142" s="11"/>
      <c r="F142" s="11"/>
      <c r="G142" s="11"/>
      <c r="H142" s="11"/>
      <c r="J142" s="44"/>
      <c r="L142" s="45"/>
      <c r="O142" s="44"/>
      <c r="P142" s="44"/>
      <c r="Q142" s="40"/>
      <c r="R142" s="44"/>
      <c r="S142" s="44"/>
      <c r="T142" s="44"/>
    </row>
    <row r="143" ht="15.75" customHeight="1">
      <c r="A143" s="9"/>
      <c r="B143" s="40"/>
      <c r="C143" s="11"/>
      <c r="D143" s="11"/>
      <c r="E143" s="11"/>
      <c r="F143" s="11"/>
      <c r="G143" s="11"/>
      <c r="H143" s="11"/>
      <c r="J143" s="44"/>
      <c r="L143" s="45"/>
      <c r="O143" s="44"/>
      <c r="P143" s="44"/>
      <c r="Q143" s="40"/>
      <c r="R143" s="44"/>
      <c r="S143" s="44"/>
      <c r="T143" s="44"/>
    </row>
    <row r="144" ht="15.75" customHeight="1">
      <c r="A144" s="9"/>
      <c r="B144" s="40"/>
      <c r="C144" s="11"/>
      <c r="D144" s="11"/>
      <c r="E144" s="11"/>
      <c r="F144" s="11"/>
      <c r="G144" s="11"/>
      <c r="H144" s="11"/>
      <c r="J144" s="44"/>
      <c r="L144" s="45"/>
      <c r="O144" s="44"/>
      <c r="P144" s="44"/>
      <c r="Q144" s="40"/>
      <c r="R144" s="44"/>
      <c r="S144" s="44"/>
      <c r="T144" s="44"/>
    </row>
    <row r="145" ht="15.75" customHeight="1">
      <c r="A145" s="9"/>
      <c r="B145" s="40"/>
      <c r="C145" s="11"/>
      <c r="D145" s="11"/>
      <c r="E145" s="11"/>
      <c r="F145" s="11"/>
      <c r="G145" s="11"/>
      <c r="H145" s="11"/>
      <c r="J145" s="44"/>
      <c r="L145" s="45"/>
      <c r="O145" s="44"/>
      <c r="P145" s="44"/>
      <c r="Q145" s="40"/>
      <c r="R145" s="44"/>
      <c r="S145" s="44"/>
      <c r="T145" s="44"/>
    </row>
    <row r="146" ht="15.75" customHeight="1">
      <c r="A146" s="9"/>
      <c r="B146" s="40"/>
      <c r="C146" s="11"/>
      <c r="D146" s="11"/>
      <c r="E146" s="11"/>
      <c r="F146" s="11"/>
      <c r="G146" s="11"/>
      <c r="H146" s="11"/>
      <c r="J146" s="44"/>
      <c r="L146" s="45"/>
      <c r="O146" s="44"/>
      <c r="P146" s="44"/>
      <c r="Q146" s="40"/>
      <c r="R146" s="44"/>
      <c r="S146" s="44"/>
      <c r="T146" s="44"/>
    </row>
    <row r="147" ht="15.75" customHeight="1">
      <c r="A147" s="9"/>
      <c r="B147" s="40"/>
      <c r="C147" s="11"/>
      <c r="D147" s="11"/>
      <c r="E147" s="11"/>
      <c r="F147" s="11"/>
      <c r="G147" s="11"/>
      <c r="H147" s="11"/>
      <c r="J147" s="44"/>
      <c r="L147" s="45"/>
      <c r="O147" s="44"/>
      <c r="P147" s="44"/>
      <c r="Q147" s="40"/>
      <c r="R147" s="44"/>
      <c r="S147" s="44"/>
      <c r="T147" s="44"/>
    </row>
    <row r="148" ht="15.75" customHeight="1">
      <c r="A148" s="9"/>
      <c r="B148" s="40"/>
      <c r="C148" s="11"/>
      <c r="D148" s="11"/>
      <c r="E148" s="11"/>
      <c r="F148" s="11"/>
      <c r="G148" s="11"/>
      <c r="H148" s="11"/>
      <c r="J148" s="44"/>
      <c r="L148" s="45"/>
      <c r="O148" s="44"/>
      <c r="P148" s="44"/>
      <c r="Q148" s="40"/>
      <c r="R148" s="44"/>
      <c r="S148" s="44"/>
      <c r="T148" s="44"/>
    </row>
    <row r="149" ht="15.75" customHeight="1">
      <c r="A149" s="9"/>
      <c r="B149" s="40"/>
      <c r="C149" s="11"/>
      <c r="D149" s="11"/>
      <c r="E149" s="11"/>
      <c r="F149" s="11"/>
      <c r="G149" s="11"/>
      <c r="H149" s="11"/>
      <c r="J149" s="44"/>
      <c r="L149" s="45"/>
      <c r="O149" s="44"/>
      <c r="P149" s="44"/>
      <c r="Q149" s="40"/>
      <c r="R149" s="44"/>
      <c r="S149" s="44"/>
      <c r="T149" s="44"/>
    </row>
    <row r="150" ht="15.75" customHeight="1">
      <c r="A150" s="9"/>
      <c r="B150" s="40"/>
      <c r="C150" s="11"/>
      <c r="D150" s="11"/>
      <c r="E150" s="11"/>
      <c r="F150" s="11"/>
      <c r="G150" s="11"/>
      <c r="H150" s="11"/>
      <c r="J150" s="44"/>
      <c r="L150" s="45"/>
      <c r="O150" s="44"/>
      <c r="P150" s="44"/>
      <c r="Q150" s="40"/>
      <c r="R150" s="44"/>
      <c r="S150" s="44"/>
      <c r="T150" s="44"/>
    </row>
    <row r="151" ht="15.75" customHeight="1">
      <c r="A151" s="9"/>
      <c r="B151" s="40"/>
      <c r="C151" s="11"/>
      <c r="D151" s="11"/>
      <c r="E151" s="11"/>
      <c r="F151" s="11"/>
      <c r="G151" s="11"/>
      <c r="H151" s="11"/>
      <c r="J151" s="44"/>
      <c r="L151" s="45"/>
      <c r="O151" s="44"/>
      <c r="P151" s="44"/>
      <c r="Q151" s="40"/>
      <c r="R151" s="44"/>
      <c r="S151" s="44"/>
      <c r="T151" s="44"/>
    </row>
    <row r="152" ht="15.75" customHeight="1">
      <c r="A152" s="9"/>
      <c r="B152" s="40"/>
      <c r="C152" s="11"/>
      <c r="D152" s="11"/>
      <c r="E152" s="11"/>
      <c r="F152" s="11"/>
      <c r="G152" s="11"/>
      <c r="H152" s="11"/>
      <c r="J152" s="44"/>
      <c r="L152" s="45"/>
      <c r="O152" s="44"/>
      <c r="P152" s="44"/>
      <c r="Q152" s="40"/>
      <c r="R152" s="44"/>
      <c r="S152" s="44"/>
      <c r="T152" s="44"/>
    </row>
    <row r="153" ht="15.75" customHeight="1">
      <c r="A153" s="9"/>
      <c r="B153" s="40"/>
      <c r="C153" s="11"/>
      <c r="D153" s="11"/>
      <c r="E153" s="11"/>
      <c r="F153" s="11"/>
      <c r="G153" s="11"/>
      <c r="H153" s="11"/>
      <c r="J153" s="44"/>
      <c r="L153" s="45"/>
      <c r="O153" s="44"/>
      <c r="P153" s="44"/>
      <c r="Q153" s="40"/>
      <c r="R153" s="44"/>
      <c r="S153" s="44"/>
      <c r="T153" s="44"/>
    </row>
    <row r="154" ht="15.75" customHeight="1">
      <c r="A154" s="9"/>
      <c r="B154" s="40"/>
      <c r="C154" s="11"/>
      <c r="D154" s="11"/>
      <c r="E154" s="11"/>
      <c r="F154" s="11"/>
      <c r="G154" s="11"/>
      <c r="H154" s="11"/>
      <c r="J154" s="44"/>
      <c r="L154" s="45"/>
      <c r="O154" s="44"/>
      <c r="P154" s="44"/>
      <c r="Q154" s="40"/>
      <c r="R154" s="44"/>
      <c r="S154" s="44"/>
      <c r="T154" s="44"/>
    </row>
    <row r="155" ht="15.75" customHeight="1">
      <c r="A155" s="9"/>
      <c r="B155" s="40"/>
      <c r="C155" s="11"/>
      <c r="D155" s="11"/>
      <c r="E155" s="11"/>
      <c r="F155" s="11"/>
      <c r="G155" s="11"/>
      <c r="H155" s="11"/>
      <c r="J155" s="44"/>
      <c r="L155" s="45"/>
      <c r="O155" s="44"/>
      <c r="P155" s="44"/>
      <c r="Q155" s="40"/>
      <c r="R155" s="44"/>
      <c r="S155" s="44"/>
      <c r="T155" s="44"/>
    </row>
    <row r="156" ht="15.75" customHeight="1">
      <c r="A156" s="9"/>
      <c r="B156" s="40"/>
      <c r="C156" s="11"/>
      <c r="D156" s="11"/>
      <c r="E156" s="11"/>
      <c r="F156" s="11"/>
      <c r="G156" s="11"/>
      <c r="H156" s="11"/>
      <c r="J156" s="44"/>
      <c r="L156" s="45"/>
      <c r="O156" s="44"/>
      <c r="P156" s="44"/>
      <c r="Q156" s="40"/>
      <c r="R156" s="44"/>
      <c r="S156" s="44"/>
      <c r="T156" s="44"/>
    </row>
    <row r="157" ht="15.75" customHeight="1">
      <c r="A157" s="9"/>
      <c r="B157" s="40"/>
      <c r="C157" s="11"/>
      <c r="D157" s="11"/>
      <c r="E157" s="11"/>
      <c r="F157" s="11"/>
      <c r="G157" s="11"/>
      <c r="H157" s="11"/>
      <c r="J157" s="44"/>
      <c r="L157" s="45"/>
      <c r="O157" s="44"/>
      <c r="P157" s="44"/>
      <c r="Q157" s="40"/>
      <c r="R157" s="44"/>
      <c r="S157" s="44"/>
      <c r="T157" s="44"/>
    </row>
    <row r="158" ht="15.75" customHeight="1">
      <c r="A158" s="9"/>
      <c r="B158" s="40"/>
      <c r="C158" s="11"/>
      <c r="D158" s="11"/>
      <c r="E158" s="11"/>
      <c r="F158" s="11"/>
      <c r="G158" s="11"/>
      <c r="H158" s="11"/>
      <c r="J158" s="44"/>
      <c r="L158" s="45"/>
      <c r="O158" s="44"/>
      <c r="P158" s="44"/>
      <c r="Q158" s="40"/>
      <c r="R158" s="44"/>
      <c r="S158" s="44"/>
      <c r="T158" s="44"/>
    </row>
    <row r="159" ht="15.75" customHeight="1">
      <c r="A159" s="9"/>
      <c r="B159" s="40"/>
      <c r="C159" s="11"/>
      <c r="D159" s="11"/>
      <c r="E159" s="11"/>
      <c r="F159" s="11"/>
      <c r="G159" s="11"/>
      <c r="H159" s="11"/>
      <c r="J159" s="44"/>
      <c r="L159" s="45"/>
      <c r="O159" s="44"/>
      <c r="P159" s="44"/>
      <c r="Q159" s="40"/>
      <c r="R159" s="44"/>
      <c r="S159" s="44"/>
      <c r="T159" s="44"/>
    </row>
    <row r="160" ht="15.75" customHeight="1">
      <c r="A160" s="9"/>
      <c r="B160" s="40"/>
      <c r="C160" s="11"/>
      <c r="D160" s="11"/>
      <c r="E160" s="11"/>
      <c r="F160" s="11"/>
      <c r="G160" s="11"/>
      <c r="H160" s="11"/>
      <c r="J160" s="44"/>
      <c r="L160" s="45"/>
      <c r="O160" s="44"/>
      <c r="P160" s="44"/>
      <c r="Q160" s="40"/>
      <c r="R160" s="44"/>
      <c r="S160" s="44"/>
      <c r="T160" s="44"/>
    </row>
    <row r="161" ht="15.75" customHeight="1">
      <c r="A161" s="9"/>
      <c r="B161" s="40"/>
      <c r="C161" s="11"/>
      <c r="D161" s="11"/>
      <c r="E161" s="11"/>
      <c r="F161" s="11"/>
      <c r="G161" s="11"/>
      <c r="H161" s="11"/>
      <c r="J161" s="44"/>
      <c r="L161" s="45"/>
      <c r="O161" s="44"/>
      <c r="P161" s="44"/>
      <c r="Q161" s="40"/>
      <c r="R161" s="44"/>
      <c r="S161" s="44"/>
      <c r="T161" s="44"/>
    </row>
    <row r="162" ht="15.75" customHeight="1">
      <c r="A162" s="9"/>
      <c r="B162" s="40"/>
      <c r="C162" s="11"/>
      <c r="D162" s="11"/>
      <c r="E162" s="11"/>
      <c r="F162" s="11"/>
      <c r="G162" s="11"/>
      <c r="H162" s="11"/>
      <c r="J162" s="44"/>
      <c r="L162" s="45"/>
      <c r="O162" s="44"/>
      <c r="P162" s="44"/>
      <c r="Q162" s="40"/>
      <c r="R162" s="44"/>
      <c r="S162" s="44"/>
      <c r="T162" s="44"/>
    </row>
    <row r="163" ht="15.75" customHeight="1">
      <c r="A163" s="9"/>
      <c r="B163" s="40"/>
      <c r="C163" s="11"/>
      <c r="D163" s="11"/>
      <c r="E163" s="11"/>
      <c r="F163" s="11"/>
      <c r="G163" s="11"/>
      <c r="H163" s="11"/>
      <c r="J163" s="44"/>
      <c r="L163" s="45"/>
      <c r="O163" s="44"/>
      <c r="P163" s="44"/>
      <c r="Q163" s="40"/>
      <c r="R163" s="44"/>
      <c r="S163" s="44"/>
      <c r="T163" s="44"/>
    </row>
    <row r="164" ht="15.75" customHeight="1">
      <c r="A164" s="9"/>
      <c r="B164" s="40"/>
      <c r="C164" s="11"/>
      <c r="D164" s="11"/>
      <c r="E164" s="11"/>
      <c r="F164" s="11"/>
      <c r="G164" s="11"/>
      <c r="H164" s="11"/>
      <c r="J164" s="44"/>
      <c r="L164" s="45"/>
      <c r="O164" s="44"/>
      <c r="P164" s="44"/>
      <c r="Q164" s="40"/>
      <c r="R164" s="44"/>
      <c r="S164" s="44"/>
      <c r="T164" s="44"/>
    </row>
    <row r="165" ht="15.75" customHeight="1">
      <c r="A165" s="9"/>
      <c r="B165" s="40"/>
      <c r="C165" s="11"/>
      <c r="D165" s="11"/>
      <c r="E165" s="11"/>
      <c r="F165" s="11"/>
      <c r="G165" s="11"/>
      <c r="H165" s="11"/>
      <c r="J165" s="44"/>
      <c r="L165" s="45"/>
      <c r="O165" s="44"/>
      <c r="P165" s="44"/>
      <c r="Q165" s="40"/>
      <c r="R165" s="44"/>
      <c r="S165" s="44"/>
      <c r="T165" s="44"/>
    </row>
    <row r="166" ht="15.75" customHeight="1">
      <c r="A166" s="9"/>
      <c r="B166" s="40"/>
      <c r="C166" s="11"/>
      <c r="D166" s="11"/>
      <c r="E166" s="11"/>
      <c r="F166" s="11"/>
      <c r="G166" s="11"/>
      <c r="H166" s="11"/>
      <c r="J166" s="44"/>
      <c r="L166" s="45"/>
      <c r="O166" s="44"/>
      <c r="P166" s="44"/>
      <c r="Q166" s="40"/>
      <c r="R166" s="44"/>
      <c r="S166" s="44"/>
      <c r="T166" s="44"/>
    </row>
    <row r="167" ht="15.75" customHeight="1">
      <c r="A167" s="9"/>
      <c r="B167" s="40"/>
      <c r="C167" s="11"/>
      <c r="D167" s="11"/>
      <c r="E167" s="11"/>
      <c r="F167" s="11"/>
      <c r="G167" s="11"/>
      <c r="H167" s="11"/>
      <c r="J167" s="44"/>
      <c r="L167" s="45"/>
      <c r="O167" s="44"/>
      <c r="P167" s="44"/>
      <c r="Q167" s="40"/>
      <c r="R167" s="44"/>
      <c r="S167" s="44"/>
      <c r="T167" s="44"/>
    </row>
    <row r="168" ht="15.75" customHeight="1">
      <c r="A168" s="9"/>
      <c r="B168" s="40"/>
      <c r="C168" s="11"/>
      <c r="D168" s="11"/>
      <c r="E168" s="11"/>
      <c r="F168" s="11"/>
      <c r="G168" s="11"/>
      <c r="H168" s="11"/>
      <c r="J168" s="44"/>
      <c r="L168" s="45"/>
      <c r="O168" s="44"/>
      <c r="P168" s="44"/>
      <c r="Q168" s="40"/>
      <c r="R168" s="44"/>
      <c r="S168" s="44"/>
      <c r="T168" s="44"/>
    </row>
    <row r="169" ht="15.75" customHeight="1">
      <c r="A169" s="9"/>
      <c r="B169" s="40"/>
      <c r="C169" s="11"/>
      <c r="D169" s="11"/>
      <c r="E169" s="11"/>
      <c r="F169" s="11"/>
      <c r="G169" s="11"/>
      <c r="H169" s="11"/>
      <c r="J169" s="44"/>
      <c r="L169" s="45"/>
      <c r="O169" s="44"/>
      <c r="P169" s="44"/>
      <c r="Q169" s="40"/>
      <c r="R169" s="44"/>
      <c r="S169" s="44"/>
      <c r="T169" s="44"/>
    </row>
    <row r="170" ht="15.75" customHeight="1">
      <c r="A170" s="9"/>
      <c r="B170" s="40"/>
      <c r="C170" s="11"/>
      <c r="D170" s="11"/>
      <c r="E170" s="11"/>
      <c r="F170" s="11"/>
      <c r="G170" s="11"/>
      <c r="H170" s="11"/>
      <c r="J170" s="44"/>
      <c r="L170" s="45"/>
      <c r="O170" s="44"/>
      <c r="P170" s="44"/>
      <c r="Q170" s="40"/>
      <c r="R170" s="44"/>
      <c r="S170" s="44"/>
      <c r="T170" s="44"/>
    </row>
    <row r="171" ht="15.75" customHeight="1">
      <c r="A171" s="9"/>
      <c r="B171" s="40"/>
      <c r="C171" s="11"/>
      <c r="D171" s="11"/>
      <c r="E171" s="11"/>
      <c r="F171" s="11"/>
      <c r="G171" s="11"/>
      <c r="H171" s="11"/>
      <c r="J171" s="44"/>
      <c r="L171" s="45"/>
      <c r="O171" s="44"/>
      <c r="P171" s="44"/>
      <c r="Q171" s="40"/>
      <c r="R171" s="44"/>
      <c r="S171" s="44"/>
      <c r="T171" s="44"/>
    </row>
    <row r="172" ht="15.75" customHeight="1">
      <c r="A172" s="9"/>
      <c r="B172" s="40"/>
      <c r="C172" s="11"/>
      <c r="D172" s="11"/>
      <c r="E172" s="11"/>
      <c r="F172" s="11"/>
      <c r="G172" s="11"/>
      <c r="H172" s="11"/>
      <c r="J172" s="44"/>
      <c r="L172" s="45"/>
      <c r="O172" s="44"/>
      <c r="P172" s="44"/>
      <c r="Q172" s="40"/>
      <c r="R172" s="44"/>
      <c r="S172" s="44"/>
      <c r="T172" s="44"/>
    </row>
    <row r="173" ht="15.75" customHeight="1">
      <c r="A173" s="9"/>
      <c r="B173" s="40"/>
      <c r="C173" s="11"/>
      <c r="D173" s="11"/>
      <c r="E173" s="11"/>
      <c r="F173" s="11"/>
      <c r="G173" s="11"/>
      <c r="H173" s="11"/>
      <c r="J173" s="44"/>
      <c r="L173" s="45"/>
      <c r="O173" s="44"/>
      <c r="P173" s="44"/>
      <c r="Q173" s="40"/>
      <c r="R173" s="44"/>
      <c r="S173" s="44"/>
      <c r="T173" s="44"/>
    </row>
    <row r="174" ht="15.75" customHeight="1">
      <c r="A174" s="9"/>
      <c r="B174" s="40"/>
      <c r="C174" s="11"/>
      <c r="D174" s="11"/>
      <c r="E174" s="11"/>
      <c r="F174" s="11"/>
      <c r="G174" s="11"/>
      <c r="H174" s="11"/>
      <c r="J174" s="44"/>
      <c r="L174" s="45"/>
      <c r="O174" s="44"/>
      <c r="P174" s="44"/>
      <c r="Q174" s="40"/>
      <c r="R174" s="44"/>
      <c r="S174" s="44"/>
      <c r="T174" s="44"/>
    </row>
    <row r="175" ht="15.75" customHeight="1">
      <c r="A175" s="9"/>
      <c r="B175" s="40"/>
      <c r="C175" s="11"/>
      <c r="D175" s="11"/>
      <c r="E175" s="11"/>
      <c r="F175" s="11"/>
      <c r="G175" s="11"/>
      <c r="H175" s="11"/>
      <c r="J175" s="44"/>
      <c r="L175" s="45"/>
      <c r="O175" s="44"/>
      <c r="P175" s="44"/>
      <c r="Q175" s="40"/>
      <c r="R175" s="44"/>
      <c r="S175" s="44"/>
      <c r="T175" s="44"/>
    </row>
    <row r="176" ht="15.75" customHeight="1">
      <c r="A176" s="9"/>
      <c r="B176" s="40"/>
      <c r="C176" s="11"/>
      <c r="D176" s="11"/>
      <c r="E176" s="11"/>
      <c r="F176" s="11"/>
      <c r="G176" s="11"/>
      <c r="H176" s="11"/>
      <c r="J176" s="44"/>
      <c r="L176" s="45"/>
      <c r="O176" s="44"/>
      <c r="P176" s="44"/>
      <c r="Q176" s="40"/>
      <c r="R176" s="44"/>
      <c r="S176" s="44"/>
      <c r="T176" s="44"/>
    </row>
    <row r="177" ht="15.75" customHeight="1">
      <c r="A177" s="9"/>
      <c r="B177" s="40"/>
      <c r="C177" s="11"/>
      <c r="D177" s="11"/>
      <c r="E177" s="11"/>
      <c r="F177" s="11"/>
      <c r="G177" s="11"/>
      <c r="H177" s="11"/>
      <c r="J177" s="44"/>
      <c r="L177" s="45"/>
      <c r="O177" s="44"/>
      <c r="P177" s="44"/>
      <c r="Q177" s="40"/>
      <c r="R177" s="44"/>
      <c r="S177" s="44"/>
      <c r="T177" s="44"/>
    </row>
    <row r="178" ht="15.75" customHeight="1">
      <c r="A178" s="9"/>
      <c r="B178" s="40"/>
      <c r="C178" s="11"/>
      <c r="D178" s="11"/>
      <c r="E178" s="11"/>
      <c r="F178" s="11"/>
      <c r="G178" s="11"/>
      <c r="H178" s="11"/>
      <c r="J178" s="44"/>
      <c r="L178" s="45"/>
      <c r="O178" s="44"/>
      <c r="P178" s="44"/>
      <c r="Q178" s="40"/>
      <c r="R178" s="44"/>
      <c r="S178" s="44"/>
      <c r="T178" s="44"/>
    </row>
    <row r="179" ht="15.75" customHeight="1">
      <c r="A179" s="9"/>
      <c r="B179" s="40"/>
      <c r="C179" s="11"/>
      <c r="D179" s="11"/>
      <c r="E179" s="11"/>
      <c r="F179" s="11"/>
      <c r="G179" s="11"/>
      <c r="H179" s="11"/>
      <c r="J179" s="44"/>
      <c r="L179" s="45"/>
      <c r="O179" s="44"/>
      <c r="P179" s="44"/>
      <c r="Q179" s="40"/>
      <c r="R179" s="44"/>
      <c r="S179" s="44"/>
      <c r="T179" s="44"/>
    </row>
    <row r="180" ht="15.75" customHeight="1">
      <c r="A180" s="9"/>
      <c r="B180" s="40"/>
      <c r="C180" s="11"/>
      <c r="D180" s="11"/>
      <c r="E180" s="11"/>
      <c r="F180" s="11"/>
      <c r="G180" s="11"/>
      <c r="H180" s="11"/>
      <c r="J180" s="44"/>
      <c r="L180" s="45"/>
      <c r="O180" s="44"/>
      <c r="P180" s="44"/>
      <c r="Q180" s="40"/>
      <c r="R180" s="44"/>
      <c r="S180" s="44"/>
      <c r="T180" s="44"/>
    </row>
    <row r="181" ht="15.75" customHeight="1">
      <c r="A181" s="9"/>
      <c r="B181" s="40"/>
      <c r="C181" s="11"/>
      <c r="D181" s="11"/>
      <c r="E181" s="11"/>
      <c r="F181" s="11"/>
      <c r="G181" s="11"/>
      <c r="H181" s="11"/>
      <c r="J181" s="44"/>
      <c r="L181" s="45"/>
      <c r="O181" s="44"/>
      <c r="P181" s="44"/>
      <c r="Q181" s="40"/>
      <c r="R181" s="44"/>
      <c r="S181" s="44"/>
      <c r="T181" s="44"/>
    </row>
    <row r="182" ht="15.75" customHeight="1">
      <c r="A182" s="9"/>
      <c r="B182" s="40"/>
      <c r="C182" s="11"/>
      <c r="D182" s="11"/>
      <c r="E182" s="11"/>
      <c r="F182" s="11"/>
      <c r="G182" s="11"/>
      <c r="H182" s="11"/>
      <c r="J182" s="44"/>
      <c r="L182" s="45"/>
      <c r="O182" s="44"/>
      <c r="P182" s="44"/>
      <c r="Q182" s="40"/>
      <c r="R182" s="44"/>
      <c r="S182" s="44"/>
      <c r="T182" s="44"/>
    </row>
    <row r="183" ht="15.75" customHeight="1">
      <c r="A183" s="9"/>
      <c r="B183" s="40"/>
      <c r="C183" s="11"/>
      <c r="D183" s="11"/>
      <c r="E183" s="11"/>
      <c r="F183" s="11"/>
      <c r="G183" s="11"/>
      <c r="H183" s="11"/>
      <c r="J183" s="44"/>
      <c r="L183" s="45"/>
      <c r="O183" s="44"/>
      <c r="P183" s="44"/>
      <c r="Q183" s="40"/>
      <c r="R183" s="44"/>
      <c r="S183" s="44"/>
      <c r="T183" s="44"/>
    </row>
    <row r="184" ht="15.75" customHeight="1">
      <c r="A184" s="9"/>
      <c r="B184" s="40"/>
      <c r="C184" s="11"/>
      <c r="D184" s="11"/>
      <c r="E184" s="11"/>
      <c r="F184" s="11"/>
      <c r="G184" s="11"/>
      <c r="H184" s="11"/>
      <c r="J184" s="44"/>
      <c r="L184" s="45"/>
      <c r="O184" s="44"/>
      <c r="P184" s="44"/>
      <c r="Q184" s="40"/>
      <c r="R184" s="44"/>
      <c r="S184" s="44"/>
      <c r="T184" s="44"/>
    </row>
    <row r="185" ht="15.75" customHeight="1">
      <c r="A185" s="9"/>
      <c r="B185" s="40"/>
      <c r="C185" s="11"/>
      <c r="D185" s="11"/>
      <c r="E185" s="11"/>
      <c r="F185" s="11"/>
      <c r="G185" s="11"/>
      <c r="H185" s="11"/>
      <c r="J185" s="44"/>
      <c r="L185" s="45"/>
      <c r="O185" s="44"/>
      <c r="P185" s="44"/>
      <c r="Q185" s="40"/>
      <c r="R185" s="44"/>
      <c r="S185" s="44"/>
      <c r="T185" s="44"/>
    </row>
    <row r="186" ht="15.75" customHeight="1">
      <c r="A186" s="9"/>
      <c r="B186" s="40"/>
      <c r="C186" s="11"/>
      <c r="D186" s="11"/>
      <c r="E186" s="11"/>
      <c r="F186" s="11"/>
      <c r="G186" s="11"/>
      <c r="H186" s="11"/>
      <c r="J186" s="44"/>
      <c r="L186" s="45"/>
      <c r="O186" s="44"/>
      <c r="P186" s="44"/>
      <c r="Q186" s="40"/>
      <c r="R186" s="44"/>
      <c r="S186" s="44"/>
      <c r="T186" s="44"/>
    </row>
    <row r="187" ht="15.75" customHeight="1">
      <c r="A187" s="9"/>
      <c r="B187" s="40"/>
      <c r="C187" s="11"/>
      <c r="D187" s="11"/>
      <c r="E187" s="11"/>
      <c r="F187" s="11"/>
      <c r="G187" s="11"/>
      <c r="H187" s="11"/>
      <c r="J187" s="44"/>
      <c r="L187" s="45"/>
      <c r="O187" s="44"/>
      <c r="P187" s="44"/>
      <c r="Q187" s="40"/>
      <c r="R187" s="44"/>
      <c r="S187" s="44"/>
      <c r="T187" s="44"/>
    </row>
    <row r="188" ht="15.75" customHeight="1">
      <c r="A188" s="9"/>
      <c r="B188" s="40"/>
      <c r="C188" s="11"/>
      <c r="D188" s="11"/>
      <c r="E188" s="11"/>
      <c r="F188" s="11"/>
      <c r="G188" s="11"/>
      <c r="H188" s="11"/>
      <c r="J188" s="44"/>
      <c r="L188" s="45"/>
      <c r="O188" s="44"/>
      <c r="P188" s="44"/>
      <c r="Q188" s="40"/>
      <c r="R188" s="44"/>
      <c r="S188" s="44"/>
      <c r="T188" s="44"/>
    </row>
    <row r="189" ht="15.75" customHeight="1">
      <c r="A189" s="9"/>
      <c r="B189" s="40"/>
      <c r="C189" s="11"/>
      <c r="D189" s="11"/>
      <c r="E189" s="11"/>
      <c r="F189" s="11"/>
      <c r="G189" s="11"/>
      <c r="H189" s="11"/>
      <c r="J189" s="44"/>
      <c r="L189" s="45"/>
      <c r="O189" s="44"/>
      <c r="P189" s="44"/>
      <c r="Q189" s="40"/>
      <c r="R189" s="44"/>
      <c r="S189" s="44"/>
      <c r="T189" s="44"/>
    </row>
    <row r="190" ht="15.75" customHeight="1">
      <c r="A190" s="9"/>
      <c r="B190" s="40"/>
      <c r="C190" s="11"/>
      <c r="D190" s="11"/>
      <c r="E190" s="11"/>
      <c r="F190" s="11"/>
      <c r="G190" s="11"/>
      <c r="H190" s="11"/>
      <c r="J190" s="44"/>
      <c r="L190" s="45"/>
      <c r="O190" s="44"/>
      <c r="P190" s="44"/>
      <c r="Q190" s="40"/>
      <c r="R190" s="44"/>
      <c r="S190" s="44"/>
      <c r="T190" s="44"/>
    </row>
    <row r="191" ht="15.75" customHeight="1">
      <c r="A191" s="9"/>
      <c r="B191" s="40"/>
      <c r="C191" s="11"/>
      <c r="D191" s="11"/>
      <c r="E191" s="11"/>
      <c r="F191" s="11"/>
      <c r="G191" s="11"/>
      <c r="H191" s="11"/>
      <c r="J191" s="44"/>
      <c r="L191" s="45"/>
      <c r="O191" s="44"/>
      <c r="P191" s="44"/>
      <c r="Q191" s="40"/>
      <c r="R191" s="44"/>
      <c r="S191" s="44"/>
      <c r="T191" s="44"/>
    </row>
    <row r="192" ht="15.75" customHeight="1">
      <c r="A192" s="9"/>
      <c r="B192" s="40"/>
      <c r="C192" s="11"/>
      <c r="D192" s="11"/>
      <c r="E192" s="11"/>
      <c r="F192" s="11"/>
      <c r="G192" s="11"/>
      <c r="H192" s="11"/>
      <c r="J192" s="44"/>
      <c r="L192" s="45"/>
      <c r="O192" s="44"/>
      <c r="P192" s="44"/>
      <c r="Q192" s="40"/>
      <c r="R192" s="44"/>
      <c r="S192" s="44"/>
      <c r="T192" s="44"/>
    </row>
    <row r="193" ht="15.75" customHeight="1">
      <c r="A193" s="9"/>
      <c r="B193" s="40"/>
      <c r="C193" s="11"/>
      <c r="D193" s="11"/>
      <c r="E193" s="11"/>
      <c r="F193" s="11"/>
      <c r="G193" s="11"/>
      <c r="H193" s="11"/>
      <c r="J193" s="44"/>
      <c r="L193" s="45"/>
      <c r="O193" s="44"/>
      <c r="P193" s="44"/>
      <c r="Q193" s="40"/>
      <c r="R193" s="44"/>
      <c r="S193" s="44"/>
      <c r="T193" s="44"/>
    </row>
    <row r="194" ht="15.75" customHeight="1">
      <c r="A194" s="9"/>
      <c r="B194" s="40"/>
      <c r="C194" s="11"/>
      <c r="D194" s="11"/>
      <c r="E194" s="11"/>
      <c r="F194" s="11"/>
      <c r="G194" s="11"/>
      <c r="H194" s="11"/>
      <c r="J194" s="44"/>
      <c r="L194" s="45"/>
      <c r="O194" s="44"/>
      <c r="P194" s="44"/>
      <c r="Q194" s="40"/>
      <c r="R194" s="44"/>
      <c r="S194" s="44"/>
      <c r="T194" s="44"/>
    </row>
    <row r="195" ht="15.75" customHeight="1">
      <c r="A195" s="9"/>
      <c r="B195" s="40"/>
      <c r="C195" s="11"/>
      <c r="D195" s="11"/>
      <c r="E195" s="11"/>
      <c r="F195" s="11"/>
      <c r="G195" s="11"/>
      <c r="H195" s="11"/>
      <c r="J195" s="44"/>
      <c r="L195" s="45"/>
      <c r="O195" s="44"/>
      <c r="P195" s="44"/>
      <c r="Q195" s="40"/>
      <c r="R195" s="44"/>
      <c r="S195" s="44"/>
      <c r="T195" s="44"/>
    </row>
    <row r="196" ht="15.75" customHeight="1">
      <c r="A196" s="9"/>
      <c r="B196" s="40"/>
      <c r="C196" s="11"/>
      <c r="D196" s="11"/>
      <c r="E196" s="11"/>
      <c r="F196" s="11"/>
      <c r="G196" s="11"/>
      <c r="H196" s="11"/>
      <c r="J196" s="44"/>
      <c r="L196" s="45"/>
      <c r="O196" s="44"/>
      <c r="P196" s="44"/>
      <c r="Q196" s="40"/>
      <c r="R196" s="44"/>
      <c r="S196" s="44"/>
      <c r="T196" s="44"/>
    </row>
    <row r="197" ht="15.75" customHeight="1">
      <c r="A197" s="9"/>
      <c r="B197" s="40"/>
      <c r="C197" s="11"/>
      <c r="D197" s="11"/>
      <c r="E197" s="11"/>
      <c r="F197" s="11"/>
      <c r="G197" s="11"/>
      <c r="H197" s="11"/>
      <c r="J197" s="44"/>
      <c r="L197" s="45"/>
      <c r="O197" s="44"/>
      <c r="P197" s="44"/>
      <c r="Q197" s="40"/>
      <c r="R197" s="44"/>
      <c r="S197" s="44"/>
      <c r="T197" s="44"/>
    </row>
    <row r="198" ht="15.75" customHeight="1">
      <c r="A198" s="9"/>
      <c r="B198" s="40"/>
      <c r="C198" s="11"/>
      <c r="D198" s="11"/>
      <c r="E198" s="11"/>
      <c r="F198" s="11"/>
      <c r="G198" s="11"/>
      <c r="H198" s="11"/>
      <c r="J198" s="44"/>
      <c r="L198" s="45"/>
      <c r="O198" s="44"/>
      <c r="P198" s="44"/>
      <c r="Q198" s="40"/>
      <c r="R198" s="44"/>
      <c r="S198" s="44"/>
      <c r="T198" s="44"/>
    </row>
    <row r="199" ht="15.75" customHeight="1">
      <c r="A199" s="9"/>
      <c r="B199" s="40"/>
      <c r="C199" s="11"/>
      <c r="D199" s="11"/>
      <c r="E199" s="11"/>
      <c r="F199" s="11"/>
      <c r="G199" s="11"/>
      <c r="H199" s="11"/>
      <c r="J199" s="44"/>
      <c r="L199" s="45"/>
      <c r="O199" s="44"/>
      <c r="P199" s="44"/>
      <c r="Q199" s="40"/>
      <c r="R199" s="44"/>
      <c r="S199" s="44"/>
      <c r="T199" s="44"/>
    </row>
    <row r="200" ht="15.75" customHeight="1">
      <c r="A200" s="9"/>
      <c r="B200" s="40"/>
      <c r="C200" s="11"/>
      <c r="D200" s="11"/>
      <c r="E200" s="11"/>
      <c r="F200" s="11"/>
      <c r="G200" s="11"/>
      <c r="H200" s="11"/>
      <c r="J200" s="44"/>
      <c r="L200" s="45"/>
      <c r="O200" s="44"/>
      <c r="P200" s="44"/>
      <c r="Q200" s="40"/>
      <c r="R200" s="44"/>
      <c r="S200" s="44"/>
      <c r="T200" s="44"/>
    </row>
    <row r="201" ht="15.75" customHeight="1">
      <c r="A201" s="9"/>
      <c r="B201" s="40"/>
      <c r="C201" s="11"/>
      <c r="D201" s="11"/>
      <c r="E201" s="11"/>
      <c r="F201" s="11"/>
      <c r="G201" s="11"/>
      <c r="H201" s="11"/>
      <c r="J201" s="44"/>
      <c r="L201" s="45"/>
      <c r="O201" s="44"/>
      <c r="P201" s="44"/>
      <c r="Q201" s="40"/>
      <c r="R201" s="44"/>
      <c r="S201" s="44"/>
      <c r="T201" s="44"/>
    </row>
    <row r="202" ht="15.75" customHeight="1">
      <c r="A202" s="9"/>
      <c r="B202" s="40"/>
      <c r="C202" s="11"/>
      <c r="D202" s="11"/>
      <c r="E202" s="11"/>
      <c r="F202" s="11"/>
      <c r="G202" s="11"/>
      <c r="H202" s="11"/>
      <c r="J202" s="44"/>
      <c r="L202" s="45"/>
      <c r="O202" s="44"/>
      <c r="P202" s="44"/>
      <c r="Q202" s="40"/>
      <c r="R202" s="44"/>
      <c r="S202" s="44"/>
      <c r="T202" s="44"/>
    </row>
    <row r="203" ht="15.75" customHeight="1">
      <c r="A203" s="9"/>
      <c r="B203" s="40"/>
      <c r="C203" s="11"/>
      <c r="D203" s="11"/>
      <c r="E203" s="11"/>
      <c r="F203" s="11"/>
      <c r="G203" s="11"/>
      <c r="H203" s="11"/>
      <c r="J203" s="44"/>
      <c r="L203" s="45"/>
      <c r="O203" s="44"/>
      <c r="P203" s="44"/>
      <c r="Q203" s="40"/>
      <c r="R203" s="44"/>
      <c r="S203" s="44"/>
      <c r="T203" s="44"/>
    </row>
    <row r="204" ht="15.75" customHeight="1">
      <c r="A204" s="9"/>
      <c r="B204" s="40"/>
      <c r="C204" s="11"/>
      <c r="D204" s="11"/>
      <c r="E204" s="11"/>
      <c r="F204" s="11"/>
      <c r="G204" s="11"/>
      <c r="H204" s="11"/>
      <c r="J204" s="44"/>
      <c r="L204" s="45"/>
      <c r="O204" s="44"/>
      <c r="P204" s="44"/>
      <c r="Q204" s="40"/>
      <c r="R204" s="44"/>
      <c r="S204" s="44"/>
      <c r="T204" s="44"/>
    </row>
    <row r="205" ht="15.75" customHeight="1">
      <c r="A205" s="9"/>
      <c r="B205" s="40"/>
      <c r="C205" s="11"/>
      <c r="D205" s="11"/>
      <c r="E205" s="11"/>
      <c r="F205" s="11"/>
      <c r="G205" s="11"/>
      <c r="H205" s="11"/>
      <c r="J205" s="44"/>
      <c r="L205" s="45"/>
      <c r="O205" s="44"/>
      <c r="P205" s="44"/>
      <c r="Q205" s="40"/>
      <c r="R205" s="44"/>
      <c r="S205" s="44"/>
      <c r="T205" s="44"/>
    </row>
    <row r="206" ht="15.75" customHeight="1">
      <c r="A206" s="9"/>
      <c r="B206" s="40"/>
      <c r="C206" s="11"/>
      <c r="D206" s="11"/>
      <c r="E206" s="11"/>
      <c r="F206" s="11"/>
      <c r="G206" s="11"/>
      <c r="H206" s="11"/>
      <c r="J206" s="44"/>
      <c r="L206" s="45"/>
      <c r="O206" s="44"/>
      <c r="P206" s="44"/>
      <c r="Q206" s="40"/>
      <c r="R206" s="44"/>
      <c r="S206" s="44"/>
      <c r="T206" s="44"/>
    </row>
    <row r="207" ht="15.75" customHeight="1">
      <c r="A207" s="9"/>
      <c r="B207" s="40"/>
      <c r="C207" s="11"/>
      <c r="D207" s="11"/>
      <c r="E207" s="11"/>
      <c r="F207" s="11"/>
      <c r="G207" s="11"/>
      <c r="H207" s="11"/>
      <c r="J207" s="44"/>
      <c r="L207" s="45"/>
      <c r="O207" s="44"/>
      <c r="P207" s="44"/>
      <c r="Q207" s="40"/>
      <c r="R207" s="44"/>
      <c r="S207" s="44"/>
      <c r="T207" s="44"/>
    </row>
    <row r="208" ht="15.75" customHeight="1">
      <c r="A208" s="9"/>
      <c r="B208" s="40"/>
      <c r="C208" s="11"/>
      <c r="D208" s="11"/>
      <c r="E208" s="11"/>
      <c r="F208" s="11"/>
      <c r="G208" s="11"/>
      <c r="H208" s="11"/>
      <c r="J208" s="44"/>
      <c r="L208" s="45"/>
      <c r="O208" s="44"/>
      <c r="P208" s="44"/>
      <c r="Q208" s="40"/>
      <c r="R208" s="44"/>
      <c r="S208" s="44"/>
      <c r="T208" s="44"/>
    </row>
    <row r="209" ht="15.75" customHeight="1">
      <c r="A209" s="9"/>
      <c r="B209" s="40"/>
      <c r="C209" s="11"/>
      <c r="D209" s="11"/>
      <c r="E209" s="11"/>
      <c r="F209" s="11"/>
      <c r="G209" s="11"/>
      <c r="H209" s="11"/>
      <c r="J209" s="44"/>
      <c r="L209" s="45"/>
      <c r="O209" s="44"/>
      <c r="P209" s="44"/>
      <c r="Q209" s="40"/>
      <c r="R209" s="44"/>
      <c r="S209" s="44"/>
      <c r="T209" s="44"/>
    </row>
    <row r="210" ht="15.75" customHeight="1">
      <c r="A210" s="9"/>
      <c r="B210" s="40"/>
      <c r="C210" s="11"/>
      <c r="D210" s="11"/>
      <c r="E210" s="11"/>
      <c r="F210" s="11"/>
      <c r="G210" s="11"/>
      <c r="H210" s="11"/>
      <c r="J210" s="44"/>
      <c r="L210" s="45"/>
      <c r="O210" s="44"/>
      <c r="P210" s="44"/>
      <c r="Q210" s="40"/>
      <c r="R210" s="44"/>
      <c r="S210" s="44"/>
      <c r="T210" s="44"/>
    </row>
    <row r="211" ht="15.75" customHeight="1">
      <c r="A211" s="9"/>
      <c r="B211" s="40"/>
      <c r="C211" s="11"/>
      <c r="D211" s="11"/>
      <c r="E211" s="11"/>
      <c r="F211" s="11"/>
      <c r="G211" s="11"/>
      <c r="H211" s="11"/>
      <c r="J211" s="44"/>
      <c r="L211" s="45"/>
      <c r="O211" s="44"/>
      <c r="P211" s="44"/>
      <c r="Q211" s="40"/>
      <c r="R211" s="44"/>
      <c r="S211" s="44"/>
      <c r="T211" s="44"/>
    </row>
    <row r="212" ht="15.75" customHeight="1">
      <c r="A212" s="9"/>
      <c r="B212" s="40"/>
      <c r="C212" s="11"/>
      <c r="D212" s="11"/>
      <c r="E212" s="11"/>
      <c r="F212" s="11"/>
      <c r="G212" s="11"/>
      <c r="H212" s="11"/>
      <c r="J212" s="44"/>
      <c r="L212" s="45"/>
      <c r="O212" s="44"/>
      <c r="P212" s="44"/>
      <c r="Q212" s="40"/>
      <c r="R212" s="44"/>
      <c r="S212" s="44"/>
      <c r="T212" s="44"/>
    </row>
    <row r="213" ht="15.75" customHeight="1">
      <c r="A213" s="9"/>
      <c r="B213" s="40"/>
      <c r="C213" s="11"/>
      <c r="D213" s="11"/>
      <c r="E213" s="11"/>
      <c r="F213" s="11"/>
      <c r="G213" s="11"/>
      <c r="H213" s="11"/>
      <c r="J213" s="44"/>
      <c r="L213" s="45"/>
      <c r="O213" s="44"/>
      <c r="P213" s="44"/>
      <c r="Q213" s="40"/>
      <c r="R213" s="44"/>
      <c r="S213" s="44"/>
      <c r="T213" s="44"/>
    </row>
    <row r="214" ht="15.75" customHeight="1">
      <c r="A214" s="9"/>
      <c r="B214" s="40"/>
      <c r="C214" s="11"/>
      <c r="D214" s="11"/>
      <c r="E214" s="11"/>
      <c r="F214" s="11"/>
      <c r="G214" s="11"/>
      <c r="H214" s="11"/>
      <c r="J214" s="44"/>
      <c r="L214" s="45"/>
      <c r="O214" s="44"/>
      <c r="P214" s="44"/>
      <c r="Q214" s="40"/>
      <c r="R214" s="44"/>
      <c r="S214" s="44"/>
      <c r="T214" s="44"/>
    </row>
    <row r="215" ht="15.75" customHeight="1">
      <c r="A215" s="9"/>
      <c r="B215" s="40"/>
      <c r="C215" s="11"/>
      <c r="D215" s="11"/>
      <c r="E215" s="11"/>
      <c r="F215" s="11"/>
      <c r="G215" s="11"/>
      <c r="H215" s="11"/>
      <c r="J215" s="44"/>
      <c r="L215" s="45"/>
      <c r="O215" s="44"/>
      <c r="P215" s="44"/>
      <c r="Q215" s="40"/>
      <c r="R215" s="44"/>
      <c r="S215" s="44"/>
      <c r="T215" s="44"/>
    </row>
    <row r="216" ht="15.75" customHeight="1">
      <c r="J216" s="44"/>
      <c r="L216" s="45"/>
      <c r="O216" s="44"/>
      <c r="P216" s="44"/>
      <c r="Q216" s="40"/>
      <c r="R216" s="44"/>
      <c r="S216" s="44"/>
      <c r="T216" s="44"/>
    </row>
    <row r="217" ht="15.75" customHeight="1">
      <c r="J217" s="44"/>
      <c r="L217" s="45"/>
      <c r="O217" s="44"/>
      <c r="P217" s="44"/>
      <c r="Q217" s="40"/>
      <c r="R217" s="44"/>
      <c r="S217" s="44"/>
      <c r="T217" s="44"/>
    </row>
    <row r="218" ht="15.75" customHeight="1">
      <c r="J218" s="44"/>
      <c r="L218" s="45"/>
      <c r="O218" s="44"/>
      <c r="P218" s="44"/>
      <c r="Q218" s="40"/>
      <c r="R218" s="44"/>
      <c r="S218" s="44"/>
      <c r="T218" s="44"/>
    </row>
    <row r="219" ht="15.75" customHeight="1">
      <c r="J219" s="44"/>
      <c r="L219" s="45"/>
      <c r="O219" s="44"/>
      <c r="P219" s="44"/>
      <c r="R219" s="44"/>
      <c r="S219" s="44"/>
      <c r="T219" s="44"/>
    </row>
    <row r="220" ht="15.75" customHeight="1">
      <c r="J220" s="44"/>
      <c r="L220" s="45"/>
      <c r="O220" s="44"/>
      <c r="P220" s="44"/>
      <c r="R220" s="44"/>
      <c r="S220" s="44"/>
      <c r="T220" s="44"/>
    </row>
    <row r="221" ht="15.75" customHeight="1">
      <c r="J221" s="44"/>
      <c r="L221" s="45"/>
      <c r="O221" s="44"/>
      <c r="P221" s="44"/>
      <c r="R221" s="44"/>
      <c r="S221" s="44"/>
      <c r="T221" s="44"/>
    </row>
    <row r="222" ht="15.75" customHeight="1">
      <c r="J222" s="44"/>
      <c r="L222" s="45"/>
      <c r="O222" s="44"/>
      <c r="P222" s="44"/>
      <c r="R222" s="44"/>
      <c r="S222" s="44"/>
      <c r="T222" s="44"/>
    </row>
    <row r="223" ht="15.75" customHeight="1">
      <c r="J223" s="44"/>
      <c r="L223" s="45"/>
      <c r="O223" s="44"/>
      <c r="P223" s="44"/>
      <c r="R223" s="44"/>
      <c r="S223" s="44"/>
      <c r="T223" s="44"/>
    </row>
    <row r="224" ht="15.75" customHeight="1">
      <c r="J224" s="44"/>
      <c r="L224" s="45"/>
      <c r="O224" s="44"/>
      <c r="P224" s="44"/>
      <c r="R224" s="44"/>
      <c r="S224" s="44"/>
      <c r="T224" s="44"/>
    </row>
    <row r="225" ht="15.75" customHeight="1">
      <c r="J225" s="44"/>
      <c r="L225" s="45"/>
      <c r="O225" s="44"/>
      <c r="P225" s="44"/>
      <c r="R225" s="44"/>
      <c r="S225" s="44"/>
      <c r="T225" s="44"/>
    </row>
    <row r="226" ht="15.75" customHeight="1">
      <c r="J226" s="44"/>
      <c r="L226" s="45"/>
      <c r="O226" s="44"/>
      <c r="P226" s="44"/>
      <c r="R226" s="44"/>
      <c r="S226" s="44"/>
      <c r="T226" s="44"/>
    </row>
    <row r="227" ht="15.75" customHeight="1">
      <c r="J227" s="44"/>
      <c r="L227" s="45"/>
      <c r="O227" s="44"/>
      <c r="P227" s="44"/>
      <c r="R227" s="44"/>
      <c r="S227" s="44"/>
      <c r="T227" s="44"/>
    </row>
    <row r="228" ht="15.75" customHeight="1">
      <c r="J228" s="44"/>
      <c r="L228" s="45"/>
      <c r="O228" s="44"/>
      <c r="P228" s="44"/>
      <c r="R228" s="44"/>
      <c r="S228" s="44"/>
      <c r="T228" s="44"/>
    </row>
    <row r="229" ht="15.75" customHeight="1">
      <c r="J229" s="44"/>
      <c r="L229" s="45"/>
      <c r="O229" s="44"/>
      <c r="P229" s="44"/>
      <c r="R229" s="44"/>
      <c r="S229" s="44"/>
      <c r="T229" s="44"/>
    </row>
    <row r="230" ht="15.75" customHeight="1">
      <c r="J230" s="44"/>
      <c r="L230" s="45"/>
      <c r="O230" s="44"/>
      <c r="P230" s="44"/>
      <c r="R230" s="44"/>
      <c r="S230" s="44"/>
      <c r="T230" s="44"/>
    </row>
    <row r="231" ht="15.75" customHeight="1">
      <c r="J231" s="44"/>
      <c r="L231" s="45"/>
      <c r="O231" s="44"/>
      <c r="P231" s="44"/>
      <c r="R231" s="44"/>
      <c r="S231" s="44"/>
      <c r="T231" s="44"/>
    </row>
    <row r="232" ht="15.75" customHeight="1">
      <c r="J232" s="44"/>
      <c r="L232" s="45"/>
      <c r="O232" s="44"/>
      <c r="P232" s="44"/>
      <c r="R232" s="44"/>
      <c r="S232" s="44"/>
      <c r="T232" s="44"/>
    </row>
    <row r="233" ht="15.75" customHeight="1">
      <c r="J233" s="44"/>
      <c r="L233" s="45"/>
      <c r="O233" s="44"/>
      <c r="P233" s="44"/>
      <c r="R233" s="44"/>
      <c r="S233" s="44"/>
      <c r="T233" s="44"/>
    </row>
    <row r="234" ht="15.75" customHeight="1">
      <c r="J234" s="44"/>
      <c r="L234" s="45"/>
      <c r="O234" s="44"/>
      <c r="P234" s="44"/>
      <c r="R234" s="44"/>
      <c r="S234" s="44"/>
      <c r="T234" s="44"/>
    </row>
    <row r="235" ht="15.75" customHeight="1">
      <c r="J235" s="44"/>
      <c r="L235" s="45"/>
      <c r="O235" s="44"/>
      <c r="P235" s="44"/>
      <c r="R235" s="44"/>
      <c r="S235" s="44"/>
      <c r="T235" s="44"/>
    </row>
    <row r="236" ht="15.75" customHeight="1">
      <c r="J236" s="44"/>
      <c r="L236" s="45"/>
      <c r="O236" s="44"/>
      <c r="P236" s="44"/>
      <c r="R236" s="44"/>
      <c r="S236" s="44"/>
      <c r="T236" s="44"/>
    </row>
    <row r="237" ht="15.75" customHeight="1">
      <c r="J237" s="44"/>
      <c r="L237" s="45"/>
      <c r="O237" s="44"/>
      <c r="P237" s="44"/>
      <c r="R237" s="44"/>
      <c r="S237" s="44"/>
      <c r="T237" s="44"/>
    </row>
    <row r="238" ht="15.75" customHeight="1">
      <c r="J238" s="44"/>
      <c r="L238" s="45"/>
      <c r="O238" s="44"/>
      <c r="P238" s="44"/>
      <c r="R238" s="44"/>
      <c r="S238" s="44"/>
      <c r="T238" s="44"/>
    </row>
    <row r="239" ht="15.75" customHeight="1">
      <c r="J239" s="44"/>
      <c r="L239" s="45"/>
      <c r="O239" s="44"/>
      <c r="P239" s="44"/>
      <c r="R239" s="44"/>
      <c r="S239" s="44"/>
      <c r="T239" s="44"/>
    </row>
    <row r="240" ht="15.75" customHeight="1">
      <c r="J240" s="44"/>
      <c r="L240" s="45"/>
      <c r="O240" s="44"/>
      <c r="P240" s="44"/>
      <c r="R240" s="44"/>
      <c r="S240" s="44"/>
      <c r="T240" s="44"/>
    </row>
    <row r="241" ht="15.75" customHeight="1">
      <c r="J241" s="44"/>
      <c r="L241" s="45"/>
      <c r="O241" s="44"/>
      <c r="P241" s="44"/>
      <c r="R241" s="44"/>
      <c r="S241" s="44"/>
      <c r="T241" s="44"/>
    </row>
    <row r="242" ht="15.75" customHeight="1">
      <c r="J242" s="44"/>
      <c r="L242" s="45"/>
      <c r="O242" s="44"/>
      <c r="P242" s="44"/>
      <c r="R242" s="44"/>
      <c r="S242" s="44"/>
      <c r="T242" s="44"/>
    </row>
    <row r="243" ht="15.75" customHeight="1">
      <c r="J243" s="44"/>
      <c r="L243" s="45"/>
      <c r="O243" s="44"/>
      <c r="P243" s="44"/>
      <c r="R243" s="44"/>
      <c r="S243" s="44"/>
      <c r="T243" s="44"/>
    </row>
    <row r="244" ht="15.75" customHeight="1">
      <c r="J244" s="44"/>
      <c r="L244" s="45"/>
      <c r="O244" s="44"/>
      <c r="P244" s="44"/>
      <c r="R244" s="44"/>
      <c r="S244" s="44"/>
      <c r="T244" s="44"/>
    </row>
    <row r="245" ht="15.75" customHeight="1">
      <c r="J245" s="44"/>
      <c r="L245" s="45"/>
      <c r="O245" s="44"/>
      <c r="P245" s="44"/>
      <c r="R245" s="44"/>
      <c r="S245" s="44"/>
      <c r="T245" s="44"/>
    </row>
    <row r="246" ht="15.75" customHeight="1">
      <c r="J246" s="44"/>
      <c r="L246" s="45"/>
      <c r="O246" s="44"/>
      <c r="P246" s="44"/>
      <c r="R246" s="44"/>
      <c r="S246" s="44"/>
      <c r="T246" s="44"/>
    </row>
    <row r="247" ht="15.75" customHeight="1">
      <c r="L247" s="45"/>
      <c r="O247" s="44"/>
      <c r="P247" s="44"/>
      <c r="R247" s="44"/>
      <c r="S247" s="44"/>
      <c r="T247" s="44"/>
    </row>
    <row r="248" ht="15.75" customHeight="1">
      <c r="L248" s="45"/>
      <c r="O248" s="44"/>
      <c r="P248" s="44"/>
      <c r="R248" s="44"/>
      <c r="S248" s="44"/>
      <c r="T248" s="44"/>
    </row>
    <row r="249" ht="15.75" customHeight="1">
      <c r="L249" s="45"/>
      <c r="O249" s="44"/>
      <c r="P249" s="44"/>
      <c r="R249" s="44"/>
      <c r="S249" s="44"/>
      <c r="T249" s="44"/>
    </row>
    <row r="250" ht="15.75" customHeight="1">
      <c r="L250" s="45"/>
      <c r="O250" s="44"/>
      <c r="P250" s="44"/>
      <c r="R250" s="44"/>
      <c r="S250" s="44"/>
      <c r="T250" s="44"/>
    </row>
    <row r="251" ht="15.75" customHeight="1">
      <c r="L251" s="45"/>
      <c r="O251" s="44"/>
      <c r="P251" s="44"/>
      <c r="R251" s="44"/>
      <c r="S251" s="44"/>
      <c r="T251" s="44"/>
    </row>
    <row r="252" ht="15.75" customHeight="1">
      <c r="L252" s="45"/>
      <c r="O252" s="44"/>
      <c r="P252" s="44"/>
      <c r="R252" s="44"/>
      <c r="S252" s="44"/>
      <c r="T252" s="44"/>
    </row>
    <row r="253" ht="15.75" customHeight="1">
      <c r="L253" s="45"/>
      <c r="O253" s="44"/>
      <c r="P253" s="44"/>
      <c r="R253" s="44"/>
      <c r="S253" s="44"/>
      <c r="T253" s="44"/>
    </row>
    <row r="254" ht="15.75" customHeight="1">
      <c r="L254" s="45"/>
      <c r="O254" s="44"/>
      <c r="P254" s="44"/>
      <c r="R254" s="44"/>
      <c r="S254" s="44"/>
      <c r="T254" s="44"/>
    </row>
    <row r="255" ht="15.75" customHeight="1">
      <c r="L255" s="45"/>
      <c r="O255" s="44"/>
      <c r="P255" s="44"/>
      <c r="R255" s="44"/>
      <c r="S255" s="44"/>
      <c r="T255" s="44"/>
    </row>
    <row r="256" ht="15.75" customHeight="1">
      <c r="L256" s="45"/>
      <c r="O256" s="44"/>
      <c r="P256" s="44"/>
      <c r="R256" s="44"/>
      <c r="S256" s="44"/>
      <c r="T256" s="44"/>
    </row>
    <row r="257" ht="15.75" customHeight="1">
      <c r="L257" s="45"/>
      <c r="O257" s="44"/>
      <c r="P257" s="44"/>
      <c r="R257" s="44"/>
      <c r="S257" s="44"/>
      <c r="T257" s="44"/>
    </row>
    <row r="258" ht="15.75" customHeight="1">
      <c r="L258" s="45"/>
      <c r="O258" s="44"/>
      <c r="P258" s="44"/>
      <c r="R258" s="44"/>
      <c r="S258" s="44"/>
      <c r="T258" s="44"/>
    </row>
    <row r="259" ht="15.75" customHeight="1">
      <c r="L259" s="45"/>
      <c r="O259" s="44"/>
      <c r="P259" s="44"/>
      <c r="R259" s="44"/>
      <c r="S259" s="44"/>
      <c r="T259" s="44"/>
    </row>
    <row r="260" ht="15.75" customHeight="1">
      <c r="L260" s="45"/>
      <c r="O260" s="44"/>
      <c r="P260" s="44"/>
      <c r="R260" s="44"/>
      <c r="S260" s="44"/>
      <c r="T260" s="44"/>
    </row>
    <row r="261" ht="15.75" customHeight="1">
      <c r="L261" s="45"/>
      <c r="O261" s="44"/>
      <c r="P261" s="44"/>
      <c r="R261" s="44"/>
      <c r="S261" s="44"/>
      <c r="T261" s="44"/>
    </row>
    <row r="262" ht="15.75" customHeight="1">
      <c r="L262" s="45"/>
      <c r="O262" s="44"/>
      <c r="P262" s="44"/>
      <c r="R262" s="44"/>
      <c r="S262" s="44"/>
      <c r="T262" s="44"/>
    </row>
    <row r="263" ht="15.75" customHeight="1">
      <c r="L263" s="45"/>
      <c r="O263" s="44"/>
      <c r="P263" s="44"/>
      <c r="R263" s="44"/>
      <c r="S263" s="44"/>
      <c r="T263" s="44"/>
    </row>
    <row r="264" ht="15.75" customHeight="1">
      <c r="L264" s="45"/>
      <c r="O264" s="44"/>
      <c r="P264" s="44"/>
      <c r="R264" s="44"/>
      <c r="S264" s="44"/>
      <c r="T264" s="44"/>
    </row>
    <row r="265" ht="15.75" customHeight="1">
      <c r="L265" s="45"/>
      <c r="O265" s="44"/>
      <c r="P265" s="44"/>
      <c r="R265" s="44"/>
      <c r="S265" s="44"/>
      <c r="T265" s="44"/>
    </row>
    <row r="266" ht="15.75" customHeight="1">
      <c r="L266" s="45"/>
      <c r="O266" s="44"/>
      <c r="P266" s="44"/>
      <c r="R266" s="44"/>
      <c r="S266" s="44"/>
      <c r="T266" s="44"/>
    </row>
    <row r="267" ht="15.75" customHeight="1">
      <c r="L267" s="45"/>
      <c r="O267" s="44"/>
      <c r="P267" s="44"/>
      <c r="R267" s="44"/>
      <c r="S267" s="44"/>
      <c r="T267" s="44"/>
    </row>
    <row r="268" ht="15.75" customHeight="1">
      <c r="L268" s="45"/>
      <c r="O268" s="44"/>
      <c r="P268" s="44"/>
      <c r="R268" s="44"/>
      <c r="S268" s="44"/>
      <c r="T268" s="44"/>
    </row>
    <row r="269" ht="15.75" customHeight="1">
      <c r="L269" s="45"/>
      <c r="O269" s="44"/>
      <c r="P269" s="44"/>
      <c r="R269" s="44"/>
      <c r="S269" s="44"/>
      <c r="T269" s="44"/>
    </row>
    <row r="270" ht="15.75" customHeight="1">
      <c r="L270" s="45"/>
      <c r="O270" s="44"/>
      <c r="P270" s="44"/>
      <c r="R270" s="44"/>
      <c r="S270" s="44"/>
      <c r="T270" s="44"/>
    </row>
    <row r="271" ht="15.75" customHeight="1">
      <c r="L271" s="45"/>
      <c r="O271" s="44"/>
      <c r="P271" s="44"/>
      <c r="R271" s="44"/>
      <c r="S271" s="44"/>
      <c r="T271" s="44"/>
    </row>
    <row r="272" ht="15.75" customHeight="1">
      <c r="L272" s="45"/>
      <c r="O272" s="44"/>
      <c r="P272" s="44"/>
      <c r="R272" s="44"/>
      <c r="S272" s="44"/>
      <c r="T272" s="44"/>
    </row>
    <row r="273" ht="15.75" customHeight="1">
      <c r="L273" s="45"/>
      <c r="O273" s="44"/>
      <c r="P273" s="44"/>
      <c r="R273" s="44"/>
      <c r="S273" s="44"/>
      <c r="T273" s="44"/>
    </row>
    <row r="274" ht="15.75" customHeight="1">
      <c r="L274" s="45"/>
      <c r="O274" s="44"/>
      <c r="P274" s="44"/>
      <c r="R274" s="44"/>
      <c r="S274" s="44"/>
      <c r="T274" s="44"/>
    </row>
    <row r="275" ht="15.75" customHeight="1">
      <c r="L275" s="45"/>
      <c r="O275" s="44"/>
      <c r="P275" s="44"/>
      <c r="R275" s="44"/>
      <c r="S275" s="44"/>
      <c r="T275" s="44"/>
    </row>
    <row r="276" ht="15.75" customHeight="1">
      <c r="L276" s="45"/>
      <c r="O276" s="44"/>
      <c r="P276" s="44"/>
      <c r="R276" s="44"/>
      <c r="S276" s="44"/>
      <c r="T276" s="44"/>
    </row>
    <row r="277" ht="15.75" customHeight="1">
      <c r="L277" s="45"/>
      <c r="O277" s="44"/>
      <c r="P277" s="44"/>
      <c r="R277" s="44"/>
      <c r="S277" s="44"/>
      <c r="T277" s="44"/>
    </row>
    <row r="278" ht="15.75" customHeight="1">
      <c r="L278" s="45"/>
      <c r="O278" s="44"/>
      <c r="P278" s="44"/>
      <c r="R278" s="44"/>
      <c r="S278" s="44"/>
      <c r="T278" s="44"/>
    </row>
    <row r="279" ht="15.75" customHeight="1">
      <c r="L279" s="45"/>
      <c r="O279" s="44"/>
      <c r="P279" s="44"/>
      <c r="R279" s="44"/>
      <c r="S279" s="44"/>
      <c r="T279" s="44"/>
    </row>
    <row r="280" ht="15.75" customHeight="1">
      <c r="L280" s="45"/>
      <c r="O280" s="44"/>
      <c r="P280" s="44"/>
      <c r="R280" s="44"/>
      <c r="S280" s="44"/>
      <c r="T280" s="44"/>
    </row>
    <row r="281" ht="15.75" customHeight="1">
      <c r="L281" s="45"/>
      <c r="O281" s="44"/>
      <c r="P281" s="44"/>
      <c r="R281" s="44"/>
      <c r="S281" s="44"/>
      <c r="T281" s="44"/>
    </row>
    <row r="282" ht="15.75" customHeight="1">
      <c r="L282" s="45"/>
      <c r="O282" s="44"/>
      <c r="P282" s="44"/>
      <c r="R282" s="44"/>
      <c r="S282" s="44"/>
      <c r="T282" s="44"/>
    </row>
    <row r="283" ht="15.75" customHeight="1">
      <c r="L283" s="45"/>
      <c r="O283" s="44"/>
      <c r="P283" s="44"/>
      <c r="R283" s="44"/>
      <c r="S283" s="44"/>
      <c r="T283" s="44"/>
    </row>
    <row r="284" ht="15.75" customHeight="1">
      <c r="L284" s="45"/>
      <c r="O284" s="44"/>
      <c r="P284" s="44"/>
      <c r="R284" s="44"/>
      <c r="S284" s="44"/>
      <c r="T284" s="44"/>
    </row>
    <row r="285" ht="15.75" customHeight="1">
      <c r="L285" s="45"/>
      <c r="O285" s="44"/>
      <c r="P285" s="44"/>
      <c r="R285" s="44"/>
      <c r="S285" s="44"/>
      <c r="T285" s="44"/>
    </row>
    <row r="286" ht="15.75" customHeight="1">
      <c r="L286" s="45"/>
      <c r="O286" s="44"/>
      <c r="P286" s="44"/>
      <c r="R286" s="44"/>
      <c r="S286" s="44"/>
      <c r="T286" s="44"/>
    </row>
    <row r="287" ht="15.75" customHeight="1">
      <c r="L287" s="45"/>
      <c r="O287" s="44"/>
      <c r="P287" s="44"/>
      <c r="R287" s="44"/>
      <c r="S287" s="44"/>
      <c r="T287" s="44"/>
    </row>
    <row r="288" ht="15.75" customHeight="1">
      <c r="L288" s="45"/>
      <c r="O288" s="44"/>
      <c r="P288" s="44"/>
      <c r="R288" s="44"/>
      <c r="S288" s="44"/>
      <c r="T288" s="44"/>
    </row>
    <row r="289" ht="15.75" customHeight="1">
      <c r="L289" s="45"/>
      <c r="O289" s="44"/>
      <c r="P289" s="44"/>
      <c r="R289" s="44"/>
      <c r="S289" s="44"/>
      <c r="T289" s="44"/>
    </row>
    <row r="290" ht="15.75" customHeight="1">
      <c r="L290" s="45"/>
      <c r="O290" s="44"/>
      <c r="P290" s="44"/>
      <c r="R290" s="44"/>
      <c r="S290" s="44"/>
      <c r="T290" s="44"/>
    </row>
    <row r="291" ht="15.75" customHeight="1">
      <c r="L291" s="45"/>
      <c r="O291" s="44"/>
      <c r="P291" s="44"/>
      <c r="R291" s="44"/>
      <c r="S291" s="44"/>
      <c r="T291" s="44"/>
    </row>
    <row r="292" ht="15.75" customHeight="1">
      <c r="L292" s="45"/>
      <c r="O292" s="44"/>
      <c r="P292" s="44"/>
      <c r="R292" s="44"/>
      <c r="S292" s="44"/>
      <c r="T292" s="44"/>
    </row>
    <row r="293" ht="15.75" customHeight="1">
      <c r="L293" s="45"/>
      <c r="O293" s="44"/>
      <c r="P293" s="44"/>
      <c r="R293" s="44"/>
      <c r="S293" s="44"/>
      <c r="T293" s="44"/>
    </row>
    <row r="294" ht="15.75" customHeight="1">
      <c r="L294" s="45"/>
      <c r="O294" s="44"/>
      <c r="P294" s="44"/>
      <c r="R294" s="44"/>
      <c r="S294" s="44"/>
      <c r="T294" s="44"/>
    </row>
    <row r="295" ht="15.75" customHeight="1">
      <c r="L295" s="45"/>
      <c r="O295" s="44"/>
      <c r="P295" s="44"/>
      <c r="R295" s="44"/>
      <c r="S295" s="44"/>
      <c r="T295" s="44"/>
    </row>
    <row r="296" ht="15.75" customHeight="1">
      <c r="L296" s="45"/>
      <c r="O296" s="44"/>
      <c r="P296" s="44"/>
      <c r="R296" s="44"/>
      <c r="S296" s="44"/>
      <c r="T296" s="44"/>
    </row>
    <row r="297" ht="15.75" customHeight="1">
      <c r="L297" s="45"/>
      <c r="O297" s="44"/>
      <c r="P297" s="44"/>
      <c r="R297" s="44"/>
      <c r="S297" s="44"/>
      <c r="T297" s="44"/>
    </row>
    <row r="298" ht="15.75" customHeight="1">
      <c r="L298" s="45"/>
      <c r="O298" s="44"/>
      <c r="P298" s="44"/>
      <c r="R298" s="44"/>
      <c r="S298" s="44"/>
      <c r="T298" s="44"/>
    </row>
    <row r="299" ht="15.75" customHeight="1">
      <c r="L299" s="45"/>
      <c r="O299" s="44"/>
      <c r="P299" s="44"/>
      <c r="R299" s="44"/>
      <c r="S299" s="44"/>
      <c r="T299" s="44"/>
    </row>
    <row r="300" ht="15.75" customHeight="1">
      <c r="L300" s="45"/>
      <c r="O300" s="44"/>
      <c r="P300" s="44"/>
      <c r="R300" s="44"/>
      <c r="S300" s="44"/>
      <c r="T300" s="44"/>
    </row>
    <row r="301" ht="15.75" customHeight="1">
      <c r="L301" s="45"/>
      <c r="O301" s="44"/>
      <c r="P301" s="44"/>
      <c r="R301" s="44"/>
      <c r="S301" s="44"/>
      <c r="T301" s="44"/>
    </row>
    <row r="302" ht="15.75" customHeight="1">
      <c r="L302" s="45"/>
      <c r="O302" s="44"/>
      <c r="P302" s="44"/>
      <c r="R302" s="44"/>
      <c r="S302" s="44"/>
      <c r="T302" s="44"/>
    </row>
    <row r="303" ht="15.75" customHeight="1">
      <c r="L303" s="45"/>
      <c r="O303" s="44"/>
      <c r="P303" s="44"/>
      <c r="R303" s="44"/>
      <c r="S303" s="44"/>
      <c r="T303" s="44"/>
    </row>
    <row r="304" ht="15.75" customHeight="1">
      <c r="L304" s="45"/>
      <c r="O304" s="44"/>
      <c r="P304" s="44"/>
      <c r="R304" s="44"/>
      <c r="S304" s="44"/>
      <c r="T304" s="44"/>
    </row>
    <row r="305" ht="15.75" customHeight="1">
      <c r="L305" s="45"/>
      <c r="O305" s="44"/>
      <c r="P305" s="44"/>
      <c r="R305" s="44"/>
      <c r="S305" s="44"/>
      <c r="T305" s="44"/>
    </row>
    <row r="306" ht="15.75" customHeight="1">
      <c r="L306" s="45"/>
      <c r="O306" s="44"/>
      <c r="P306" s="44"/>
      <c r="R306" s="44"/>
      <c r="S306" s="44"/>
      <c r="T306" s="44"/>
    </row>
    <row r="307" ht="15.75" customHeight="1">
      <c r="L307" s="45"/>
      <c r="O307" s="44"/>
      <c r="P307" s="44"/>
      <c r="R307" s="44"/>
      <c r="S307" s="44"/>
      <c r="T307" s="44"/>
    </row>
    <row r="308" ht="15.75" customHeight="1">
      <c r="L308" s="45"/>
      <c r="O308" s="44"/>
      <c r="P308" s="44"/>
      <c r="R308" s="44"/>
      <c r="S308" s="44"/>
      <c r="T308" s="44"/>
    </row>
    <row r="309" ht="15.75" customHeight="1">
      <c r="L309" s="45"/>
      <c r="O309" s="44"/>
      <c r="P309" s="44"/>
      <c r="R309" s="44"/>
      <c r="S309" s="44"/>
      <c r="T309" s="44"/>
    </row>
    <row r="310" ht="15.75" customHeight="1">
      <c r="L310" s="45"/>
      <c r="O310" s="44"/>
      <c r="P310" s="44"/>
      <c r="R310" s="44"/>
      <c r="S310" s="44"/>
      <c r="T310" s="44"/>
    </row>
    <row r="311" ht="15.75" customHeight="1">
      <c r="L311" s="45"/>
      <c r="O311" s="44"/>
      <c r="P311" s="44"/>
      <c r="R311" s="44"/>
      <c r="S311" s="44"/>
      <c r="T311" s="44"/>
    </row>
    <row r="312" ht="15.75" customHeight="1">
      <c r="L312" s="45"/>
      <c r="O312" s="44"/>
      <c r="P312" s="44"/>
      <c r="R312" s="44"/>
      <c r="S312" s="44"/>
      <c r="T312" s="44"/>
    </row>
    <row r="313" ht="15.75" customHeight="1">
      <c r="L313" s="45"/>
      <c r="O313" s="44"/>
      <c r="P313" s="44"/>
      <c r="R313" s="44"/>
      <c r="S313" s="44"/>
      <c r="T313" s="44"/>
    </row>
    <row r="314" ht="15.75" customHeight="1">
      <c r="L314" s="45"/>
      <c r="O314" s="44"/>
      <c r="P314" s="44"/>
      <c r="R314" s="44"/>
      <c r="S314" s="44"/>
      <c r="T314" s="44"/>
    </row>
    <row r="315" ht="15.75" customHeight="1">
      <c r="L315" s="45"/>
      <c r="O315" s="44"/>
      <c r="P315" s="44"/>
      <c r="R315" s="44"/>
      <c r="S315" s="44"/>
      <c r="T315" s="44"/>
    </row>
    <row r="316" ht="15.75" customHeight="1">
      <c r="L316" s="45"/>
      <c r="O316" s="44"/>
      <c r="P316" s="44"/>
      <c r="R316" s="44"/>
      <c r="S316" s="44"/>
      <c r="T316" s="44"/>
    </row>
    <row r="317" ht="15.75" customHeight="1">
      <c r="L317" s="45"/>
      <c r="O317" s="44"/>
      <c r="P317" s="44"/>
      <c r="R317" s="44"/>
      <c r="S317" s="44"/>
      <c r="T317" s="44"/>
    </row>
    <row r="318" ht="15.75" customHeight="1">
      <c r="L318" s="45"/>
      <c r="O318" s="44"/>
      <c r="P318" s="44"/>
      <c r="R318" s="44"/>
      <c r="S318" s="44"/>
      <c r="T318" s="44"/>
    </row>
    <row r="319" ht="15.75" customHeight="1">
      <c r="L319" s="45"/>
      <c r="O319" s="44"/>
      <c r="P319" s="44"/>
      <c r="R319" s="44"/>
      <c r="S319" s="44"/>
      <c r="T319" s="44"/>
    </row>
    <row r="320" ht="15.75" customHeight="1">
      <c r="L320" s="45"/>
      <c r="O320" s="44"/>
      <c r="P320" s="44"/>
      <c r="R320" s="44"/>
      <c r="S320" s="44"/>
      <c r="T320" s="44"/>
    </row>
    <row r="321" ht="15.75" customHeight="1">
      <c r="L321" s="45"/>
      <c r="O321" s="44"/>
      <c r="P321" s="44"/>
      <c r="R321" s="44"/>
      <c r="S321" s="44"/>
      <c r="T321" s="44"/>
    </row>
    <row r="322" ht="15.75" customHeight="1">
      <c r="L322" s="45"/>
      <c r="O322" s="44"/>
      <c r="P322" s="44"/>
      <c r="R322" s="44"/>
      <c r="S322" s="44"/>
      <c r="T322" s="44"/>
    </row>
    <row r="323" ht="15.75" customHeight="1">
      <c r="L323" s="45"/>
      <c r="O323" s="44"/>
      <c r="P323" s="44"/>
      <c r="R323" s="44"/>
      <c r="S323" s="44"/>
      <c r="T323" s="44"/>
    </row>
    <row r="324" ht="15.75" customHeight="1">
      <c r="L324" s="45"/>
      <c r="O324" s="44"/>
      <c r="P324" s="44"/>
      <c r="R324" s="44"/>
      <c r="S324" s="44"/>
      <c r="T324" s="44"/>
    </row>
    <row r="325" ht="15.75" customHeight="1">
      <c r="L325" s="45"/>
      <c r="O325" s="44"/>
      <c r="P325" s="44"/>
      <c r="R325" s="44"/>
      <c r="S325" s="44"/>
      <c r="T325" s="44"/>
    </row>
    <row r="326" ht="15.75" customHeight="1">
      <c r="L326" s="45"/>
      <c r="O326" s="44"/>
      <c r="P326" s="44"/>
      <c r="R326" s="44"/>
      <c r="S326" s="44"/>
      <c r="T326" s="44"/>
    </row>
    <row r="327" ht="15.75" customHeight="1">
      <c r="L327" s="45"/>
      <c r="O327" s="44"/>
      <c r="P327" s="44"/>
      <c r="R327" s="44"/>
      <c r="S327" s="44"/>
      <c r="T327" s="44"/>
    </row>
    <row r="328" ht="15.75" customHeight="1">
      <c r="L328" s="45"/>
      <c r="O328" s="44"/>
      <c r="P328" s="44"/>
      <c r="R328" s="44"/>
      <c r="S328" s="44"/>
      <c r="T328" s="44"/>
    </row>
    <row r="329" ht="15.75" customHeight="1">
      <c r="L329" s="45"/>
      <c r="O329" s="44"/>
      <c r="P329" s="44"/>
      <c r="R329" s="44"/>
      <c r="S329" s="44"/>
      <c r="T329" s="44"/>
    </row>
    <row r="330" ht="15.75" customHeight="1">
      <c r="L330" s="45"/>
      <c r="O330" s="44"/>
      <c r="P330" s="44"/>
      <c r="R330" s="44"/>
      <c r="S330" s="44"/>
      <c r="T330" s="44"/>
    </row>
    <row r="331" ht="15.75" customHeight="1">
      <c r="L331" s="45"/>
      <c r="O331" s="44"/>
      <c r="P331" s="44"/>
      <c r="R331" s="44"/>
      <c r="S331" s="44"/>
      <c r="T331" s="44"/>
    </row>
    <row r="332" ht="15.75" customHeight="1">
      <c r="L332" s="45"/>
      <c r="O332" s="44"/>
      <c r="P332" s="44"/>
      <c r="R332" s="44"/>
      <c r="S332" s="44"/>
      <c r="T332" s="44"/>
    </row>
    <row r="333" ht="15.75" customHeight="1">
      <c r="L333" s="45"/>
      <c r="O333" s="44"/>
      <c r="P333" s="44"/>
      <c r="R333" s="44"/>
      <c r="S333" s="44"/>
      <c r="T333" s="44"/>
    </row>
    <row r="334" ht="15.75" customHeight="1">
      <c r="L334" s="45"/>
      <c r="O334" s="44"/>
      <c r="P334" s="44"/>
      <c r="R334" s="44"/>
      <c r="S334" s="44"/>
      <c r="T334" s="44"/>
    </row>
    <row r="335" ht="15.75" customHeight="1">
      <c r="L335" s="45"/>
      <c r="O335" s="44"/>
      <c r="P335" s="44"/>
      <c r="R335" s="44"/>
      <c r="S335" s="44"/>
      <c r="T335" s="44"/>
    </row>
    <row r="336" ht="15.75" customHeight="1">
      <c r="L336" s="45"/>
      <c r="O336" s="44"/>
      <c r="P336" s="44"/>
      <c r="R336" s="44"/>
      <c r="S336" s="44"/>
      <c r="T336" s="44"/>
    </row>
    <row r="337" ht="15.75" customHeight="1">
      <c r="L337" s="45"/>
      <c r="O337" s="44"/>
      <c r="P337" s="44"/>
      <c r="R337" s="44"/>
      <c r="S337" s="44"/>
      <c r="T337" s="44"/>
    </row>
    <row r="338" ht="15.75" customHeight="1">
      <c r="L338" s="45"/>
      <c r="O338" s="44"/>
      <c r="P338" s="44"/>
      <c r="R338" s="44"/>
      <c r="S338" s="44"/>
      <c r="T338" s="44"/>
    </row>
    <row r="339" ht="15.75" customHeight="1">
      <c r="L339" s="45"/>
      <c r="O339" s="44"/>
      <c r="P339" s="44"/>
      <c r="R339" s="44"/>
      <c r="S339" s="44"/>
      <c r="T339" s="44"/>
    </row>
    <row r="340" ht="15.75" customHeight="1">
      <c r="L340" s="45"/>
      <c r="O340" s="44"/>
      <c r="P340" s="44"/>
      <c r="R340" s="44"/>
      <c r="S340" s="44"/>
      <c r="T340" s="44"/>
    </row>
    <row r="341" ht="15.75" customHeight="1">
      <c r="L341" s="45"/>
      <c r="O341" s="44"/>
      <c r="P341" s="44"/>
      <c r="R341" s="44"/>
      <c r="S341" s="44"/>
      <c r="T341" s="44"/>
    </row>
    <row r="342" ht="15.75" customHeight="1">
      <c r="L342" s="45"/>
      <c r="O342" s="44"/>
      <c r="P342" s="44"/>
      <c r="R342" s="44"/>
      <c r="S342" s="44"/>
      <c r="T342" s="44"/>
    </row>
    <row r="343" ht="15.75" customHeight="1">
      <c r="L343" s="45"/>
      <c r="O343" s="44"/>
      <c r="P343" s="44"/>
      <c r="R343" s="44"/>
      <c r="S343" s="44"/>
      <c r="T343" s="44"/>
    </row>
    <row r="344" ht="15.75" customHeight="1">
      <c r="L344" s="45"/>
      <c r="O344" s="44"/>
      <c r="P344" s="44"/>
      <c r="R344" s="44"/>
      <c r="S344" s="44"/>
      <c r="T344" s="44"/>
    </row>
    <row r="345" ht="15.75" customHeight="1">
      <c r="L345" s="45"/>
      <c r="O345" s="44"/>
      <c r="P345" s="44"/>
      <c r="R345" s="44"/>
      <c r="S345" s="44"/>
      <c r="T345" s="44"/>
    </row>
    <row r="346" ht="15.75" customHeight="1">
      <c r="L346" s="45"/>
      <c r="O346" s="44"/>
      <c r="P346" s="44"/>
      <c r="R346" s="44"/>
      <c r="S346" s="44"/>
      <c r="T346" s="44"/>
    </row>
    <row r="347" ht="15.75" customHeight="1">
      <c r="L347" s="45"/>
      <c r="O347" s="44"/>
      <c r="P347" s="44"/>
      <c r="R347" s="44"/>
      <c r="S347" s="44"/>
      <c r="T347" s="44"/>
    </row>
    <row r="348" ht="15.75" customHeight="1">
      <c r="L348" s="45"/>
      <c r="O348" s="44"/>
      <c r="P348" s="44"/>
      <c r="R348" s="44"/>
      <c r="S348" s="44"/>
      <c r="T348" s="44"/>
    </row>
    <row r="349" ht="15.75" customHeight="1">
      <c r="L349" s="45"/>
      <c r="O349" s="44"/>
      <c r="P349" s="44"/>
      <c r="R349" s="44"/>
      <c r="S349" s="44"/>
      <c r="T349" s="44"/>
    </row>
    <row r="350" ht="15.75" customHeight="1">
      <c r="L350" s="45"/>
      <c r="O350" s="44"/>
      <c r="P350" s="44"/>
      <c r="R350" s="44"/>
      <c r="S350" s="44"/>
      <c r="T350" s="44"/>
    </row>
    <row r="351" ht="15.75" customHeight="1">
      <c r="L351" s="45"/>
      <c r="O351" s="44"/>
      <c r="P351" s="44"/>
      <c r="R351" s="44"/>
      <c r="S351" s="44"/>
      <c r="T351" s="44"/>
    </row>
    <row r="352" ht="15.75" customHeight="1">
      <c r="L352" s="45"/>
      <c r="O352" s="44"/>
      <c r="P352" s="44"/>
      <c r="R352" s="44"/>
      <c r="S352" s="44"/>
      <c r="T352" s="44"/>
    </row>
    <row r="353" ht="15.75" customHeight="1">
      <c r="L353" s="45"/>
      <c r="O353" s="44"/>
      <c r="P353" s="44"/>
      <c r="R353" s="44"/>
      <c r="S353" s="44"/>
      <c r="T353" s="44"/>
    </row>
    <row r="354" ht="15.75" customHeight="1">
      <c r="L354" s="45"/>
      <c r="O354" s="44"/>
      <c r="P354" s="44"/>
      <c r="R354" s="44"/>
      <c r="S354" s="44"/>
      <c r="T354" s="44"/>
    </row>
    <row r="355" ht="15.75" customHeight="1">
      <c r="L355" s="45"/>
      <c r="O355" s="44"/>
      <c r="P355" s="44"/>
      <c r="R355" s="44"/>
      <c r="S355" s="44"/>
      <c r="T355" s="44"/>
    </row>
    <row r="356" ht="15.75" customHeight="1">
      <c r="L356" s="45"/>
      <c r="O356" s="44"/>
      <c r="P356" s="44"/>
      <c r="R356" s="44"/>
      <c r="S356" s="44"/>
      <c r="T356" s="44"/>
    </row>
    <row r="357" ht="15.75" customHeight="1">
      <c r="L357" s="45"/>
      <c r="O357" s="44"/>
      <c r="P357" s="44"/>
      <c r="R357" s="44"/>
      <c r="S357" s="44"/>
      <c r="T357" s="44"/>
    </row>
    <row r="358" ht="15.75" customHeight="1">
      <c r="L358" s="45"/>
      <c r="O358" s="44"/>
      <c r="P358" s="44"/>
      <c r="R358" s="44"/>
      <c r="S358" s="44"/>
      <c r="T358" s="44"/>
    </row>
    <row r="359" ht="15.75" customHeight="1">
      <c r="L359" s="45"/>
      <c r="O359" s="44"/>
      <c r="P359" s="44"/>
      <c r="R359" s="44"/>
      <c r="S359" s="44"/>
      <c r="T359" s="44"/>
    </row>
    <row r="360" ht="15.75" customHeight="1">
      <c r="L360" s="45"/>
      <c r="O360" s="44"/>
      <c r="P360" s="44"/>
      <c r="R360" s="44"/>
      <c r="S360" s="44"/>
      <c r="T360" s="44"/>
    </row>
    <row r="361" ht="15.75" customHeight="1">
      <c r="L361" s="45"/>
      <c r="O361" s="44"/>
      <c r="P361" s="44"/>
      <c r="R361" s="44"/>
      <c r="S361" s="44"/>
      <c r="T361" s="44"/>
    </row>
    <row r="362" ht="15.75" customHeight="1">
      <c r="L362" s="45"/>
      <c r="O362" s="44"/>
      <c r="P362" s="44"/>
      <c r="R362" s="44"/>
      <c r="S362" s="44"/>
      <c r="T362" s="44"/>
    </row>
    <row r="363" ht="15.75" customHeight="1">
      <c r="L363" s="45"/>
      <c r="O363" s="44"/>
      <c r="P363" s="44"/>
      <c r="R363" s="44"/>
      <c r="S363" s="44"/>
      <c r="T363" s="44"/>
    </row>
    <row r="364" ht="15.75" customHeight="1">
      <c r="L364" s="45"/>
      <c r="O364" s="44"/>
      <c r="P364" s="44"/>
      <c r="R364" s="44"/>
      <c r="S364" s="44"/>
      <c r="T364" s="44"/>
    </row>
    <row r="365" ht="15.75" customHeight="1">
      <c r="L365" s="45"/>
      <c r="O365" s="44"/>
      <c r="P365" s="44"/>
      <c r="R365" s="44"/>
      <c r="S365" s="44"/>
      <c r="T365" s="44"/>
    </row>
    <row r="366" ht="15.75" customHeight="1">
      <c r="L366" s="45"/>
      <c r="O366" s="44"/>
      <c r="P366" s="44"/>
      <c r="R366" s="44"/>
      <c r="S366" s="44"/>
      <c r="T366" s="44"/>
    </row>
    <row r="367" ht="15.75" customHeight="1">
      <c r="L367" s="45"/>
      <c r="O367" s="44"/>
      <c r="P367" s="44"/>
      <c r="R367" s="44"/>
      <c r="S367" s="44"/>
      <c r="T367" s="44"/>
    </row>
    <row r="368" ht="15.75" customHeight="1">
      <c r="L368" s="45"/>
      <c r="O368" s="44"/>
      <c r="P368" s="44"/>
      <c r="R368" s="44"/>
      <c r="S368" s="44"/>
      <c r="T368" s="44"/>
    </row>
    <row r="369" ht="15.75" customHeight="1">
      <c r="L369" s="45"/>
      <c r="O369" s="44"/>
      <c r="P369" s="44"/>
      <c r="R369" s="44"/>
      <c r="S369" s="44"/>
      <c r="T369" s="44"/>
    </row>
    <row r="370" ht="15.75" customHeight="1">
      <c r="L370" s="45"/>
      <c r="O370" s="44"/>
      <c r="P370" s="44"/>
      <c r="R370" s="44"/>
      <c r="S370" s="44"/>
      <c r="T370" s="44"/>
    </row>
    <row r="371" ht="15.75" customHeight="1">
      <c r="L371" s="45"/>
      <c r="O371" s="44"/>
      <c r="P371" s="44"/>
      <c r="R371" s="44"/>
      <c r="S371" s="44"/>
      <c r="T371" s="44"/>
    </row>
    <row r="372" ht="15.75" customHeight="1">
      <c r="L372" s="45"/>
      <c r="O372" s="44"/>
      <c r="P372" s="44"/>
      <c r="R372" s="44"/>
      <c r="S372" s="44"/>
      <c r="T372" s="44"/>
    </row>
    <row r="373" ht="15.75" customHeight="1">
      <c r="L373" s="45"/>
      <c r="O373" s="44"/>
      <c r="P373" s="44"/>
      <c r="R373" s="44"/>
      <c r="S373" s="44"/>
      <c r="T373" s="44"/>
    </row>
    <row r="374" ht="15.75" customHeight="1">
      <c r="L374" s="45"/>
      <c r="O374" s="44"/>
      <c r="P374" s="44"/>
      <c r="R374" s="44"/>
      <c r="S374" s="44"/>
      <c r="T374" s="44"/>
    </row>
    <row r="375" ht="15.75" customHeight="1">
      <c r="L375" s="45"/>
      <c r="O375" s="44"/>
      <c r="P375" s="44"/>
      <c r="R375" s="44"/>
      <c r="S375" s="44"/>
      <c r="T375" s="44"/>
    </row>
    <row r="376" ht="15.75" customHeight="1">
      <c r="L376" s="45"/>
      <c r="O376" s="44"/>
      <c r="P376" s="44"/>
      <c r="R376" s="44"/>
      <c r="S376" s="44"/>
      <c r="T376" s="44"/>
    </row>
    <row r="377" ht="15.75" customHeight="1">
      <c r="L377" s="45"/>
      <c r="O377" s="44"/>
      <c r="P377" s="44"/>
      <c r="R377" s="44"/>
      <c r="S377" s="44"/>
      <c r="T377" s="44"/>
    </row>
    <row r="378" ht="15.75" customHeight="1">
      <c r="L378" s="45"/>
      <c r="O378" s="44"/>
      <c r="P378" s="44"/>
      <c r="R378" s="44"/>
      <c r="S378" s="44"/>
      <c r="T378" s="44"/>
    </row>
    <row r="379" ht="15.75" customHeight="1">
      <c r="L379" s="45"/>
      <c r="O379" s="44"/>
      <c r="P379" s="44"/>
      <c r="R379" s="44"/>
      <c r="S379" s="44"/>
      <c r="T379" s="44"/>
    </row>
    <row r="380" ht="15.75" customHeight="1">
      <c r="L380" s="45"/>
      <c r="O380" s="44"/>
      <c r="P380" s="44"/>
      <c r="R380" s="44"/>
      <c r="S380" s="44"/>
      <c r="T380" s="44"/>
    </row>
    <row r="381" ht="15.75" customHeight="1">
      <c r="L381" s="45"/>
      <c r="O381" s="44"/>
      <c r="P381" s="44"/>
      <c r="R381" s="44"/>
      <c r="S381" s="44"/>
      <c r="T381" s="44"/>
    </row>
    <row r="382" ht="15.75" customHeight="1">
      <c r="L382" s="45"/>
      <c r="O382" s="44"/>
      <c r="P382" s="44"/>
      <c r="R382" s="44"/>
      <c r="S382" s="44"/>
      <c r="T382" s="44"/>
    </row>
    <row r="383" ht="15.75" customHeight="1">
      <c r="L383" s="45"/>
      <c r="O383" s="44"/>
      <c r="P383" s="44"/>
      <c r="R383" s="44"/>
      <c r="S383" s="44"/>
      <c r="T383" s="44"/>
    </row>
    <row r="384" ht="15.75" customHeight="1">
      <c r="L384" s="45"/>
      <c r="O384" s="44"/>
      <c r="P384" s="44"/>
      <c r="R384" s="44"/>
      <c r="S384" s="44"/>
      <c r="T384" s="44"/>
    </row>
    <row r="385" ht="15.75" customHeight="1">
      <c r="L385" s="45"/>
      <c r="O385" s="44"/>
      <c r="P385" s="44"/>
      <c r="R385" s="44"/>
      <c r="S385" s="44"/>
      <c r="T385" s="44"/>
    </row>
    <row r="386" ht="15.75" customHeight="1">
      <c r="L386" s="45"/>
      <c r="O386" s="44"/>
      <c r="P386" s="44"/>
      <c r="R386" s="44"/>
      <c r="S386" s="44"/>
      <c r="T386" s="44"/>
    </row>
    <row r="387" ht="15.75" customHeight="1">
      <c r="L387" s="45"/>
      <c r="O387" s="44"/>
      <c r="P387" s="44"/>
      <c r="R387" s="44"/>
      <c r="S387" s="44"/>
      <c r="T387" s="44"/>
    </row>
    <row r="388" ht="15.75" customHeight="1">
      <c r="L388" s="45"/>
      <c r="O388" s="44"/>
      <c r="P388" s="44"/>
      <c r="R388" s="44"/>
      <c r="S388" s="44"/>
      <c r="T388" s="44"/>
    </row>
    <row r="389" ht="15.75" customHeight="1">
      <c r="L389" s="45"/>
      <c r="O389" s="44"/>
      <c r="P389" s="44"/>
      <c r="R389" s="44"/>
      <c r="S389" s="44"/>
      <c r="T389" s="44"/>
    </row>
    <row r="390" ht="15.75" customHeight="1">
      <c r="L390" s="45"/>
      <c r="O390" s="44"/>
      <c r="P390" s="44"/>
      <c r="R390" s="44"/>
      <c r="S390" s="44"/>
      <c r="T390" s="44"/>
    </row>
    <row r="391" ht="15.75" customHeight="1">
      <c r="L391" s="45"/>
      <c r="O391" s="44"/>
      <c r="P391" s="44"/>
      <c r="R391" s="44"/>
      <c r="S391" s="44"/>
      <c r="T391" s="44"/>
    </row>
    <row r="392" ht="15.75" customHeight="1">
      <c r="L392" s="45"/>
      <c r="O392" s="44"/>
      <c r="P392" s="44"/>
      <c r="R392" s="44"/>
      <c r="S392" s="44"/>
      <c r="T392" s="44"/>
    </row>
    <row r="393" ht="15.75" customHeight="1">
      <c r="L393" s="45"/>
      <c r="O393" s="44"/>
      <c r="P393" s="44"/>
      <c r="R393" s="44"/>
      <c r="S393" s="44"/>
      <c r="T393" s="44"/>
    </row>
    <row r="394" ht="15.75" customHeight="1">
      <c r="L394" s="45"/>
      <c r="O394" s="44"/>
      <c r="P394" s="44"/>
      <c r="R394" s="44"/>
      <c r="S394" s="44"/>
      <c r="T394" s="44"/>
    </row>
    <row r="395" ht="15.75" customHeight="1">
      <c r="L395" s="45"/>
      <c r="O395" s="44"/>
      <c r="P395" s="44"/>
      <c r="R395" s="44"/>
      <c r="S395" s="44"/>
      <c r="T395" s="44"/>
    </row>
    <row r="396" ht="15.75" customHeight="1">
      <c r="L396" s="45"/>
      <c r="O396" s="44"/>
      <c r="P396" s="44"/>
      <c r="R396" s="44"/>
      <c r="S396" s="44"/>
      <c r="T396" s="44"/>
    </row>
    <row r="397" ht="15.75" customHeight="1">
      <c r="L397" s="45"/>
      <c r="O397" s="44"/>
      <c r="P397" s="44"/>
      <c r="R397" s="44"/>
      <c r="S397" s="44"/>
      <c r="T397" s="44"/>
    </row>
    <row r="398" ht="15.75" customHeight="1">
      <c r="L398" s="45"/>
      <c r="O398" s="44"/>
      <c r="P398" s="44"/>
      <c r="R398" s="44"/>
      <c r="S398" s="44"/>
      <c r="T398" s="44"/>
    </row>
    <row r="399" ht="15.75" customHeight="1">
      <c r="L399" s="45"/>
      <c r="O399" s="44"/>
      <c r="P399" s="44"/>
      <c r="R399" s="44"/>
      <c r="S399" s="44"/>
      <c r="T399" s="44"/>
    </row>
    <row r="400" ht="15.75" customHeight="1">
      <c r="L400" s="45"/>
      <c r="O400" s="44"/>
      <c r="P400" s="44"/>
      <c r="R400" s="44"/>
      <c r="S400" s="44"/>
      <c r="T400" s="44"/>
    </row>
    <row r="401" ht="15.75" customHeight="1">
      <c r="L401" s="45"/>
      <c r="O401" s="44"/>
      <c r="P401" s="44"/>
      <c r="R401" s="44"/>
      <c r="S401" s="44"/>
      <c r="T401" s="44"/>
    </row>
    <row r="402" ht="15.75" customHeight="1">
      <c r="L402" s="45"/>
      <c r="O402" s="44"/>
      <c r="P402" s="44"/>
      <c r="R402" s="44"/>
      <c r="S402" s="44"/>
      <c r="T402" s="44"/>
    </row>
    <row r="403" ht="15.75" customHeight="1">
      <c r="L403" s="45"/>
      <c r="O403" s="44"/>
      <c r="P403" s="44"/>
      <c r="R403" s="44"/>
      <c r="S403" s="44"/>
      <c r="T403" s="44"/>
    </row>
    <row r="404" ht="15.75" customHeight="1">
      <c r="L404" s="45"/>
      <c r="O404" s="44"/>
      <c r="P404" s="44"/>
      <c r="R404" s="44"/>
      <c r="S404" s="44"/>
      <c r="T404" s="44"/>
    </row>
    <row r="405" ht="15.75" customHeight="1">
      <c r="L405" s="45"/>
      <c r="O405" s="44"/>
      <c r="P405" s="44"/>
      <c r="R405" s="44"/>
      <c r="S405" s="44"/>
      <c r="T405" s="44"/>
    </row>
    <row r="406" ht="15.75" customHeight="1">
      <c r="L406" s="45"/>
      <c r="O406" s="44"/>
      <c r="P406" s="44"/>
      <c r="R406" s="44"/>
      <c r="S406" s="44"/>
      <c r="T406" s="44"/>
    </row>
    <row r="407" ht="15.75" customHeight="1">
      <c r="L407" s="45"/>
      <c r="O407" s="44"/>
      <c r="P407" s="44"/>
      <c r="R407" s="44"/>
      <c r="S407" s="44"/>
      <c r="T407" s="44"/>
    </row>
    <row r="408" ht="15.75" customHeight="1">
      <c r="L408" s="45"/>
      <c r="O408" s="44"/>
      <c r="P408" s="44"/>
      <c r="R408" s="44"/>
      <c r="S408" s="44"/>
      <c r="T408" s="44"/>
    </row>
    <row r="409" ht="15.75" customHeight="1">
      <c r="L409" s="45"/>
      <c r="O409" s="44"/>
      <c r="P409" s="44"/>
      <c r="R409" s="44"/>
      <c r="S409" s="44"/>
      <c r="T409" s="44"/>
    </row>
    <row r="410" ht="15.75" customHeight="1">
      <c r="L410" s="45"/>
      <c r="O410" s="44"/>
      <c r="P410" s="44"/>
      <c r="R410" s="44"/>
      <c r="S410" s="44"/>
      <c r="T410" s="44"/>
    </row>
    <row r="411" ht="15.75" customHeight="1">
      <c r="L411" s="45"/>
      <c r="O411" s="44"/>
      <c r="P411" s="44"/>
      <c r="R411" s="44"/>
      <c r="S411" s="44"/>
      <c r="T411" s="44"/>
    </row>
    <row r="412" ht="15.75" customHeight="1">
      <c r="L412" s="45"/>
      <c r="O412" s="44"/>
      <c r="P412" s="44"/>
      <c r="R412" s="44"/>
      <c r="S412" s="44"/>
      <c r="T412" s="44"/>
    </row>
    <row r="413" ht="15.75" customHeight="1">
      <c r="L413" s="45"/>
      <c r="O413" s="44"/>
      <c r="P413" s="44"/>
      <c r="R413" s="44"/>
      <c r="S413" s="44"/>
      <c r="T413" s="44"/>
    </row>
    <row r="414" ht="15.75" customHeight="1">
      <c r="L414" s="45"/>
      <c r="O414" s="44"/>
      <c r="P414" s="44"/>
      <c r="R414" s="44"/>
      <c r="S414" s="44"/>
      <c r="T414" s="44"/>
    </row>
    <row r="415" ht="15.75" customHeight="1">
      <c r="L415" s="45"/>
      <c r="O415" s="44"/>
      <c r="P415" s="44"/>
      <c r="R415" s="44"/>
      <c r="S415" s="44"/>
      <c r="T415" s="44"/>
    </row>
    <row r="416" ht="15.75" customHeight="1">
      <c r="L416" s="45"/>
      <c r="O416" s="44"/>
      <c r="P416" s="44"/>
      <c r="R416" s="44"/>
      <c r="S416" s="44"/>
      <c r="T416" s="44"/>
    </row>
    <row r="417" ht="15.75" customHeight="1">
      <c r="L417" s="45"/>
      <c r="O417" s="44"/>
      <c r="P417" s="44"/>
      <c r="R417" s="44"/>
      <c r="S417" s="44"/>
      <c r="T417" s="44"/>
    </row>
    <row r="418" ht="15.75" customHeight="1">
      <c r="L418" s="45"/>
      <c r="O418" s="44"/>
      <c r="P418" s="44"/>
      <c r="R418" s="44"/>
      <c r="S418" s="44"/>
      <c r="T418" s="44"/>
    </row>
    <row r="419" ht="15.75" customHeight="1">
      <c r="L419" s="45"/>
      <c r="O419" s="44"/>
      <c r="P419" s="44"/>
      <c r="R419" s="44"/>
      <c r="S419" s="44"/>
      <c r="T419" s="44"/>
    </row>
    <row r="420" ht="15.75" customHeight="1">
      <c r="L420" s="45"/>
      <c r="O420" s="44"/>
      <c r="P420" s="44"/>
      <c r="R420" s="44"/>
      <c r="S420" s="44"/>
      <c r="T420" s="44"/>
    </row>
    <row r="421" ht="15.75" customHeight="1">
      <c r="L421" s="45"/>
      <c r="O421" s="44"/>
      <c r="P421" s="44"/>
      <c r="R421" s="44"/>
      <c r="S421" s="44"/>
      <c r="T421" s="44"/>
    </row>
    <row r="422" ht="15.75" customHeight="1">
      <c r="L422" s="45"/>
      <c r="O422" s="44"/>
      <c r="P422" s="44"/>
      <c r="R422" s="44"/>
      <c r="S422" s="44"/>
      <c r="T422" s="44"/>
    </row>
    <row r="423" ht="15.75" customHeight="1">
      <c r="L423" s="45"/>
      <c r="O423" s="44"/>
      <c r="P423" s="44"/>
      <c r="R423" s="44"/>
      <c r="S423" s="44"/>
      <c r="T423" s="44"/>
    </row>
    <row r="424" ht="15.75" customHeight="1">
      <c r="L424" s="45"/>
      <c r="O424" s="44"/>
      <c r="P424" s="44"/>
      <c r="R424" s="44"/>
      <c r="S424" s="44"/>
      <c r="T424" s="44"/>
    </row>
    <row r="425" ht="15.75" customHeight="1">
      <c r="L425" s="45"/>
      <c r="O425" s="44"/>
      <c r="P425" s="44"/>
      <c r="R425" s="44"/>
      <c r="S425" s="44"/>
      <c r="T425" s="44"/>
    </row>
    <row r="426" ht="15.75" customHeight="1">
      <c r="L426" s="45"/>
      <c r="O426" s="44"/>
      <c r="P426" s="44"/>
      <c r="R426" s="44"/>
      <c r="S426" s="44"/>
      <c r="T426" s="44"/>
    </row>
    <row r="427" ht="15.75" customHeight="1">
      <c r="L427" s="45"/>
      <c r="O427" s="44"/>
      <c r="P427" s="44"/>
      <c r="R427" s="44"/>
      <c r="S427" s="44"/>
      <c r="T427" s="44"/>
    </row>
    <row r="428" ht="15.75" customHeight="1">
      <c r="L428" s="45"/>
      <c r="O428" s="44"/>
      <c r="P428" s="44"/>
      <c r="R428" s="44"/>
      <c r="S428" s="44"/>
      <c r="T428" s="44"/>
    </row>
    <row r="429" ht="15.75" customHeight="1">
      <c r="L429" s="45"/>
      <c r="O429" s="44"/>
      <c r="P429" s="44"/>
      <c r="R429" s="44"/>
      <c r="S429" s="44"/>
      <c r="T429" s="44"/>
    </row>
    <row r="430" ht="15.75" customHeight="1">
      <c r="L430" s="45"/>
      <c r="O430" s="44"/>
      <c r="P430" s="44"/>
      <c r="R430" s="44"/>
      <c r="S430" s="44"/>
      <c r="T430" s="44"/>
    </row>
    <row r="431" ht="15.75" customHeight="1">
      <c r="L431" s="45"/>
      <c r="O431" s="44"/>
      <c r="P431" s="44"/>
      <c r="R431" s="44"/>
      <c r="S431" s="44"/>
      <c r="T431" s="44"/>
    </row>
    <row r="432" ht="15.75" customHeight="1">
      <c r="L432" s="45"/>
      <c r="O432" s="44"/>
      <c r="P432" s="44"/>
      <c r="R432" s="44"/>
      <c r="S432" s="44"/>
      <c r="T432" s="44"/>
    </row>
    <row r="433" ht="15.75" customHeight="1">
      <c r="L433" s="45"/>
      <c r="O433" s="44"/>
      <c r="P433" s="44"/>
      <c r="R433" s="44"/>
      <c r="S433" s="44"/>
      <c r="T433" s="44"/>
    </row>
    <row r="434" ht="15.75" customHeight="1">
      <c r="L434" s="45"/>
      <c r="O434" s="44"/>
      <c r="P434" s="44"/>
      <c r="R434" s="44"/>
      <c r="S434" s="44"/>
      <c r="T434" s="44"/>
    </row>
    <row r="435" ht="15.75" customHeight="1">
      <c r="L435" s="45"/>
      <c r="O435" s="44"/>
      <c r="P435" s="44"/>
      <c r="R435" s="44"/>
      <c r="S435" s="44"/>
      <c r="T435" s="44"/>
    </row>
    <row r="436" ht="15.75" customHeight="1">
      <c r="L436" s="45"/>
      <c r="O436" s="44"/>
      <c r="P436" s="44"/>
      <c r="R436" s="44"/>
      <c r="S436" s="44"/>
      <c r="T436" s="44"/>
    </row>
    <row r="437" ht="15.75" customHeight="1">
      <c r="L437" s="45"/>
      <c r="O437" s="44"/>
      <c r="P437" s="44"/>
      <c r="R437" s="44"/>
      <c r="S437" s="44"/>
      <c r="T437" s="44"/>
    </row>
    <row r="438" ht="15.75" customHeight="1">
      <c r="L438" s="45"/>
      <c r="O438" s="44"/>
      <c r="P438" s="44"/>
      <c r="R438" s="44"/>
      <c r="S438" s="44"/>
      <c r="T438" s="44"/>
    </row>
    <row r="439" ht="15.75" customHeight="1">
      <c r="L439" s="45"/>
      <c r="O439" s="44"/>
      <c r="P439" s="44"/>
      <c r="R439" s="44"/>
      <c r="S439" s="44"/>
      <c r="T439" s="44"/>
    </row>
    <row r="440" ht="15.75" customHeight="1">
      <c r="L440" s="45"/>
      <c r="O440" s="44"/>
      <c r="P440" s="44"/>
      <c r="R440" s="44"/>
      <c r="S440" s="44"/>
      <c r="T440" s="44"/>
    </row>
    <row r="441" ht="15.75" customHeight="1">
      <c r="L441" s="45"/>
      <c r="O441" s="44"/>
      <c r="P441" s="44"/>
      <c r="R441" s="44"/>
      <c r="S441" s="44"/>
      <c r="T441" s="44"/>
    </row>
    <row r="442" ht="15.75" customHeight="1">
      <c r="L442" s="45"/>
      <c r="O442" s="44"/>
      <c r="P442" s="44"/>
      <c r="R442" s="44"/>
      <c r="S442" s="44"/>
      <c r="T442" s="44"/>
    </row>
    <row r="443" ht="15.75" customHeight="1">
      <c r="L443" s="45"/>
      <c r="O443" s="44"/>
      <c r="P443" s="44"/>
      <c r="R443" s="44"/>
      <c r="S443" s="44"/>
      <c r="T443" s="44"/>
    </row>
    <row r="444" ht="15.75" customHeight="1">
      <c r="L444" s="45"/>
      <c r="O444" s="44"/>
      <c r="P444" s="44"/>
      <c r="R444" s="44"/>
      <c r="S444" s="44"/>
      <c r="T444" s="44"/>
    </row>
    <row r="445" ht="15.75" customHeight="1">
      <c r="L445" s="45"/>
      <c r="O445" s="44"/>
      <c r="P445" s="44"/>
      <c r="R445" s="44"/>
      <c r="S445" s="44"/>
      <c r="T445" s="44"/>
    </row>
    <row r="446" ht="15.75" customHeight="1">
      <c r="L446" s="45"/>
      <c r="O446" s="44"/>
      <c r="P446" s="44"/>
      <c r="R446" s="44"/>
      <c r="S446" s="44"/>
      <c r="T446" s="44"/>
    </row>
    <row r="447" ht="15.75" customHeight="1">
      <c r="L447" s="45"/>
      <c r="O447" s="44"/>
      <c r="P447" s="44"/>
      <c r="R447" s="44"/>
      <c r="S447" s="44"/>
      <c r="T447" s="44"/>
    </row>
    <row r="448" ht="15.75" customHeight="1">
      <c r="L448" s="45"/>
      <c r="O448" s="44"/>
      <c r="P448" s="44"/>
      <c r="R448" s="44"/>
      <c r="S448" s="44"/>
      <c r="T448" s="44"/>
    </row>
    <row r="449" ht="15.75" customHeight="1">
      <c r="L449" s="45"/>
      <c r="O449" s="44"/>
      <c r="P449" s="44"/>
      <c r="R449" s="44"/>
      <c r="S449" s="44"/>
      <c r="T449" s="44"/>
    </row>
    <row r="450" ht="15.75" customHeight="1">
      <c r="L450" s="45"/>
      <c r="O450" s="44"/>
      <c r="P450" s="44"/>
      <c r="R450" s="44"/>
      <c r="S450" s="44"/>
      <c r="T450" s="44"/>
    </row>
    <row r="451" ht="15.75" customHeight="1">
      <c r="L451" s="45"/>
      <c r="O451" s="44"/>
      <c r="P451" s="44"/>
      <c r="R451" s="44"/>
      <c r="S451" s="44"/>
      <c r="T451" s="44"/>
    </row>
    <row r="452" ht="15.75" customHeight="1">
      <c r="L452" s="45"/>
      <c r="O452" s="44"/>
      <c r="P452" s="44"/>
      <c r="R452" s="44"/>
      <c r="S452" s="44"/>
      <c r="T452" s="44"/>
    </row>
    <row r="453" ht="15.75" customHeight="1">
      <c r="L453" s="45"/>
      <c r="O453" s="44"/>
      <c r="P453" s="44"/>
      <c r="R453" s="44"/>
      <c r="S453" s="44"/>
      <c r="T453" s="44"/>
    </row>
    <row r="454" ht="15.75" customHeight="1">
      <c r="L454" s="45"/>
      <c r="O454" s="44"/>
      <c r="P454" s="44"/>
      <c r="R454" s="44"/>
      <c r="S454" s="44"/>
      <c r="T454" s="44"/>
    </row>
    <row r="455" ht="15.75" customHeight="1">
      <c r="L455" s="45"/>
      <c r="O455" s="44"/>
      <c r="P455" s="44"/>
      <c r="R455" s="44"/>
      <c r="S455" s="44"/>
      <c r="T455" s="44"/>
    </row>
    <row r="456" ht="15.75" customHeight="1">
      <c r="L456" s="45"/>
      <c r="O456" s="44"/>
      <c r="P456" s="44"/>
      <c r="R456" s="44"/>
      <c r="S456" s="44"/>
      <c r="T456" s="44"/>
    </row>
    <row r="457" ht="15.75" customHeight="1">
      <c r="L457" s="45"/>
      <c r="O457" s="44"/>
      <c r="P457" s="44"/>
      <c r="R457" s="44"/>
      <c r="S457" s="44"/>
      <c r="T457" s="44"/>
    </row>
    <row r="458" ht="15.75" customHeight="1">
      <c r="L458" s="45"/>
      <c r="O458" s="44"/>
      <c r="P458" s="44"/>
      <c r="R458" s="44"/>
      <c r="S458" s="44"/>
      <c r="T458" s="44"/>
    </row>
    <row r="459" ht="15.75" customHeight="1">
      <c r="L459" s="45"/>
      <c r="O459" s="44"/>
      <c r="P459" s="44"/>
      <c r="R459" s="44"/>
      <c r="S459" s="44"/>
      <c r="T459" s="44"/>
    </row>
    <row r="460" ht="15.75" customHeight="1">
      <c r="L460" s="45"/>
      <c r="O460" s="44"/>
      <c r="P460" s="44"/>
      <c r="R460" s="44"/>
      <c r="S460" s="44"/>
      <c r="T460" s="44"/>
    </row>
    <row r="461" ht="15.75" customHeight="1">
      <c r="L461" s="45"/>
      <c r="O461" s="44"/>
      <c r="P461" s="44"/>
      <c r="R461" s="44"/>
      <c r="S461" s="44"/>
      <c r="T461" s="44"/>
    </row>
    <row r="462" ht="15.75" customHeight="1">
      <c r="L462" s="45"/>
      <c r="O462" s="44"/>
      <c r="P462" s="44"/>
      <c r="R462" s="44"/>
      <c r="S462" s="44"/>
      <c r="T462" s="44"/>
    </row>
    <row r="463" ht="15.75" customHeight="1">
      <c r="L463" s="45"/>
      <c r="O463" s="44"/>
      <c r="P463" s="44"/>
      <c r="R463" s="44"/>
      <c r="S463" s="44"/>
      <c r="T463" s="44"/>
    </row>
    <row r="464" ht="15.75" customHeight="1">
      <c r="L464" s="45"/>
      <c r="O464" s="44"/>
      <c r="P464" s="44"/>
      <c r="R464" s="44"/>
      <c r="S464" s="44"/>
      <c r="T464" s="44"/>
    </row>
    <row r="465" ht="15.75" customHeight="1">
      <c r="L465" s="45"/>
      <c r="O465" s="44"/>
      <c r="P465" s="44"/>
      <c r="R465" s="44"/>
      <c r="S465" s="44"/>
      <c r="T465" s="44"/>
    </row>
    <row r="466" ht="15.75" customHeight="1">
      <c r="L466" s="45"/>
      <c r="O466" s="44"/>
      <c r="P466" s="44"/>
      <c r="R466" s="44"/>
      <c r="S466" s="44"/>
      <c r="T466" s="44"/>
    </row>
    <row r="467" ht="15.75" customHeight="1">
      <c r="L467" s="45"/>
      <c r="O467" s="44"/>
      <c r="P467" s="44"/>
      <c r="R467" s="44"/>
      <c r="S467" s="44"/>
      <c r="T467" s="44"/>
    </row>
    <row r="468" ht="15.75" customHeight="1">
      <c r="L468" s="45"/>
      <c r="O468" s="44"/>
      <c r="P468" s="44"/>
      <c r="R468" s="44"/>
      <c r="S468" s="44"/>
      <c r="T468" s="44"/>
    </row>
    <row r="469" ht="15.75" customHeight="1">
      <c r="L469" s="45"/>
      <c r="O469" s="44"/>
      <c r="P469" s="44"/>
      <c r="R469" s="44"/>
      <c r="S469" s="44"/>
      <c r="T469" s="44"/>
    </row>
    <row r="470" ht="15.75" customHeight="1">
      <c r="L470" s="45"/>
      <c r="O470" s="44"/>
      <c r="P470" s="44"/>
      <c r="R470" s="44"/>
      <c r="S470" s="44"/>
      <c r="T470" s="44"/>
    </row>
    <row r="471" ht="15.75" customHeight="1">
      <c r="L471" s="45"/>
      <c r="O471" s="44"/>
      <c r="P471" s="44"/>
      <c r="R471" s="44"/>
      <c r="S471" s="44"/>
      <c r="T471" s="44"/>
    </row>
    <row r="472" ht="15.75" customHeight="1">
      <c r="L472" s="45"/>
      <c r="O472" s="44"/>
      <c r="P472" s="44"/>
      <c r="R472" s="44"/>
      <c r="S472" s="44"/>
      <c r="T472" s="44"/>
    </row>
    <row r="473" ht="15.75" customHeight="1">
      <c r="L473" s="45"/>
      <c r="O473" s="44"/>
      <c r="P473" s="44"/>
      <c r="R473" s="44"/>
      <c r="S473" s="44"/>
      <c r="T473" s="44"/>
    </row>
    <row r="474" ht="15.75" customHeight="1">
      <c r="L474" s="45"/>
      <c r="O474" s="44"/>
      <c r="P474" s="44"/>
      <c r="R474" s="44"/>
      <c r="S474" s="44"/>
      <c r="T474" s="44"/>
    </row>
    <row r="475" ht="15.75" customHeight="1">
      <c r="L475" s="45"/>
      <c r="O475" s="44"/>
      <c r="P475" s="44"/>
      <c r="R475" s="44"/>
      <c r="S475" s="44"/>
      <c r="T475" s="44"/>
    </row>
    <row r="476" ht="15.75" customHeight="1">
      <c r="L476" s="45"/>
      <c r="O476" s="44"/>
      <c r="P476" s="44"/>
      <c r="R476" s="44"/>
      <c r="S476" s="44"/>
      <c r="T476" s="44"/>
    </row>
    <row r="477" ht="15.75" customHeight="1">
      <c r="L477" s="45"/>
      <c r="O477" s="44"/>
      <c r="P477" s="44"/>
      <c r="R477" s="44"/>
      <c r="S477" s="44"/>
      <c r="T477" s="44"/>
    </row>
    <row r="478" ht="15.75" customHeight="1">
      <c r="L478" s="45"/>
      <c r="O478" s="44"/>
      <c r="P478" s="44"/>
      <c r="R478" s="44"/>
      <c r="S478" s="44"/>
      <c r="T478" s="44"/>
    </row>
    <row r="479" ht="15.75" customHeight="1">
      <c r="L479" s="45"/>
      <c r="O479" s="44"/>
      <c r="P479" s="44"/>
      <c r="R479" s="44"/>
      <c r="S479" s="44"/>
      <c r="T479" s="44"/>
    </row>
    <row r="480" ht="15.75" customHeight="1">
      <c r="L480" s="45"/>
      <c r="O480" s="44"/>
      <c r="P480" s="44"/>
      <c r="R480" s="44"/>
      <c r="S480" s="44"/>
      <c r="T480" s="44"/>
    </row>
    <row r="481" ht="15.75" customHeight="1">
      <c r="L481" s="45"/>
      <c r="O481" s="44"/>
      <c r="P481" s="44"/>
      <c r="R481" s="44"/>
      <c r="S481" s="44"/>
      <c r="T481" s="44"/>
    </row>
    <row r="482" ht="15.75" customHeight="1">
      <c r="L482" s="45"/>
      <c r="O482" s="44"/>
      <c r="P482" s="44"/>
      <c r="R482" s="44"/>
      <c r="S482" s="44"/>
      <c r="T482" s="44"/>
    </row>
    <row r="483" ht="15.75" customHeight="1">
      <c r="L483" s="45"/>
      <c r="O483" s="44"/>
      <c r="P483" s="44"/>
      <c r="R483" s="44"/>
      <c r="S483" s="44"/>
      <c r="T483" s="44"/>
    </row>
    <row r="484" ht="15.75" customHeight="1">
      <c r="L484" s="45"/>
      <c r="O484" s="44"/>
      <c r="P484" s="44"/>
      <c r="R484" s="44"/>
      <c r="S484" s="44"/>
      <c r="T484" s="44"/>
    </row>
    <row r="485" ht="15.75" customHeight="1">
      <c r="L485" s="45"/>
      <c r="O485" s="44"/>
      <c r="P485" s="44"/>
      <c r="R485" s="44"/>
      <c r="S485" s="44"/>
      <c r="T485" s="44"/>
    </row>
    <row r="486" ht="15.75" customHeight="1">
      <c r="L486" s="45"/>
      <c r="O486" s="44"/>
      <c r="P486" s="44"/>
      <c r="R486" s="44"/>
      <c r="S486" s="44"/>
      <c r="T486" s="44"/>
    </row>
    <row r="487" ht="15.75" customHeight="1">
      <c r="L487" s="45"/>
      <c r="O487" s="44"/>
      <c r="P487" s="44"/>
      <c r="R487" s="44"/>
      <c r="S487" s="44"/>
      <c r="T487" s="44"/>
    </row>
    <row r="488" ht="15.75" customHeight="1">
      <c r="L488" s="45"/>
      <c r="O488" s="44"/>
      <c r="P488" s="44"/>
      <c r="R488" s="44"/>
      <c r="S488" s="44"/>
      <c r="T488" s="44"/>
    </row>
    <row r="489" ht="15.75" customHeight="1">
      <c r="L489" s="45"/>
      <c r="O489" s="44"/>
      <c r="P489" s="44"/>
      <c r="R489" s="44"/>
      <c r="S489" s="44"/>
      <c r="T489" s="44"/>
    </row>
    <row r="490" ht="15.75" customHeight="1">
      <c r="L490" s="45"/>
      <c r="O490" s="44"/>
      <c r="P490" s="44"/>
      <c r="R490" s="44"/>
      <c r="S490" s="44"/>
      <c r="T490" s="44"/>
    </row>
    <row r="491" ht="15.75" customHeight="1">
      <c r="L491" s="45"/>
      <c r="O491" s="44"/>
      <c r="P491" s="44"/>
      <c r="R491" s="44"/>
      <c r="S491" s="44"/>
      <c r="T491" s="44"/>
    </row>
    <row r="492" ht="15.75" customHeight="1">
      <c r="L492" s="45"/>
      <c r="O492" s="44"/>
      <c r="P492" s="44"/>
      <c r="R492" s="44"/>
      <c r="S492" s="44"/>
      <c r="T492" s="44"/>
    </row>
    <row r="493" ht="15.75" customHeight="1">
      <c r="L493" s="45"/>
      <c r="O493" s="44"/>
      <c r="P493" s="44"/>
      <c r="R493" s="44"/>
      <c r="S493" s="44"/>
      <c r="T493" s="44"/>
    </row>
    <row r="494" ht="15.75" customHeight="1">
      <c r="L494" s="45"/>
      <c r="O494" s="44"/>
      <c r="P494" s="44"/>
      <c r="R494" s="44"/>
      <c r="S494" s="44"/>
      <c r="T494" s="44"/>
    </row>
    <row r="495" ht="15.75" customHeight="1">
      <c r="L495" s="45"/>
      <c r="O495" s="44"/>
      <c r="P495" s="44"/>
      <c r="R495" s="44"/>
      <c r="S495" s="44"/>
      <c r="T495" s="44"/>
    </row>
    <row r="496" ht="15.75" customHeight="1">
      <c r="L496" s="45"/>
      <c r="O496" s="44"/>
      <c r="P496" s="44"/>
      <c r="R496" s="44"/>
      <c r="S496" s="44"/>
      <c r="T496" s="44"/>
    </row>
    <row r="497" ht="15.75" customHeight="1">
      <c r="L497" s="45"/>
      <c r="O497" s="44"/>
      <c r="P497" s="44"/>
      <c r="R497" s="44"/>
      <c r="S497" s="44"/>
      <c r="T497" s="44"/>
    </row>
    <row r="498" ht="15.75" customHeight="1">
      <c r="L498" s="45"/>
      <c r="O498" s="44"/>
      <c r="P498" s="44"/>
      <c r="R498" s="44"/>
      <c r="S498" s="44"/>
      <c r="T498" s="44"/>
    </row>
    <row r="499" ht="15.75" customHeight="1">
      <c r="L499" s="45"/>
      <c r="O499" s="44"/>
      <c r="P499" s="44"/>
      <c r="R499" s="44"/>
      <c r="S499" s="44"/>
      <c r="T499" s="44"/>
    </row>
    <row r="500" ht="15.75" customHeight="1">
      <c r="L500" s="45"/>
      <c r="O500" s="44"/>
      <c r="P500" s="44"/>
      <c r="R500" s="44"/>
      <c r="S500" s="44"/>
      <c r="T500" s="44"/>
    </row>
    <row r="501" ht="15.75" customHeight="1">
      <c r="L501" s="45"/>
      <c r="O501" s="44"/>
      <c r="P501" s="44"/>
      <c r="R501" s="44"/>
      <c r="S501" s="44"/>
      <c r="T501" s="44"/>
    </row>
    <row r="502" ht="15.75" customHeight="1">
      <c r="L502" s="45"/>
      <c r="O502" s="44"/>
      <c r="P502" s="44"/>
      <c r="R502" s="44"/>
      <c r="S502" s="44"/>
      <c r="T502" s="44"/>
    </row>
    <row r="503" ht="15.75" customHeight="1">
      <c r="L503" s="45"/>
      <c r="O503" s="44"/>
      <c r="P503" s="44"/>
      <c r="R503" s="44"/>
      <c r="S503" s="44"/>
      <c r="T503" s="44"/>
    </row>
    <row r="504" ht="15.75" customHeight="1">
      <c r="L504" s="45"/>
      <c r="O504" s="44"/>
      <c r="P504" s="44"/>
      <c r="R504" s="44"/>
      <c r="S504" s="44"/>
      <c r="T504" s="44"/>
    </row>
    <row r="505" ht="15.75" customHeight="1">
      <c r="L505" s="45"/>
      <c r="O505" s="44"/>
      <c r="P505" s="44"/>
      <c r="R505" s="44"/>
      <c r="S505" s="44"/>
      <c r="T505" s="44"/>
    </row>
    <row r="506" ht="15.75" customHeight="1">
      <c r="L506" s="45"/>
      <c r="O506" s="44"/>
      <c r="P506" s="44"/>
      <c r="R506" s="44"/>
      <c r="S506" s="44"/>
      <c r="T506" s="44"/>
    </row>
    <row r="507" ht="15.75" customHeight="1">
      <c r="L507" s="45"/>
      <c r="O507" s="44"/>
      <c r="P507" s="44"/>
      <c r="R507" s="44"/>
      <c r="S507" s="44"/>
      <c r="T507" s="44"/>
    </row>
    <row r="508" ht="15.75" customHeight="1">
      <c r="L508" s="45"/>
      <c r="O508" s="44"/>
      <c r="P508" s="44"/>
      <c r="R508" s="44"/>
      <c r="S508" s="44"/>
      <c r="T508" s="44"/>
    </row>
    <row r="509" ht="15.75" customHeight="1">
      <c r="L509" s="45"/>
      <c r="O509" s="44"/>
      <c r="P509" s="44"/>
      <c r="R509" s="44"/>
      <c r="S509" s="44"/>
      <c r="T509" s="44"/>
    </row>
    <row r="510" ht="15.75" customHeight="1">
      <c r="L510" s="45"/>
      <c r="O510" s="44"/>
      <c r="P510" s="44"/>
      <c r="R510" s="44"/>
      <c r="S510" s="44"/>
      <c r="T510" s="44"/>
    </row>
    <row r="511" ht="15.75" customHeight="1">
      <c r="L511" s="45"/>
      <c r="O511" s="44"/>
      <c r="P511" s="44"/>
      <c r="R511" s="44"/>
      <c r="S511" s="44"/>
      <c r="T511" s="44"/>
    </row>
    <row r="512" ht="15.75" customHeight="1">
      <c r="L512" s="45"/>
      <c r="O512" s="44"/>
      <c r="P512" s="44"/>
      <c r="R512" s="44"/>
      <c r="S512" s="44"/>
      <c r="T512" s="44"/>
    </row>
    <row r="513" ht="15.75" customHeight="1">
      <c r="L513" s="45"/>
      <c r="O513" s="44"/>
      <c r="P513" s="44"/>
      <c r="R513" s="44"/>
      <c r="S513" s="44"/>
      <c r="T513" s="44"/>
    </row>
    <row r="514" ht="15.75" customHeight="1">
      <c r="L514" s="45"/>
      <c r="O514" s="44"/>
      <c r="P514" s="44"/>
      <c r="R514" s="44"/>
      <c r="S514" s="44"/>
      <c r="T514" s="44"/>
    </row>
    <row r="515" ht="15.75" customHeight="1">
      <c r="L515" s="45"/>
      <c r="O515" s="44"/>
      <c r="P515" s="44"/>
      <c r="R515" s="44"/>
      <c r="S515" s="44"/>
      <c r="T515" s="44"/>
    </row>
    <row r="516" ht="15.75" customHeight="1">
      <c r="L516" s="45"/>
      <c r="O516" s="44"/>
      <c r="P516" s="44"/>
      <c r="R516" s="44"/>
      <c r="S516" s="44"/>
      <c r="T516" s="44"/>
    </row>
    <row r="517" ht="15.75" customHeight="1">
      <c r="L517" s="45"/>
      <c r="O517" s="44"/>
      <c r="P517" s="44"/>
      <c r="R517" s="44"/>
      <c r="S517" s="44"/>
      <c r="T517" s="44"/>
    </row>
    <row r="518" ht="15.75" customHeight="1">
      <c r="L518" s="45"/>
      <c r="O518" s="44"/>
      <c r="P518" s="44"/>
      <c r="R518" s="44"/>
      <c r="S518" s="44"/>
      <c r="T518" s="44"/>
    </row>
    <row r="519" ht="15.75" customHeight="1">
      <c r="L519" s="45"/>
      <c r="O519" s="44"/>
      <c r="P519" s="44"/>
      <c r="R519" s="44"/>
      <c r="S519" s="44"/>
      <c r="T519" s="44"/>
    </row>
    <row r="520" ht="15.75" customHeight="1">
      <c r="L520" s="45"/>
      <c r="O520" s="44"/>
      <c r="P520" s="44"/>
      <c r="R520" s="44"/>
      <c r="S520" s="44"/>
      <c r="T520" s="44"/>
    </row>
    <row r="521" ht="15.75" customHeight="1">
      <c r="L521" s="45"/>
      <c r="O521" s="44"/>
      <c r="P521" s="44"/>
      <c r="R521" s="44"/>
      <c r="S521" s="44"/>
      <c r="T521" s="44"/>
    </row>
    <row r="522" ht="15.75" customHeight="1">
      <c r="L522" s="45"/>
      <c r="O522" s="44"/>
      <c r="P522" s="44"/>
      <c r="R522" s="44"/>
      <c r="S522" s="44"/>
      <c r="T522" s="44"/>
    </row>
    <row r="523" ht="15.75" customHeight="1">
      <c r="L523" s="45"/>
      <c r="O523" s="44"/>
      <c r="P523" s="44"/>
      <c r="R523" s="44"/>
      <c r="S523" s="44"/>
      <c r="T523" s="44"/>
    </row>
    <row r="524" ht="15.75" customHeight="1">
      <c r="L524" s="45"/>
      <c r="O524" s="44"/>
      <c r="P524" s="44"/>
      <c r="R524" s="44"/>
      <c r="S524" s="44"/>
      <c r="T524" s="44"/>
    </row>
    <row r="525" ht="15.75" customHeight="1">
      <c r="L525" s="45"/>
      <c r="O525" s="44"/>
      <c r="P525" s="44"/>
      <c r="R525" s="44"/>
      <c r="S525" s="44"/>
      <c r="T525" s="44"/>
    </row>
    <row r="526" ht="15.75" customHeight="1">
      <c r="L526" s="45"/>
      <c r="O526" s="44"/>
      <c r="P526" s="44"/>
      <c r="R526" s="44"/>
      <c r="S526" s="44"/>
      <c r="T526" s="44"/>
    </row>
    <row r="527" ht="15.75" customHeight="1">
      <c r="L527" s="45"/>
      <c r="O527" s="44"/>
      <c r="P527" s="44"/>
      <c r="R527" s="44"/>
      <c r="S527" s="44"/>
      <c r="T527" s="44"/>
    </row>
    <row r="528" ht="15.75" customHeight="1">
      <c r="L528" s="45"/>
      <c r="O528" s="44"/>
      <c r="P528" s="44"/>
      <c r="R528" s="44"/>
      <c r="S528" s="44"/>
      <c r="T528" s="44"/>
    </row>
    <row r="529" ht="15.75" customHeight="1">
      <c r="L529" s="45"/>
      <c r="O529" s="44"/>
      <c r="P529" s="44"/>
      <c r="R529" s="44"/>
      <c r="S529" s="44"/>
      <c r="T529" s="44"/>
    </row>
    <row r="530" ht="15.75" customHeight="1">
      <c r="L530" s="45"/>
      <c r="O530" s="44"/>
      <c r="P530" s="44"/>
      <c r="R530" s="44"/>
      <c r="S530" s="44"/>
      <c r="T530" s="44"/>
    </row>
    <row r="531" ht="15.75" customHeight="1">
      <c r="L531" s="45"/>
      <c r="O531" s="44"/>
      <c r="P531" s="44"/>
      <c r="R531" s="44"/>
      <c r="S531" s="44"/>
      <c r="T531" s="44"/>
    </row>
    <row r="532" ht="15.75" customHeight="1">
      <c r="L532" s="45"/>
      <c r="O532" s="44"/>
      <c r="P532" s="44"/>
      <c r="R532" s="44"/>
      <c r="S532" s="44"/>
      <c r="T532" s="44"/>
    </row>
    <row r="533" ht="15.75" customHeight="1">
      <c r="L533" s="45"/>
      <c r="O533" s="44"/>
      <c r="P533" s="44"/>
      <c r="R533" s="44"/>
      <c r="S533" s="44"/>
      <c r="T533" s="44"/>
    </row>
    <row r="534" ht="15.75" customHeight="1">
      <c r="L534" s="45"/>
      <c r="O534" s="44"/>
      <c r="P534" s="44"/>
      <c r="R534" s="44"/>
      <c r="S534" s="44"/>
      <c r="T534" s="44"/>
    </row>
    <row r="535" ht="15.75" customHeight="1">
      <c r="L535" s="45"/>
      <c r="O535" s="44"/>
      <c r="P535" s="44"/>
      <c r="R535" s="44"/>
      <c r="S535" s="44"/>
      <c r="T535" s="44"/>
    </row>
    <row r="536" ht="15.75" customHeight="1">
      <c r="L536" s="45"/>
      <c r="O536" s="44"/>
      <c r="P536" s="44"/>
      <c r="R536" s="44"/>
      <c r="S536" s="44"/>
      <c r="T536" s="44"/>
    </row>
    <row r="537" ht="15.75" customHeight="1">
      <c r="L537" s="45"/>
      <c r="O537" s="44"/>
      <c r="P537" s="44"/>
      <c r="R537" s="44"/>
      <c r="S537" s="44"/>
      <c r="T537" s="44"/>
    </row>
    <row r="538" ht="15.75" customHeight="1">
      <c r="L538" s="45"/>
      <c r="O538" s="44"/>
      <c r="P538" s="44"/>
      <c r="R538" s="44"/>
      <c r="S538" s="44"/>
      <c r="T538" s="44"/>
    </row>
    <row r="539" ht="15.75" customHeight="1">
      <c r="L539" s="45"/>
      <c r="O539" s="44"/>
      <c r="P539" s="44"/>
      <c r="R539" s="44"/>
      <c r="S539" s="44"/>
      <c r="T539" s="44"/>
    </row>
    <row r="540" ht="15.75" customHeight="1">
      <c r="L540" s="45"/>
      <c r="O540" s="44"/>
      <c r="P540" s="44"/>
      <c r="R540" s="44"/>
      <c r="S540" s="44"/>
      <c r="T540" s="44"/>
    </row>
    <row r="541" ht="15.75" customHeight="1">
      <c r="L541" s="45"/>
      <c r="O541" s="44"/>
      <c r="P541" s="44"/>
      <c r="R541" s="44"/>
      <c r="S541" s="44"/>
      <c r="T541" s="44"/>
    </row>
    <row r="542" ht="15.75" customHeight="1">
      <c r="L542" s="45"/>
      <c r="O542" s="44"/>
      <c r="P542" s="44"/>
      <c r="R542" s="44"/>
      <c r="S542" s="44"/>
      <c r="T542" s="44"/>
    </row>
    <row r="543" ht="15.75" customHeight="1">
      <c r="L543" s="45"/>
      <c r="O543" s="44"/>
      <c r="P543" s="44"/>
      <c r="R543" s="44"/>
      <c r="S543" s="44"/>
      <c r="T543" s="44"/>
    </row>
    <row r="544" ht="15.75" customHeight="1">
      <c r="L544" s="45"/>
      <c r="O544" s="44"/>
      <c r="P544" s="44"/>
      <c r="R544" s="44"/>
      <c r="S544" s="44"/>
      <c r="T544" s="44"/>
    </row>
    <row r="545" ht="15.75" customHeight="1">
      <c r="L545" s="45"/>
      <c r="O545" s="44"/>
      <c r="P545" s="44"/>
      <c r="R545" s="44"/>
      <c r="S545" s="44"/>
      <c r="T545" s="44"/>
    </row>
    <row r="546" ht="15.75" customHeight="1">
      <c r="L546" s="45"/>
      <c r="O546" s="44"/>
      <c r="P546" s="44"/>
      <c r="R546" s="44"/>
      <c r="S546" s="44"/>
      <c r="T546" s="44"/>
    </row>
    <row r="547" ht="15.75" customHeight="1">
      <c r="L547" s="45"/>
      <c r="O547" s="44"/>
      <c r="P547" s="44"/>
      <c r="R547" s="44"/>
      <c r="S547" s="44"/>
      <c r="T547" s="44"/>
    </row>
    <row r="548" ht="15.75" customHeight="1">
      <c r="L548" s="45"/>
      <c r="O548" s="44"/>
      <c r="P548" s="44"/>
      <c r="R548" s="44"/>
      <c r="S548" s="44"/>
      <c r="T548" s="44"/>
    </row>
    <row r="549" ht="15.75" customHeight="1">
      <c r="L549" s="45"/>
      <c r="O549" s="44"/>
      <c r="P549" s="44"/>
      <c r="R549" s="44"/>
      <c r="S549" s="44"/>
      <c r="T549" s="44"/>
    </row>
    <row r="550" ht="15.75" customHeight="1">
      <c r="L550" s="45"/>
      <c r="O550" s="44"/>
      <c r="P550" s="44"/>
      <c r="R550" s="44"/>
      <c r="S550" s="44"/>
      <c r="T550" s="44"/>
    </row>
    <row r="551" ht="15.75" customHeight="1">
      <c r="L551" s="45"/>
      <c r="O551" s="44"/>
      <c r="P551" s="44"/>
      <c r="R551" s="44"/>
      <c r="S551" s="44"/>
      <c r="T551" s="44"/>
    </row>
    <row r="552" ht="15.75" customHeight="1">
      <c r="L552" s="45"/>
      <c r="O552" s="44"/>
      <c r="P552" s="44"/>
      <c r="R552" s="44"/>
      <c r="S552" s="44"/>
      <c r="T552" s="44"/>
    </row>
    <row r="553" ht="15.75" customHeight="1">
      <c r="L553" s="45"/>
      <c r="O553" s="44"/>
      <c r="P553" s="44"/>
      <c r="R553" s="44"/>
      <c r="S553" s="44"/>
      <c r="T553" s="44"/>
    </row>
    <row r="554" ht="15.75" customHeight="1">
      <c r="L554" s="45"/>
      <c r="O554" s="44"/>
      <c r="P554" s="44"/>
      <c r="R554" s="44"/>
      <c r="S554" s="44"/>
      <c r="T554" s="44"/>
    </row>
    <row r="555" ht="15.75" customHeight="1">
      <c r="L555" s="45"/>
      <c r="O555" s="44"/>
      <c r="P555" s="44"/>
      <c r="R555" s="44"/>
      <c r="S555" s="44"/>
      <c r="T555" s="44"/>
    </row>
    <row r="556" ht="15.75" customHeight="1">
      <c r="L556" s="45"/>
      <c r="O556" s="44"/>
      <c r="P556" s="44"/>
      <c r="R556" s="44"/>
      <c r="S556" s="44"/>
      <c r="T556" s="44"/>
    </row>
    <row r="557" ht="15.75" customHeight="1">
      <c r="L557" s="45"/>
      <c r="O557" s="44"/>
      <c r="P557" s="44"/>
      <c r="R557" s="44"/>
      <c r="S557" s="44"/>
      <c r="T557" s="44"/>
    </row>
    <row r="558" ht="15.75" customHeight="1">
      <c r="L558" s="45"/>
      <c r="O558" s="44"/>
      <c r="P558" s="44"/>
      <c r="R558" s="44"/>
      <c r="S558" s="44"/>
      <c r="T558" s="44"/>
    </row>
    <row r="559" ht="15.75" customHeight="1">
      <c r="L559" s="45"/>
      <c r="O559" s="44"/>
      <c r="P559" s="44"/>
      <c r="R559" s="44"/>
      <c r="S559" s="44"/>
      <c r="T559" s="44"/>
    </row>
    <row r="560" ht="15.75" customHeight="1">
      <c r="L560" s="45"/>
      <c r="O560" s="44"/>
      <c r="P560" s="44"/>
      <c r="R560" s="44"/>
      <c r="S560" s="44"/>
      <c r="T560" s="44"/>
    </row>
    <row r="561" ht="15.75" customHeight="1">
      <c r="L561" s="45"/>
      <c r="O561" s="44"/>
      <c r="P561" s="44"/>
      <c r="R561" s="44"/>
      <c r="S561" s="44"/>
      <c r="T561" s="44"/>
    </row>
    <row r="562" ht="15.75" customHeight="1">
      <c r="L562" s="45"/>
      <c r="O562" s="44"/>
      <c r="P562" s="44"/>
      <c r="R562" s="44"/>
      <c r="S562" s="44"/>
      <c r="T562" s="44"/>
    </row>
    <row r="563" ht="15.75" customHeight="1">
      <c r="L563" s="45"/>
      <c r="O563" s="44"/>
      <c r="P563" s="44"/>
      <c r="R563" s="44"/>
      <c r="S563" s="44"/>
      <c r="T563" s="44"/>
    </row>
    <row r="564" ht="15.75" customHeight="1">
      <c r="L564" s="45"/>
      <c r="O564" s="44"/>
      <c r="P564" s="44"/>
      <c r="R564" s="44"/>
      <c r="S564" s="44"/>
      <c r="T564" s="44"/>
    </row>
    <row r="565" ht="15.75" customHeight="1">
      <c r="L565" s="45"/>
      <c r="O565" s="44"/>
      <c r="P565" s="44"/>
      <c r="R565" s="44"/>
      <c r="S565" s="44"/>
      <c r="T565" s="44"/>
    </row>
    <row r="566" ht="15.75" customHeight="1">
      <c r="L566" s="45"/>
      <c r="O566" s="44"/>
      <c r="P566" s="44"/>
      <c r="R566" s="44"/>
      <c r="S566" s="44"/>
      <c r="T566" s="44"/>
    </row>
    <row r="567" ht="15.75" customHeight="1">
      <c r="L567" s="45"/>
      <c r="O567" s="44"/>
      <c r="P567" s="44"/>
      <c r="R567" s="44"/>
      <c r="S567" s="44"/>
      <c r="T567" s="44"/>
    </row>
    <row r="568" ht="15.75" customHeight="1">
      <c r="L568" s="45"/>
      <c r="O568" s="44"/>
      <c r="P568" s="44"/>
      <c r="R568" s="44"/>
      <c r="S568" s="44"/>
      <c r="T568" s="44"/>
    </row>
    <row r="569" ht="15.75" customHeight="1">
      <c r="L569" s="45"/>
      <c r="O569" s="44"/>
      <c r="P569" s="44"/>
      <c r="R569" s="44"/>
      <c r="S569" s="44"/>
      <c r="T569" s="44"/>
    </row>
    <row r="570" ht="15.75" customHeight="1">
      <c r="L570" s="45"/>
      <c r="O570" s="44"/>
      <c r="P570" s="44"/>
      <c r="R570" s="44"/>
      <c r="S570" s="44"/>
      <c r="T570" s="44"/>
    </row>
    <row r="571" ht="15.75" customHeight="1">
      <c r="L571" s="45"/>
      <c r="O571" s="44"/>
      <c r="P571" s="44"/>
      <c r="R571" s="44"/>
      <c r="S571" s="44"/>
      <c r="T571" s="44"/>
    </row>
    <row r="572" ht="15.75" customHeight="1">
      <c r="L572" s="45"/>
      <c r="O572" s="44"/>
      <c r="P572" s="44"/>
      <c r="R572" s="44"/>
      <c r="S572" s="44"/>
      <c r="T572" s="44"/>
    </row>
    <row r="573" ht="15.75" customHeight="1">
      <c r="L573" s="45"/>
      <c r="O573" s="44"/>
      <c r="P573" s="44"/>
      <c r="R573" s="44"/>
      <c r="S573" s="44"/>
      <c r="T573" s="44"/>
    </row>
    <row r="574" ht="15.75" customHeight="1">
      <c r="L574" s="45"/>
      <c r="O574" s="44"/>
      <c r="P574" s="44"/>
      <c r="R574" s="44"/>
      <c r="S574" s="44"/>
      <c r="T574" s="44"/>
    </row>
    <row r="575" ht="15.75" customHeight="1">
      <c r="L575" s="45"/>
      <c r="O575" s="44"/>
      <c r="P575" s="44"/>
      <c r="R575" s="44"/>
      <c r="S575" s="44"/>
      <c r="T575" s="44"/>
    </row>
    <row r="576" ht="15.75" customHeight="1">
      <c r="L576" s="45"/>
      <c r="O576" s="44"/>
      <c r="P576" s="44"/>
      <c r="R576" s="44"/>
      <c r="S576" s="44"/>
      <c r="T576" s="44"/>
    </row>
    <row r="577" ht="15.75" customHeight="1">
      <c r="L577" s="45"/>
      <c r="O577" s="44"/>
      <c r="P577" s="44"/>
      <c r="R577" s="44"/>
      <c r="S577" s="44"/>
      <c r="T577" s="44"/>
    </row>
    <row r="578" ht="15.75" customHeight="1">
      <c r="L578" s="45"/>
      <c r="O578" s="44"/>
      <c r="P578" s="44"/>
      <c r="R578" s="44"/>
      <c r="S578" s="44"/>
      <c r="T578" s="44"/>
    </row>
    <row r="579" ht="15.75" customHeight="1">
      <c r="L579" s="45"/>
      <c r="O579" s="44"/>
      <c r="P579" s="44"/>
      <c r="R579" s="44"/>
      <c r="S579" s="44"/>
      <c r="T579" s="44"/>
    </row>
    <row r="580" ht="15.75" customHeight="1">
      <c r="L580" s="45"/>
      <c r="O580" s="44"/>
      <c r="P580" s="44"/>
      <c r="R580" s="44"/>
      <c r="S580" s="44"/>
      <c r="T580" s="44"/>
    </row>
    <row r="581" ht="15.75" customHeight="1">
      <c r="L581" s="45"/>
      <c r="O581" s="44"/>
      <c r="P581" s="44"/>
      <c r="R581" s="44"/>
      <c r="S581" s="44"/>
      <c r="T581" s="44"/>
    </row>
    <row r="582" ht="15.75" customHeight="1">
      <c r="L582" s="45"/>
      <c r="O582" s="44"/>
      <c r="P582" s="44"/>
      <c r="R582" s="44"/>
      <c r="S582" s="44"/>
      <c r="T582" s="44"/>
    </row>
    <row r="583" ht="15.75" customHeight="1">
      <c r="L583" s="45"/>
      <c r="O583" s="44"/>
      <c r="P583" s="44"/>
      <c r="R583" s="44"/>
      <c r="S583" s="44"/>
      <c r="T583" s="44"/>
    </row>
    <row r="584" ht="15.75" customHeight="1">
      <c r="L584" s="45"/>
      <c r="O584" s="44"/>
      <c r="P584" s="44"/>
      <c r="R584" s="44"/>
      <c r="S584" s="44"/>
      <c r="T584" s="44"/>
    </row>
    <row r="585" ht="15.75" customHeight="1">
      <c r="L585" s="45"/>
      <c r="O585" s="44"/>
      <c r="P585" s="44"/>
      <c r="R585" s="44"/>
      <c r="S585" s="44"/>
      <c r="T585" s="44"/>
    </row>
    <row r="586" ht="15.75" customHeight="1">
      <c r="L586" s="45"/>
      <c r="O586" s="44"/>
      <c r="P586" s="44"/>
      <c r="R586" s="44"/>
      <c r="S586" s="44"/>
      <c r="T586" s="44"/>
    </row>
    <row r="587" ht="15.75" customHeight="1">
      <c r="L587" s="45"/>
      <c r="O587" s="44"/>
      <c r="P587" s="44"/>
      <c r="R587" s="44"/>
      <c r="S587" s="44"/>
      <c r="T587" s="44"/>
    </row>
    <row r="588" ht="15.75" customHeight="1">
      <c r="L588" s="45"/>
      <c r="O588" s="44"/>
      <c r="P588" s="44"/>
      <c r="R588" s="44"/>
      <c r="S588" s="44"/>
      <c r="T588" s="44"/>
    </row>
    <row r="589" ht="15.75" customHeight="1">
      <c r="L589" s="45"/>
      <c r="O589" s="44"/>
      <c r="P589" s="44"/>
      <c r="R589" s="44"/>
      <c r="S589" s="44"/>
      <c r="T589" s="44"/>
    </row>
    <row r="590" ht="15.75" customHeight="1">
      <c r="L590" s="45"/>
      <c r="O590" s="44"/>
      <c r="P590" s="44"/>
      <c r="R590" s="44"/>
      <c r="S590" s="44"/>
      <c r="T590" s="44"/>
    </row>
    <row r="591" ht="15.75" customHeight="1">
      <c r="L591" s="45"/>
      <c r="O591" s="44"/>
      <c r="P591" s="44"/>
      <c r="R591" s="44"/>
      <c r="S591" s="44"/>
      <c r="T591" s="44"/>
    </row>
    <row r="592" ht="15.75" customHeight="1">
      <c r="L592" s="45"/>
      <c r="O592" s="44"/>
      <c r="P592" s="44"/>
      <c r="R592" s="44"/>
      <c r="S592" s="44"/>
      <c r="T592" s="44"/>
    </row>
    <row r="593" ht="15.75" customHeight="1">
      <c r="L593" s="45"/>
      <c r="O593" s="44"/>
      <c r="P593" s="44"/>
      <c r="R593" s="44"/>
      <c r="S593" s="44"/>
      <c r="T593" s="44"/>
    </row>
    <row r="594" ht="15.75" customHeight="1">
      <c r="L594" s="45"/>
      <c r="O594" s="44"/>
      <c r="P594" s="44"/>
      <c r="R594" s="44"/>
      <c r="S594" s="44"/>
      <c r="T594" s="44"/>
    </row>
    <row r="595" ht="15.75" customHeight="1">
      <c r="L595" s="45"/>
      <c r="O595" s="44"/>
      <c r="P595" s="44"/>
      <c r="R595" s="44"/>
      <c r="S595" s="44"/>
      <c r="T595" s="44"/>
    </row>
    <row r="596" ht="15.75" customHeight="1">
      <c r="L596" s="45"/>
      <c r="O596" s="44"/>
      <c r="P596" s="44"/>
      <c r="R596" s="44"/>
      <c r="S596" s="44"/>
      <c r="T596" s="44"/>
    </row>
    <row r="597" ht="15.75" customHeight="1">
      <c r="L597" s="45"/>
      <c r="O597" s="44"/>
      <c r="P597" s="44"/>
      <c r="R597" s="44"/>
      <c r="S597" s="44"/>
      <c r="T597" s="44"/>
    </row>
    <row r="598" ht="15.75" customHeight="1">
      <c r="L598" s="45"/>
      <c r="O598" s="44"/>
      <c r="P598" s="44"/>
      <c r="R598" s="44"/>
      <c r="S598" s="44"/>
      <c r="T598" s="44"/>
    </row>
    <row r="599" ht="15.75" customHeight="1">
      <c r="L599" s="45"/>
      <c r="O599" s="44"/>
      <c r="P599" s="44"/>
      <c r="R599" s="44"/>
      <c r="S599" s="44"/>
      <c r="T599" s="44"/>
    </row>
    <row r="600" ht="15.75" customHeight="1">
      <c r="L600" s="45"/>
      <c r="O600" s="44"/>
      <c r="P600" s="44"/>
      <c r="R600" s="44"/>
      <c r="S600" s="44"/>
      <c r="T600" s="44"/>
    </row>
    <row r="601" ht="15.75" customHeight="1">
      <c r="L601" s="45"/>
      <c r="O601" s="44"/>
      <c r="P601" s="44"/>
      <c r="R601" s="44"/>
      <c r="S601" s="44"/>
      <c r="T601" s="44"/>
    </row>
    <row r="602" ht="15.75" customHeight="1">
      <c r="L602" s="45"/>
      <c r="O602" s="44"/>
      <c r="P602" s="44"/>
      <c r="R602" s="44"/>
      <c r="S602" s="44"/>
      <c r="T602" s="44"/>
    </row>
    <row r="603" ht="15.75" customHeight="1">
      <c r="L603" s="45"/>
      <c r="O603" s="44"/>
      <c r="P603" s="44"/>
      <c r="R603" s="44"/>
      <c r="S603" s="44"/>
      <c r="T603" s="44"/>
    </row>
    <row r="604" ht="15.75" customHeight="1">
      <c r="L604" s="45"/>
      <c r="O604" s="44"/>
      <c r="P604" s="44"/>
      <c r="R604" s="44"/>
      <c r="S604" s="44"/>
      <c r="T604" s="44"/>
    </row>
    <row r="605" ht="15.75" customHeight="1">
      <c r="L605" s="45"/>
      <c r="O605" s="44"/>
      <c r="P605" s="44"/>
      <c r="R605" s="44"/>
      <c r="S605" s="44"/>
      <c r="T605" s="44"/>
    </row>
    <row r="606" ht="15.75" customHeight="1">
      <c r="L606" s="45"/>
      <c r="O606" s="44"/>
      <c r="P606" s="44"/>
      <c r="R606" s="44"/>
      <c r="S606" s="44"/>
      <c r="T606" s="44"/>
    </row>
    <row r="607" ht="15.75" customHeight="1">
      <c r="L607" s="45"/>
      <c r="O607" s="44"/>
      <c r="P607" s="44"/>
      <c r="R607" s="44"/>
      <c r="S607" s="44"/>
      <c r="T607" s="44"/>
    </row>
    <row r="608" ht="15.75" customHeight="1">
      <c r="L608" s="45"/>
      <c r="O608" s="44"/>
      <c r="P608" s="44"/>
      <c r="R608" s="44"/>
      <c r="S608" s="44"/>
      <c r="T608" s="44"/>
    </row>
    <row r="609" ht="15.75" customHeight="1">
      <c r="L609" s="45"/>
      <c r="O609" s="44"/>
      <c r="P609" s="44"/>
      <c r="R609" s="44"/>
      <c r="S609" s="44"/>
      <c r="T609" s="44"/>
    </row>
    <row r="610" ht="15.75" customHeight="1">
      <c r="L610" s="45"/>
      <c r="O610" s="44"/>
      <c r="P610" s="44"/>
      <c r="R610" s="44"/>
      <c r="S610" s="44"/>
      <c r="T610" s="44"/>
    </row>
    <row r="611" ht="15.75" customHeight="1">
      <c r="L611" s="45"/>
      <c r="O611" s="44"/>
      <c r="P611" s="44"/>
      <c r="R611" s="44"/>
      <c r="S611" s="44"/>
      <c r="T611" s="44"/>
    </row>
    <row r="612" ht="15.75" customHeight="1">
      <c r="L612" s="45"/>
      <c r="O612" s="44"/>
      <c r="P612" s="44"/>
      <c r="R612" s="44"/>
      <c r="S612" s="44"/>
      <c r="T612" s="44"/>
    </row>
    <row r="613" ht="15.75" customHeight="1">
      <c r="L613" s="45"/>
      <c r="O613" s="44"/>
      <c r="P613" s="44"/>
      <c r="R613" s="44"/>
      <c r="S613" s="44"/>
      <c r="T613" s="44"/>
    </row>
    <row r="614" ht="15.75" customHeight="1">
      <c r="L614" s="45"/>
      <c r="O614" s="44"/>
      <c r="P614" s="44"/>
      <c r="R614" s="44"/>
      <c r="S614" s="44"/>
      <c r="T614" s="44"/>
    </row>
    <row r="615" ht="15.75" customHeight="1">
      <c r="L615" s="45"/>
      <c r="O615" s="44"/>
      <c r="P615" s="44"/>
      <c r="R615" s="44"/>
      <c r="S615" s="44"/>
      <c r="T615" s="44"/>
    </row>
    <row r="616" ht="15.75" customHeight="1">
      <c r="L616" s="45"/>
      <c r="O616" s="44"/>
      <c r="P616" s="44"/>
      <c r="R616" s="44"/>
      <c r="S616" s="44"/>
      <c r="T616" s="44"/>
    </row>
    <row r="617" ht="15.75" customHeight="1">
      <c r="L617" s="45"/>
      <c r="O617" s="44"/>
      <c r="P617" s="44"/>
      <c r="R617" s="44"/>
      <c r="S617" s="44"/>
      <c r="T617" s="44"/>
    </row>
    <row r="618" ht="15.75" customHeight="1">
      <c r="L618" s="45"/>
      <c r="O618" s="44"/>
      <c r="P618" s="44"/>
      <c r="R618" s="44"/>
      <c r="S618" s="44"/>
      <c r="T618" s="44"/>
    </row>
    <row r="619" ht="15.75" customHeight="1">
      <c r="L619" s="45"/>
      <c r="O619" s="44"/>
      <c r="P619" s="44"/>
      <c r="R619" s="44"/>
      <c r="S619" s="44"/>
      <c r="T619" s="44"/>
    </row>
    <row r="620" ht="15.75" customHeight="1">
      <c r="L620" s="45"/>
      <c r="O620" s="44"/>
      <c r="P620" s="44"/>
      <c r="R620" s="44"/>
      <c r="S620" s="44"/>
      <c r="T620" s="44"/>
    </row>
    <row r="621" ht="15.75" customHeight="1">
      <c r="L621" s="45"/>
      <c r="O621" s="44"/>
      <c r="P621" s="44"/>
      <c r="R621" s="44"/>
      <c r="S621" s="44"/>
      <c r="T621" s="44"/>
    </row>
    <row r="622" ht="15.75" customHeight="1">
      <c r="L622" s="45"/>
      <c r="O622" s="44"/>
      <c r="P622" s="44"/>
      <c r="R622" s="44"/>
      <c r="S622" s="44"/>
      <c r="T622" s="44"/>
    </row>
    <row r="623" ht="15.75" customHeight="1">
      <c r="L623" s="45"/>
      <c r="O623" s="44"/>
      <c r="P623" s="44"/>
      <c r="R623" s="44"/>
      <c r="S623" s="44"/>
      <c r="T623" s="44"/>
    </row>
    <row r="624" ht="15.75" customHeight="1">
      <c r="L624" s="45"/>
      <c r="O624" s="44"/>
      <c r="P624" s="44"/>
      <c r="R624" s="44"/>
      <c r="S624" s="44"/>
      <c r="T624" s="44"/>
    </row>
    <row r="625" ht="15.75" customHeight="1">
      <c r="L625" s="45"/>
      <c r="O625" s="44"/>
      <c r="P625" s="44"/>
      <c r="R625" s="44"/>
      <c r="S625" s="44"/>
      <c r="T625" s="44"/>
    </row>
    <row r="626" ht="15.75" customHeight="1">
      <c r="L626" s="45"/>
      <c r="O626" s="44"/>
      <c r="P626" s="44"/>
      <c r="R626" s="44"/>
      <c r="S626" s="44"/>
      <c r="T626" s="44"/>
    </row>
    <row r="627" ht="15.75" customHeight="1">
      <c r="L627" s="45"/>
      <c r="O627" s="44"/>
      <c r="P627" s="44"/>
      <c r="R627" s="44"/>
      <c r="S627" s="44"/>
      <c r="T627" s="44"/>
    </row>
    <row r="628" ht="15.75" customHeight="1">
      <c r="L628" s="45"/>
      <c r="O628" s="44"/>
      <c r="P628" s="44"/>
      <c r="R628" s="44"/>
      <c r="S628" s="44"/>
      <c r="T628" s="44"/>
    </row>
    <row r="629" ht="15.75" customHeight="1">
      <c r="L629" s="45"/>
      <c r="O629" s="44"/>
      <c r="P629" s="44"/>
      <c r="R629" s="44"/>
      <c r="S629" s="44"/>
      <c r="T629" s="44"/>
    </row>
    <row r="630" ht="15.75" customHeight="1">
      <c r="L630" s="45"/>
      <c r="O630" s="44"/>
      <c r="P630" s="44"/>
      <c r="R630" s="44"/>
      <c r="S630" s="44"/>
      <c r="T630" s="44"/>
    </row>
    <row r="631" ht="15.75" customHeight="1">
      <c r="L631" s="45"/>
      <c r="O631" s="44"/>
      <c r="P631" s="44"/>
      <c r="R631" s="44"/>
      <c r="S631" s="44"/>
      <c r="T631" s="44"/>
    </row>
    <row r="632" ht="15.75" customHeight="1">
      <c r="L632" s="45"/>
      <c r="O632" s="44"/>
      <c r="P632" s="44"/>
      <c r="R632" s="44"/>
      <c r="S632" s="44"/>
      <c r="T632" s="44"/>
    </row>
    <row r="633" ht="15.75" customHeight="1">
      <c r="L633" s="45"/>
      <c r="O633" s="44"/>
      <c r="P633" s="44"/>
      <c r="R633" s="44"/>
      <c r="S633" s="44"/>
      <c r="T633" s="44"/>
    </row>
    <row r="634" ht="15.75" customHeight="1">
      <c r="L634" s="45"/>
      <c r="O634" s="44"/>
      <c r="P634" s="44"/>
      <c r="R634" s="44"/>
      <c r="S634" s="44"/>
      <c r="T634" s="44"/>
    </row>
    <row r="635" ht="15.75" customHeight="1">
      <c r="L635" s="45"/>
      <c r="O635" s="44"/>
      <c r="P635" s="44"/>
      <c r="R635" s="44"/>
      <c r="S635" s="44"/>
      <c r="T635" s="44"/>
    </row>
    <row r="636" ht="15.75" customHeight="1">
      <c r="L636" s="45"/>
      <c r="O636" s="44"/>
      <c r="P636" s="44"/>
      <c r="R636" s="44"/>
      <c r="S636" s="44"/>
      <c r="T636" s="44"/>
    </row>
    <row r="637" ht="15.75" customHeight="1">
      <c r="L637" s="45"/>
      <c r="O637" s="44"/>
      <c r="P637" s="44"/>
      <c r="R637" s="44"/>
      <c r="S637" s="44"/>
      <c r="T637" s="44"/>
    </row>
    <row r="638" ht="15.75" customHeight="1">
      <c r="L638" s="45"/>
      <c r="O638" s="44"/>
      <c r="P638" s="44"/>
      <c r="R638" s="44"/>
      <c r="S638" s="44"/>
      <c r="T638" s="44"/>
    </row>
    <row r="639" ht="15.75" customHeight="1">
      <c r="L639" s="45"/>
      <c r="O639" s="44"/>
      <c r="P639" s="44"/>
      <c r="R639" s="44"/>
      <c r="S639" s="44"/>
      <c r="T639" s="44"/>
    </row>
    <row r="640" ht="15.75" customHeight="1">
      <c r="L640" s="45"/>
      <c r="O640" s="44"/>
      <c r="P640" s="44"/>
      <c r="R640" s="44"/>
      <c r="S640" s="44"/>
      <c r="T640" s="44"/>
    </row>
    <row r="641" ht="15.75" customHeight="1">
      <c r="L641" s="45"/>
      <c r="O641" s="44"/>
      <c r="P641" s="44"/>
      <c r="R641" s="44"/>
      <c r="S641" s="44"/>
      <c r="T641" s="44"/>
    </row>
    <row r="642" ht="15.75" customHeight="1">
      <c r="L642" s="45"/>
      <c r="O642" s="44"/>
      <c r="P642" s="44"/>
      <c r="R642" s="44"/>
      <c r="S642" s="44"/>
      <c r="T642" s="44"/>
    </row>
    <row r="643" ht="15.75" customHeight="1">
      <c r="L643" s="45"/>
      <c r="O643" s="44"/>
      <c r="P643" s="44"/>
      <c r="R643" s="44"/>
      <c r="S643" s="44"/>
      <c r="T643" s="44"/>
    </row>
    <row r="644" ht="15.75" customHeight="1">
      <c r="L644" s="45"/>
      <c r="O644" s="44"/>
      <c r="P644" s="44"/>
      <c r="R644" s="44"/>
      <c r="S644" s="44"/>
      <c r="T644" s="44"/>
    </row>
    <row r="645" ht="15.75" customHeight="1">
      <c r="L645" s="45"/>
      <c r="O645" s="44"/>
      <c r="P645" s="44"/>
      <c r="R645" s="44"/>
      <c r="S645" s="44"/>
      <c r="T645" s="44"/>
    </row>
    <row r="646" ht="15.75" customHeight="1">
      <c r="L646" s="45"/>
      <c r="O646" s="44"/>
      <c r="P646" s="44"/>
      <c r="R646" s="44"/>
      <c r="S646" s="44"/>
      <c r="T646" s="44"/>
    </row>
    <row r="647" ht="15.75" customHeight="1">
      <c r="L647" s="45"/>
      <c r="O647" s="44"/>
      <c r="P647" s="44"/>
      <c r="R647" s="44"/>
      <c r="S647" s="44"/>
      <c r="T647" s="44"/>
    </row>
    <row r="648" ht="15.75" customHeight="1">
      <c r="L648" s="45"/>
      <c r="O648" s="44"/>
      <c r="P648" s="44"/>
      <c r="R648" s="44"/>
      <c r="S648" s="44"/>
      <c r="T648" s="44"/>
    </row>
    <row r="649" ht="15.75" customHeight="1">
      <c r="L649" s="45"/>
      <c r="O649" s="44"/>
      <c r="P649" s="44"/>
      <c r="R649" s="44"/>
      <c r="S649" s="44"/>
      <c r="T649" s="44"/>
    </row>
    <row r="650" ht="15.75" customHeight="1">
      <c r="L650" s="45"/>
      <c r="O650" s="44"/>
      <c r="P650" s="44"/>
      <c r="R650" s="44"/>
      <c r="S650" s="44"/>
      <c r="T650" s="44"/>
    </row>
    <row r="651" ht="15.75" customHeight="1">
      <c r="L651" s="45"/>
      <c r="O651" s="44"/>
      <c r="P651" s="44"/>
      <c r="R651" s="44"/>
      <c r="S651" s="44"/>
      <c r="T651" s="44"/>
    </row>
    <row r="652" ht="15.75" customHeight="1">
      <c r="L652" s="45"/>
      <c r="O652" s="44"/>
      <c r="P652" s="44"/>
      <c r="R652" s="44"/>
      <c r="S652" s="44"/>
      <c r="T652" s="44"/>
    </row>
    <row r="653" ht="15.75" customHeight="1">
      <c r="L653" s="45"/>
      <c r="O653" s="44"/>
      <c r="P653" s="44"/>
      <c r="R653" s="44"/>
      <c r="S653" s="44"/>
      <c r="T653" s="44"/>
    </row>
    <row r="654" ht="15.75" customHeight="1">
      <c r="L654" s="45"/>
      <c r="O654" s="44"/>
      <c r="P654" s="44"/>
      <c r="R654" s="44"/>
      <c r="S654" s="44"/>
      <c r="T654" s="44"/>
    </row>
    <row r="655" ht="15.75" customHeight="1">
      <c r="L655" s="45"/>
      <c r="O655" s="44"/>
      <c r="P655" s="44"/>
      <c r="R655" s="44"/>
      <c r="S655" s="44"/>
      <c r="T655" s="44"/>
    </row>
    <row r="656" ht="15.75" customHeight="1">
      <c r="L656" s="45"/>
      <c r="O656" s="44"/>
      <c r="P656" s="44"/>
      <c r="R656" s="44"/>
      <c r="S656" s="44"/>
      <c r="T656" s="44"/>
    </row>
    <row r="657" ht="15.75" customHeight="1">
      <c r="L657" s="45"/>
      <c r="O657" s="44"/>
      <c r="P657" s="44"/>
      <c r="R657" s="44"/>
      <c r="S657" s="44"/>
      <c r="T657" s="44"/>
    </row>
    <row r="658" ht="15.75" customHeight="1">
      <c r="L658" s="45"/>
      <c r="O658" s="44"/>
      <c r="P658" s="44"/>
      <c r="R658" s="44"/>
      <c r="S658" s="44"/>
      <c r="T658" s="44"/>
    </row>
    <row r="659" ht="15.75" customHeight="1">
      <c r="L659" s="45"/>
      <c r="O659" s="44"/>
      <c r="P659" s="44"/>
      <c r="R659" s="44"/>
      <c r="S659" s="44"/>
      <c r="T659" s="44"/>
    </row>
    <row r="660" ht="15.75" customHeight="1">
      <c r="L660" s="45"/>
      <c r="O660" s="44"/>
      <c r="P660" s="44"/>
      <c r="R660" s="44"/>
      <c r="S660" s="44"/>
      <c r="T660" s="44"/>
    </row>
    <row r="661" ht="15.75" customHeight="1">
      <c r="L661" s="45"/>
      <c r="O661" s="44"/>
      <c r="P661" s="44"/>
      <c r="R661" s="44"/>
      <c r="S661" s="44"/>
      <c r="T661" s="44"/>
    </row>
    <row r="662" ht="15.75" customHeight="1">
      <c r="L662" s="45"/>
      <c r="O662" s="44"/>
      <c r="P662" s="44"/>
      <c r="R662" s="44"/>
      <c r="S662" s="44"/>
      <c r="T662" s="44"/>
    </row>
    <row r="663" ht="15.75" customHeight="1">
      <c r="L663" s="45"/>
      <c r="O663" s="44"/>
      <c r="P663" s="44"/>
      <c r="R663" s="44"/>
      <c r="S663" s="44"/>
      <c r="T663" s="44"/>
    </row>
    <row r="664" ht="15.75" customHeight="1">
      <c r="L664" s="45"/>
      <c r="O664" s="44"/>
      <c r="P664" s="44"/>
      <c r="R664" s="44"/>
      <c r="S664" s="44"/>
      <c r="T664" s="44"/>
    </row>
    <row r="665" ht="15.75" customHeight="1">
      <c r="L665" s="45"/>
      <c r="O665" s="44"/>
      <c r="P665" s="44"/>
      <c r="R665" s="44"/>
      <c r="S665" s="44"/>
      <c r="T665" s="44"/>
    </row>
    <row r="666" ht="15.75" customHeight="1">
      <c r="L666" s="45"/>
      <c r="O666" s="44"/>
      <c r="P666" s="44"/>
      <c r="R666" s="44"/>
      <c r="S666" s="44"/>
      <c r="T666" s="44"/>
    </row>
    <row r="667" ht="15.75" customHeight="1">
      <c r="L667" s="45"/>
      <c r="O667" s="44"/>
      <c r="P667" s="44"/>
      <c r="R667" s="44"/>
      <c r="S667" s="44"/>
      <c r="T667" s="44"/>
    </row>
    <row r="668" ht="15.75" customHeight="1">
      <c r="L668" s="45"/>
      <c r="O668" s="44"/>
      <c r="P668" s="44"/>
      <c r="R668" s="44"/>
      <c r="S668" s="44"/>
      <c r="T668" s="44"/>
    </row>
    <row r="669" ht="15.75" customHeight="1">
      <c r="L669" s="45"/>
      <c r="O669" s="44"/>
      <c r="P669" s="44"/>
      <c r="R669" s="44"/>
      <c r="S669" s="44"/>
      <c r="T669" s="44"/>
    </row>
    <row r="670" ht="15.75" customHeight="1">
      <c r="L670" s="45"/>
      <c r="O670" s="44"/>
      <c r="P670" s="44"/>
      <c r="R670" s="44"/>
      <c r="S670" s="44"/>
      <c r="T670" s="44"/>
    </row>
    <row r="671" ht="15.75" customHeight="1">
      <c r="L671" s="45"/>
      <c r="O671" s="44"/>
      <c r="P671" s="44"/>
      <c r="R671" s="44"/>
      <c r="S671" s="44"/>
      <c r="T671" s="44"/>
    </row>
    <row r="672" ht="15.75" customHeight="1">
      <c r="L672" s="45"/>
      <c r="O672" s="44"/>
      <c r="P672" s="44"/>
      <c r="R672" s="44"/>
      <c r="S672" s="44"/>
      <c r="T672" s="44"/>
    </row>
    <row r="673" ht="15.75" customHeight="1">
      <c r="L673" s="45"/>
      <c r="O673" s="44"/>
      <c r="P673" s="44"/>
      <c r="R673" s="44"/>
      <c r="S673" s="44"/>
      <c r="T673" s="44"/>
    </row>
    <row r="674" ht="15.75" customHeight="1">
      <c r="L674" s="45"/>
      <c r="O674" s="44"/>
      <c r="P674" s="44"/>
      <c r="R674" s="44"/>
      <c r="S674" s="44"/>
      <c r="T674" s="44"/>
    </row>
    <row r="675" ht="15.75" customHeight="1">
      <c r="L675" s="45"/>
      <c r="O675" s="44"/>
      <c r="P675" s="44"/>
      <c r="R675" s="44"/>
      <c r="S675" s="44"/>
      <c r="T675" s="44"/>
    </row>
    <row r="676" ht="15.75" customHeight="1">
      <c r="L676" s="45"/>
      <c r="O676" s="44"/>
      <c r="P676" s="44"/>
      <c r="R676" s="44"/>
      <c r="S676" s="44"/>
      <c r="T676" s="44"/>
    </row>
    <row r="677" ht="15.75" customHeight="1">
      <c r="L677" s="45"/>
      <c r="O677" s="44"/>
      <c r="P677" s="44"/>
      <c r="R677" s="44"/>
      <c r="S677" s="44"/>
      <c r="T677" s="44"/>
    </row>
    <row r="678" ht="15.75" customHeight="1">
      <c r="L678" s="45"/>
      <c r="O678" s="44"/>
      <c r="P678" s="44"/>
      <c r="R678" s="44"/>
      <c r="S678" s="44"/>
      <c r="T678" s="44"/>
    </row>
    <row r="679" ht="15.75" customHeight="1">
      <c r="L679" s="45"/>
      <c r="O679" s="44"/>
      <c r="P679" s="44"/>
      <c r="R679" s="44"/>
      <c r="S679" s="44"/>
      <c r="T679" s="44"/>
    </row>
    <row r="680" ht="15.75" customHeight="1">
      <c r="L680" s="45"/>
      <c r="O680" s="44"/>
      <c r="P680" s="44"/>
      <c r="R680" s="44"/>
      <c r="S680" s="44"/>
      <c r="T680" s="44"/>
    </row>
    <row r="681" ht="15.75" customHeight="1">
      <c r="L681" s="45"/>
      <c r="O681" s="44"/>
      <c r="P681" s="44"/>
      <c r="R681" s="44"/>
      <c r="S681" s="44"/>
      <c r="T681" s="44"/>
    </row>
    <row r="682" ht="15.75" customHeight="1">
      <c r="L682" s="45"/>
      <c r="O682" s="44"/>
      <c r="P682" s="44"/>
      <c r="R682" s="44"/>
      <c r="S682" s="44"/>
      <c r="T682" s="44"/>
    </row>
    <row r="683" ht="15.75" customHeight="1">
      <c r="L683" s="45"/>
      <c r="O683" s="44"/>
      <c r="P683" s="44"/>
      <c r="R683" s="44"/>
      <c r="S683" s="44"/>
      <c r="T683" s="44"/>
    </row>
    <row r="684" ht="15.75" customHeight="1">
      <c r="L684" s="45"/>
      <c r="O684" s="44"/>
      <c r="P684" s="44"/>
      <c r="R684" s="44"/>
      <c r="S684" s="44"/>
      <c r="T684" s="44"/>
    </row>
    <row r="685" ht="15.75" customHeight="1">
      <c r="L685" s="45"/>
      <c r="O685" s="44"/>
      <c r="P685" s="44"/>
      <c r="R685" s="44"/>
      <c r="S685" s="44"/>
      <c r="T685" s="44"/>
    </row>
    <row r="686" ht="15.75" customHeight="1">
      <c r="L686" s="45"/>
      <c r="O686" s="44"/>
      <c r="P686" s="44"/>
      <c r="R686" s="44"/>
      <c r="S686" s="44"/>
      <c r="T686" s="44"/>
    </row>
    <row r="687" ht="15.75" customHeight="1">
      <c r="L687" s="45"/>
      <c r="O687" s="44"/>
      <c r="P687" s="44"/>
      <c r="R687" s="44"/>
      <c r="S687" s="44"/>
      <c r="T687" s="44"/>
    </row>
    <row r="688" ht="15.75" customHeight="1">
      <c r="L688" s="45"/>
      <c r="O688" s="44"/>
      <c r="P688" s="44"/>
      <c r="R688" s="44"/>
      <c r="S688" s="44"/>
      <c r="T688" s="44"/>
    </row>
    <row r="689" ht="15.75" customHeight="1">
      <c r="L689" s="45"/>
      <c r="O689" s="44"/>
      <c r="P689" s="44"/>
      <c r="R689" s="44"/>
      <c r="S689" s="44"/>
      <c r="T689" s="44"/>
    </row>
    <row r="690" ht="15.75" customHeight="1">
      <c r="L690" s="45"/>
      <c r="O690" s="44"/>
      <c r="P690" s="44"/>
      <c r="R690" s="44"/>
      <c r="S690" s="44"/>
      <c r="T690" s="44"/>
    </row>
    <row r="691" ht="15.75" customHeight="1">
      <c r="L691" s="45"/>
      <c r="O691" s="44"/>
      <c r="P691" s="44"/>
      <c r="R691" s="44"/>
      <c r="S691" s="44"/>
      <c r="T691" s="44"/>
    </row>
    <row r="692" ht="15.75" customHeight="1">
      <c r="L692" s="45"/>
      <c r="O692" s="44"/>
      <c r="P692" s="44"/>
      <c r="R692" s="44"/>
      <c r="S692" s="44"/>
      <c r="T692" s="44"/>
    </row>
    <row r="693" ht="15.75" customHeight="1">
      <c r="L693" s="45"/>
      <c r="O693" s="44"/>
      <c r="P693" s="44"/>
      <c r="R693" s="44"/>
      <c r="S693" s="44"/>
      <c r="T693" s="44"/>
    </row>
    <row r="694" ht="15.75" customHeight="1">
      <c r="L694" s="45"/>
      <c r="O694" s="44"/>
      <c r="P694" s="44"/>
      <c r="R694" s="44"/>
      <c r="S694" s="44"/>
      <c r="T694" s="44"/>
    </row>
    <row r="695" ht="15.75" customHeight="1">
      <c r="L695" s="45"/>
      <c r="O695" s="44"/>
      <c r="P695" s="44"/>
      <c r="R695" s="44"/>
      <c r="S695" s="44"/>
      <c r="T695" s="44"/>
    </row>
    <row r="696" ht="15.75" customHeight="1">
      <c r="L696" s="45"/>
      <c r="O696" s="44"/>
      <c r="P696" s="44"/>
      <c r="R696" s="44"/>
      <c r="S696" s="44"/>
      <c r="T696" s="44"/>
    </row>
    <row r="697" ht="15.75" customHeight="1">
      <c r="L697" s="45"/>
      <c r="O697" s="44"/>
      <c r="P697" s="44"/>
      <c r="R697" s="44"/>
      <c r="S697" s="44"/>
      <c r="T697" s="44"/>
    </row>
    <row r="698" ht="15.75" customHeight="1">
      <c r="L698" s="45"/>
      <c r="O698" s="44"/>
      <c r="P698" s="44"/>
      <c r="R698" s="44"/>
      <c r="S698" s="44"/>
      <c r="T698" s="44"/>
    </row>
    <row r="699" ht="15.75" customHeight="1">
      <c r="L699" s="45"/>
      <c r="O699" s="44"/>
      <c r="P699" s="44"/>
      <c r="R699" s="44"/>
      <c r="S699" s="44"/>
      <c r="T699" s="44"/>
    </row>
    <row r="700" ht="15.75" customHeight="1">
      <c r="L700" s="45"/>
      <c r="O700" s="44"/>
      <c r="P700" s="44"/>
      <c r="R700" s="44"/>
      <c r="S700" s="44"/>
      <c r="T700" s="44"/>
    </row>
    <row r="701" ht="15.75" customHeight="1">
      <c r="L701" s="45"/>
      <c r="O701" s="44"/>
      <c r="P701" s="44"/>
      <c r="R701" s="44"/>
      <c r="S701" s="44"/>
      <c r="T701" s="44"/>
    </row>
    <row r="702" ht="15.75" customHeight="1">
      <c r="L702" s="45"/>
      <c r="O702" s="44"/>
      <c r="P702" s="44"/>
      <c r="R702" s="44"/>
      <c r="S702" s="44"/>
      <c r="T702" s="44"/>
    </row>
    <row r="703" ht="15.75" customHeight="1">
      <c r="L703" s="45"/>
      <c r="O703" s="44"/>
      <c r="P703" s="44"/>
      <c r="R703" s="44"/>
      <c r="S703" s="44"/>
      <c r="T703" s="44"/>
    </row>
    <row r="704" ht="15.75" customHeight="1">
      <c r="L704" s="45"/>
      <c r="O704" s="44"/>
      <c r="P704" s="44"/>
      <c r="R704" s="44"/>
      <c r="S704" s="44"/>
      <c r="T704" s="44"/>
    </row>
    <row r="705" ht="15.75" customHeight="1">
      <c r="L705" s="45"/>
      <c r="O705" s="44"/>
      <c r="P705" s="44"/>
      <c r="R705" s="44"/>
      <c r="S705" s="44"/>
      <c r="T705" s="44"/>
    </row>
    <row r="706" ht="15.75" customHeight="1">
      <c r="L706" s="45"/>
      <c r="O706" s="44"/>
      <c r="P706" s="44"/>
      <c r="R706" s="44"/>
      <c r="S706" s="44"/>
      <c r="T706" s="44"/>
    </row>
    <row r="707" ht="15.75" customHeight="1">
      <c r="L707" s="45"/>
      <c r="O707" s="44"/>
      <c r="P707" s="44"/>
      <c r="R707" s="44"/>
      <c r="S707" s="44"/>
      <c r="T707" s="44"/>
    </row>
    <row r="708" ht="15.75" customHeight="1">
      <c r="L708" s="45"/>
      <c r="O708" s="44"/>
      <c r="P708" s="44"/>
      <c r="R708" s="44"/>
      <c r="S708" s="44"/>
      <c r="T708" s="44"/>
    </row>
    <row r="709" ht="15.75" customHeight="1">
      <c r="L709" s="45"/>
      <c r="O709" s="44"/>
      <c r="P709" s="44"/>
      <c r="R709" s="44"/>
      <c r="S709" s="44"/>
      <c r="T709" s="44"/>
    </row>
    <row r="710" ht="15.75" customHeight="1">
      <c r="L710" s="45"/>
      <c r="O710" s="44"/>
      <c r="P710" s="44"/>
      <c r="R710" s="44"/>
      <c r="S710" s="44"/>
      <c r="T710" s="44"/>
    </row>
    <row r="711" ht="15.75" customHeight="1">
      <c r="L711" s="45"/>
      <c r="O711" s="44"/>
      <c r="P711" s="44"/>
      <c r="R711" s="44"/>
      <c r="S711" s="44"/>
      <c r="T711" s="44"/>
    </row>
    <row r="712" ht="15.75" customHeight="1">
      <c r="L712" s="45"/>
      <c r="O712" s="44"/>
      <c r="P712" s="44"/>
      <c r="R712" s="44"/>
      <c r="S712" s="44"/>
      <c r="T712" s="44"/>
    </row>
    <row r="713" ht="15.75" customHeight="1">
      <c r="L713" s="45"/>
      <c r="O713" s="44"/>
      <c r="P713" s="44"/>
      <c r="R713" s="44"/>
      <c r="S713" s="44"/>
      <c r="T713" s="44"/>
    </row>
    <row r="714" ht="15.75" customHeight="1">
      <c r="L714" s="45"/>
      <c r="O714" s="44"/>
      <c r="P714" s="44"/>
      <c r="R714" s="44"/>
      <c r="S714" s="44"/>
      <c r="T714" s="44"/>
    </row>
    <row r="715" ht="15.75" customHeight="1">
      <c r="L715" s="45"/>
      <c r="O715" s="44"/>
      <c r="P715" s="44"/>
      <c r="R715" s="44"/>
      <c r="S715" s="44"/>
      <c r="T715" s="44"/>
    </row>
    <row r="716" ht="15.75" customHeight="1">
      <c r="L716" s="45"/>
      <c r="O716" s="44"/>
      <c r="P716" s="44"/>
      <c r="R716" s="44"/>
      <c r="S716" s="44"/>
      <c r="T716" s="44"/>
    </row>
    <row r="717" ht="15.75" customHeight="1">
      <c r="L717" s="45"/>
      <c r="O717" s="44"/>
      <c r="P717" s="44"/>
      <c r="R717" s="44"/>
      <c r="S717" s="44"/>
      <c r="T717" s="44"/>
    </row>
    <row r="718" ht="15.75" customHeight="1">
      <c r="L718" s="45"/>
      <c r="O718" s="44"/>
      <c r="P718" s="44"/>
      <c r="R718" s="44"/>
      <c r="S718" s="44"/>
      <c r="T718" s="44"/>
    </row>
    <row r="719" ht="15.75" customHeight="1">
      <c r="L719" s="45"/>
      <c r="O719" s="44"/>
      <c r="P719" s="44"/>
      <c r="R719" s="44"/>
      <c r="S719" s="44"/>
      <c r="T719" s="44"/>
    </row>
    <row r="720" ht="15.75" customHeight="1">
      <c r="L720" s="45"/>
      <c r="O720" s="44"/>
      <c r="P720" s="44"/>
      <c r="R720" s="44"/>
      <c r="S720" s="44"/>
      <c r="T720" s="44"/>
    </row>
    <row r="721" ht="15.75" customHeight="1">
      <c r="L721" s="45"/>
      <c r="O721" s="44"/>
      <c r="P721" s="44"/>
      <c r="R721" s="44"/>
      <c r="S721" s="44"/>
      <c r="T721" s="44"/>
    </row>
    <row r="722" ht="15.75" customHeight="1">
      <c r="L722" s="45"/>
      <c r="O722" s="44"/>
      <c r="P722" s="44"/>
      <c r="R722" s="44"/>
      <c r="S722" s="44"/>
      <c r="T722" s="44"/>
    </row>
    <row r="723" ht="15.75" customHeight="1">
      <c r="L723" s="45"/>
      <c r="O723" s="44"/>
      <c r="P723" s="44"/>
      <c r="R723" s="44"/>
      <c r="S723" s="44"/>
      <c r="T723" s="44"/>
    </row>
    <row r="724" ht="15.75" customHeight="1">
      <c r="L724" s="45"/>
      <c r="O724" s="44"/>
      <c r="P724" s="44"/>
      <c r="R724" s="44"/>
      <c r="S724" s="44"/>
      <c r="T724" s="44"/>
    </row>
    <row r="725" ht="15.75" customHeight="1">
      <c r="L725" s="45"/>
      <c r="O725" s="44"/>
      <c r="P725" s="44"/>
      <c r="R725" s="44"/>
      <c r="S725" s="44"/>
      <c r="T725" s="44"/>
    </row>
    <row r="726" ht="15.75" customHeight="1">
      <c r="L726" s="45"/>
      <c r="O726" s="44"/>
      <c r="P726" s="44"/>
      <c r="R726" s="44"/>
      <c r="S726" s="44"/>
      <c r="T726" s="44"/>
    </row>
    <row r="727" ht="15.75" customHeight="1">
      <c r="L727" s="45"/>
      <c r="O727" s="44"/>
      <c r="P727" s="44"/>
      <c r="R727" s="44"/>
      <c r="S727" s="44"/>
      <c r="T727" s="44"/>
    </row>
    <row r="728" ht="15.75" customHeight="1">
      <c r="L728" s="45"/>
      <c r="O728" s="44"/>
      <c r="P728" s="44"/>
      <c r="R728" s="44"/>
      <c r="S728" s="44"/>
      <c r="T728" s="44"/>
    </row>
    <row r="729" ht="15.75" customHeight="1">
      <c r="L729" s="45"/>
      <c r="O729" s="44"/>
      <c r="P729" s="44"/>
      <c r="R729" s="44"/>
      <c r="S729" s="44"/>
      <c r="T729" s="44"/>
    </row>
    <row r="730" ht="15.75" customHeight="1">
      <c r="L730" s="45"/>
      <c r="O730" s="44"/>
      <c r="P730" s="44"/>
      <c r="R730" s="44"/>
      <c r="S730" s="44"/>
      <c r="T730" s="44"/>
    </row>
    <row r="731" ht="15.75" customHeight="1">
      <c r="L731" s="45"/>
      <c r="O731" s="44"/>
      <c r="P731" s="44"/>
      <c r="R731" s="44"/>
      <c r="S731" s="44"/>
      <c r="T731" s="44"/>
    </row>
    <row r="732" ht="15.75" customHeight="1">
      <c r="L732" s="45"/>
      <c r="O732" s="44"/>
      <c r="P732" s="44"/>
      <c r="R732" s="44"/>
      <c r="S732" s="44"/>
      <c r="T732" s="44"/>
    </row>
    <row r="733" ht="15.75" customHeight="1">
      <c r="L733" s="45"/>
      <c r="O733" s="44"/>
      <c r="P733" s="44"/>
      <c r="R733" s="44"/>
      <c r="S733" s="44"/>
      <c r="T733" s="44"/>
    </row>
    <row r="734" ht="15.75" customHeight="1">
      <c r="L734" s="45"/>
      <c r="O734" s="44"/>
      <c r="P734" s="44"/>
      <c r="R734" s="44"/>
      <c r="S734" s="44"/>
      <c r="T734" s="44"/>
    </row>
    <row r="735" ht="15.75" customHeight="1">
      <c r="L735" s="45"/>
      <c r="O735" s="44"/>
      <c r="P735" s="44"/>
      <c r="R735" s="44"/>
      <c r="S735" s="44"/>
      <c r="T735" s="44"/>
    </row>
    <row r="736" ht="15.75" customHeight="1">
      <c r="L736" s="45"/>
      <c r="O736" s="44"/>
      <c r="P736" s="44"/>
      <c r="R736" s="44"/>
      <c r="S736" s="44"/>
      <c r="T736" s="44"/>
    </row>
    <row r="737" ht="15.75" customHeight="1">
      <c r="L737" s="45"/>
      <c r="O737" s="44"/>
      <c r="P737" s="44"/>
      <c r="R737" s="44"/>
      <c r="S737" s="44"/>
      <c r="T737" s="44"/>
    </row>
    <row r="738" ht="15.75" customHeight="1">
      <c r="L738" s="45"/>
      <c r="O738" s="44"/>
      <c r="P738" s="44"/>
      <c r="R738" s="44"/>
      <c r="S738" s="44"/>
      <c r="T738" s="44"/>
    </row>
    <row r="739" ht="15.75" customHeight="1">
      <c r="L739" s="45"/>
      <c r="O739" s="44"/>
      <c r="P739" s="44"/>
      <c r="R739" s="44"/>
      <c r="S739" s="44"/>
      <c r="T739" s="44"/>
    </row>
    <row r="740" ht="15.75" customHeight="1">
      <c r="L740" s="45"/>
      <c r="O740" s="44"/>
      <c r="P740" s="44"/>
      <c r="R740" s="44"/>
      <c r="S740" s="44"/>
      <c r="T740" s="44"/>
    </row>
    <row r="741" ht="15.75" customHeight="1">
      <c r="L741" s="45"/>
      <c r="O741" s="44"/>
      <c r="P741" s="44"/>
      <c r="R741" s="44"/>
      <c r="S741" s="44"/>
      <c r="T741" s="44"/>
    </row>
    <row r="742" ht="15.75" customHeight="1">
      <c r="L742" s="45"/>
      <c r="O742" s="44"/>
      <c r="P742" s="44"/>
      <c r="R742" s="44"/>
      <c r="S742" s="44"/>
      <c r="T742" s="44"/>
    </row>
    <row r="743" ht="15.75" customHeight="1">
      <c r="L743" s="45"/>
      <c r="O743" s="44"/>
      <c r="P743" s="44"/>
      <c r="R743" s="44"/>
      <c r="S743" s="44"/>
      <c r="T743" s="44"/>
    </row>
    <row r="744" ht="15.75" customHeight="1">
      <c r="L744" s="45"/>
      <c r="O744" s="44"/>
      <c r="P744" s="44"/>
      <c r="R744" s="44"/>
      <c r="S744" s="44"/>
      <c r="T744" s="44"/>
    </row>
    <row r="745" ht="15.75" customHeight="1">
      <c r="L745" s="45"/>
      <c r="O745" s="44"/>
      <c r="P745" s="44"/>
      <c r="R745" s="44"/>
      <c r="S745" s="44"/>
      <c r="T745" s="44"/>
    </row>
    <row r="746" ht="15.75" customHeight="1">
      <c r="L746" s="45"/>
      <c r="O746" s="44"/>
      <c r="P746" s="44"/>
      <c r="R746" s="44"/>
      <c r="S746" s="44"/>
      <c r="T746" s="44"/>
    </row>
    <row r="747" ht="15.75" customHeight="1">
      <c r="L747" s="45"/>
      <c r="O747" s="44"/>
      <c r="P747" s="44"/>
      <c r="R747" s="44"/>
      <c r="S747" s="44"/>
      <c r="T747" s="44"/>
    </row>
    <row r="748" ht="15.75" customHeight="1">
      <c r="L748" s="45"/>
      <c r="O748" s="44"/>
      <c r="P748" s="44"/>
      <c r="R748" s="44"/>
      <c r="S748" s="44"/>
      <c r="T748" s="44"/>
    </row>
    <row r="749" ht="15.75" customHeight="1">
      <c r="L749" s="45"/>
      <c r="O749" s="44"/>
      <c r="P749" s="44"/>
      <c r="R749" s="44"/>
      <c r="S749" s="44"/>
      <c r="T749" s="44"/>
    </row>
    <row r="750" ht="15.75" customHeight="1">
      <c r="L750" s="45"/>
      <c r="O750" s="44"/>
      <c r="P750" s="44"/>
      <c r="R750" s="44"/>
      <c r="S750" s="44"/>
      <c r="T750" s="44"/>
    </row>
    <row r="751" ht="15.75" customHeight="1">
      <c r="L751" s="45"/>
      <c r="O751" s="44"/>
      <c r="P751" s="44"/>
      <c r="R751" s="44"/>
      <c r="S751" s="44"/>
      <c r="T751" s="44"/>
    </row>
    <row r="752" ht="15.75" customHeight="1">
      <c r="L752" s="45"/>
      <c r="O752" s="44"/>
      <c r="P752" s="44"/>
      <c r="R752" s="44"/>
      <c r="S752" s="44"/>
      <c r="T752" s="44"/>
    </row>
    <row r="753" ht="15.75" customHeight="1">
      <c r="L753" s="45"/>
      <c r="O753" s="44"/>
      <c r="P753" s="44"/>
      <c r="R753" s="44"/>
      <c r="S753" s="44"/>
      <c r="T753" s="44"/>
    </row>
    <row r="754" ht="15.75" customHeight="1">
      <c r="L754" s="45"/>
      <c r="O754" s="44"/>
      <c r="P754" s="44"/>
      <c r="R754" s="44"/>
      <c r="S754" s="44"/>
      <c r="T754" s="44"/>
    </row>
    <row r="755" ht="15.75" customHeight="1">
      <c r="L755" s="45"/>
      <c r="O755" s="44"/>
      <c r="P755" s="44"/>
      <c r="R755" s="44"/>
      <c r="S755" s="44"/>
      <c r="T755" s="44"/>
    </row>
    <row r="756" ht="15.75" customHeight="1">
      <c r="L756" s="45"/>
      <c r="O756" s="44"/>
      <c r="P756" s="44"/>
      <c r="R756" s="44"/>
      <c r="S756" s="44"/>
      <c r="T756" s="44"/>
    </row>
    <row r="757" ht="15.75" customHeight="1">
      <c r="L757" s="45"/>
      <c r="O757" s="44"/>
      <c r="P757" s="44"/>
      <c r="R757" s="44"/>
      <c r="S757" s="44"/>
      <c r="T757" s="44"/>
    </row>
    <row r="758" ht="15.75" customHeight="1">
      <c r="L758" s="45"/>
      <c r="O758" s="44"/>
      <c r="P758" s="44"/>
      <c r="R758" s="44"/>
      <c r="S758" s="44"/>
      <c r="T758" s="44"/>
    </row>
    <row r="759" ht="15.75" customHeight="1">
      <c r="L759" s="45"/>
      <c r="O759" s="44"/>
      <c r="P759" s="44"/>
      <c r="R759" s="44"/>
      <c r="S759" s="44"/>
      <c r="T759" s="44"/>
    </row>
    <row r="760" ht="15.75" customHeight="1">
      <c r="L760" s="45"/>
      <c r="O760" s="44"/>
      <c r="P760" s="44"/>
      <c r="R760" s="44"/>
      <c r="S760" s="44"/>
      <c r="T760" s="44"/>
    </row>
    <row r="761" ht="15.75" customHeight="1">
      <c r="L761" s="45"/>
      <c r="O761" s="44"/>
      <c r="P761" s="44"/>
      <c r="R761" s="44"/>
      <c r="S761" s="44"/>
      <c r="T761" s="44"/>
    </row>
    <row r="762" ht="15.75" customHeight="1">
      <c r="L762" s="45"/>
      <c r="O762" s="44"/>
      <c r="P762" s="44"/>
      <c r="R762" s="44"/>
      <c r="S762" s="44"/>
      <c r="T762" s="44"/>
    </row>
    <row r="763" ht="15.75" customHeight="1">
      <c r="L763" s="45"/>
      <c r="O763" s="44"/>
      <c r="P763" s="44"/>
      <c r="R763" s="44"/>
      <c r="S763" s="44"/>
      <c r="T763" s="44"/>
    </row>
    <row r="764" ht="15.75" customHeight="1">
      <c r="L764" s="45"/>
      <c r="O764" s="44"/>
      <c r="P764" s="44"/>
      <c r="R764" s="44"/>
      <c r="S764" s="44"/>
      <c r="T764" s="44"/>
    </row>
    <row r="765" ht="15.75" customHeight="1">
      <c r="L765" s="45"/>
      <c r="O765" s="44"/>
      <c r="P765" s="44"/>
      <c r="R765" s="44"/>
      <c r="S765" s="44"/>
      <c r="T765" s="44"/>
    </row>
    <row r="766" ht="15.75" customHeight="1">
      <c r="L766" s="45"/>
      <c r="O766" s="44"/>
      <c r="P766" s="44"/>
      <c r="R766" s="44"/>
      <c r="S766" s="44"/>
      <c r="T766" s="44"/>
    </row>
    <row r="767" ht="15.75" customHeight="1">
      <c r="L767" s="45"/>
      <c r="O767" s="44"/>
      <c r="P767" s="44"/>
      <c r="R767" s="44"/>
      <c r="S767" s="44"/>
      <c r="T767" s="44"/>
    </row>
    <row r="768" ht="15.75" customHeight="1">
      <c r="L768" s="45"/>
      <c r="O768" s="44"/>
      <c r="P768" s="44"/>
      <c r="R768" s="44"/>
      <c r="S768" s="44"/>
      <c r="T768" s="44"/>
    </row>
    <row r="769" ht="15.75" customHeight="1">
      <c r="L769" s="45"/>
      <c r="O769" s="44"/>
      <c r="P769" s="44"/>
      <c r="R769" s="44"/>
      <c r="S769" s="44"/>
      <c r="T769" s="44"/>
    </row>
    <row r="770" ht="15.75" customHeight="1">
      <c r="L770" s="45"/>
      <c r="O770" s="44"/>
      <c r="P770" s="44"/>
      <c r="R770" s="44"/>
      <c r="S770" s="44"/>
      <c r="T770" s="44"/>
    </row>
    <row r="771" ht="15.75" customHeight="1">
      <c r="L771" s="45"/>
      <c r="O771" s="44"/>
      <c r="P771" s="44"/>
      <c r="R771" s="44"/>
      <c r="S771" s="44"/>
      <c r="T771" s="44"/>
    </row>
    <row r="772" ht="15.75" customHeight="1">
      <c r="L772" s="45"/>
      <c r="O772" s="44"/>
      <c r="P772" s="44"/>
      <c r="R772" s="44"/>
      <c r="S772" s="44"/>
      <c r="T772" s="44"/>
    </row>
    <row r="773" ht="15.75" customHeight="1">
      <c r="L773" s="45"/>
      <c r="O773" s="44"/>
      <c r="P773" s="44"/>
      <c r="R773" s="44"/>
      <c r="S773" s="44"/>
      <c r="T773" s="44"/>
    </row>
    <row r="774" ht="15.75" customHeight="1">
      <c r="L774" s="45"/>
      <c r="O774" s="44"/>
      <c r="P774" s="44"/>
      <c r="R774" s="44"/>
      <c r="S774" s="44"/>
      <c r="T774" s="44"/>
    </row>
    <row r="775" ht="15.75" customHeight="1">
      <c r="L775" s="45"/>
      <c r="O775" s="44"/>
      <c r="P775" s="44"/>
      <c r="R775" s="44"/>
      <c r="S775" s="44"/>
      <c r="T775" s="44"/>
    </row>
    <row r="776" ht="15.75" customHeight="1">
      <c r="L776" s="45"/>
      <c r="O776" s="44"/>
      <c r="P776" s="44"/>
      <c r="R776" s="44"/>
      <c r="S776" s="44"/>
      <c r="T776" s="44"/>
    </row>
    <row r="777" ht="15.75" customHeight="1">
      <c r="L777" s="45"/>
      <c r="O777" s="44"/>
      <c r="P777" s="44"/>
      <c r="R777" s="44"/>
      <c r="S777" s="44"/>
      <c r="T777" s="44"/>
    </row>
    <row r="778" ht="15.75" customHeight="1">
      <c r="L778" s="45"/>
      <c r="O778" s="44"/>
      <c r="P778" s="44"/>
      <c r="R778" s="44"/>
      <c r="S778" s="44"/>
      <c r="T778" s="44"/>
    </row>
    <row r="779" ht="15.75" customHeight="1">
      <c r="L779" s="45"/>
      <c r="O779" s="44"/>
      <c r="P779" s="44"/>
      <c r="R779" s="44"/>
      <c r="S779" s="44"/>
      <c r="T779" s="44"/>
    </row>
    <row r="780" ht="15.75" customHeight="1">
      <c r="L780" s="45"/>
      <c r="O780" s="44"/>
      <c r="P780" s="44"/>
      <c r="R780" s="44"/>
      <c r="S780" s="44"/>
      <c r="T780" s="44"/>
    </row>
    <row r="781" ht="15.75" customHeight="1">
      <c r="L781" s="45"/>
      <c r="O781" s="44"/>
      <c r="P781" s="44"/>
      <c r="R781" s="44"/>
      <c r="S781" s="44"/>
      <c r="T781" s="44"/>
    </row>
    <row r="782" ht="15.75" customHeight="1">
      <c r="L782" s="45"/>
      <c r="O782" s="44"/>
      <c r="P782" s="44"/>
      <c r="R782" s="44"/>
      <c r="S782" s="44"/>
      <c r="T782" s="44"/>
    </row>
    <row r="783" ht="15.75" customHeight="1">
      <c r="L783" s="45"/>
      <c r="O783" s="44"/>
      <c r="P783" s="44"/>
      <c r="R783" s="44"/>
      <c r="S783" s="44"/>
      <c r="T783" s="44"/>
    </row>
    <row r="784" ht="15.75" customHeight="1">
      <c r="L784" s="45"/>
      <c r="O784" s="44"/>
      <c r="P784" s="44"/>
      <c r="R784" s="44"/>
      <c r="S784" s="44"/>
      <c r="T784" s="44"/>
    </row>
    <row r="785" ht="15.75" customHeight="1">
      <c r="L785" s="45"/>
      <c r="O785" s="44"/>
      <c r="P785" s="44"/>
      <c r="R785" s="44"/>
      <c r="S785" s="44"/>
      <c r="T785" s="44"/>
    </row>
    <row r="786" ht="15.75" customHeight="1">
      <c r="L786" s="45"/>
      <c r="O786" s="44"/>
      <c r="P786" s="44"/>
      <c r="R786" s="44"/>
      <c r="S786" s="44"/>
      <c r="T786" s="44"/>
    </row>
    <row r="787" ht="15.75" customHeight="1">
      <c r="L787" s="45"/>
      <c r="O787" s="44"/>
      <c r="P787" s="44"/>
      <c r="R787" s="44"/>
      <c r="S787" s="44"/>
      <c r="T787" s="44"/>
    </row>
    <row r="788" ht="15.75" customHeight="1">
      <c r="L788" s="45"/>
      <c r="O788" s="44"/>
      <c r="P788" s="44"/>
      <c r="R788" s="44"/>
      <c r="S788" s="44"/>
      <c r="T788" s="44"/>
    </row>
    <row r="789" ht="15.75" customHeight="1">
      <c r="L789" s="45"/>
      <c r="O789" s="44"/>
      <c r="P789" s="44"/>
      <c r="R789" s="44"/>
      <c r="S789" s="44"/>
      <c r="T789" s="44"/>
    </row>
    <row r="790" ht="15.75" customHeight="1">
      <c r="L790" s="45"/>
      <c r="O790" s="44"/>
      <c r="P790" s="44"/>
      <c r="R790" s="44"/>
      <c r="S790" s="44"/>
      <c r="T790" s="44"/>
    </row>
    <row r="791" ht="15.75" customHeight="1">
      <c r="L791" s="45"/>
      <c r="O791" s="44"/>
      <c r="P791" s="44"/>
      <c r="R791" s="44"/>
      <c r="S791" s="44"/>
      <c r="T791" s="44"/>
    </row>
    <row r="792" ht="15.75" customHeight="1">
      <c r="L792" s="45"/>
      <c r="O792" s="44"/>
      <c r="P792" s="44"/>
      <c r="R792" s="44"/>
      <c r="S792" s="44"/>
      <c r="T792" s="44"/>
    </row>
    <row r="793" ht="15.75" customHeight="1">
      <c r="L793" s="45"/>
      <c r="O793" s="44"/>
      <c r="P793" s="44"/>
      <c r="R793" s="44"/>
      <c r="S793" s="44"/>
      <c r="T793" s="44"/>
    </row>
    <row r="794" ht="15.75" customHeight="1">
      <c r="L794" s="45"/>
      <c r="O794" s="44"/>
      <c r="P794" s="44"/>
      <c r="R794" s="44"/>
      <c r="S794" s="44"/>
      <c r="T794" s="44"/>
    </row>
    <row r="795" ht="15.75" customHeight="1">
      <c r="L795" s="45"/>
      <c r="O795" s="44"/>
      <c r="P795" s="44"/>
      <c r="R795" s="44"/>
      <c r="S795" s="44"/>
      <c r="T795" s="44"/>
    </row>
    <row r="796" ht="15.75" customHeight="1">
      <c r="L796" s="45"/>
      <c r="O796" s="44"/>
      <c r="P796" s="44"/>
      <c r="R796" s="44"/>
      <c r="S796" s="44"/>
      <c r="T796" s="44"/>
    </row>
    <row r="797" ht="15.75" customHeight="1">
      <c r="L797" s="45"/>
      <c r="O797" s="44"/>
      <c r="P797" s="44"/>
      <c r="R797" s="44"/>
      <c r="S797" s="44"/>
      <c r="T797" s="44"/>
    </row>
    <row r="798" ht="15.75" customHeight="1">
      <c r="L798" s="45"/>
      <c r="O798" s="44"/>
      <c r="P798" s="44"/>
      <c r="R798" s="44"/>
      <c r="S798" s="44"/>
      <c r="T798" s="44"/>
    </row>
    <row r="799" ht="15.75" customHeight="1">
      <c r="L799" s="45"/>
      <c r="O799" s="44"/>
      <c r="P799" s="44"/>
      <c r="R799" s="44"/>
      <c r="S799" s="44"/>
      <c r="T799" s="44"/>
    </row>
    <row r="800" ht="15.75" customHeight="1">
      <c r="L800" s="45"/>
      <c r="O800" s="44"/>
      <c r="P800" s="44"/>
      <c r="R800" s="44"/>
      <c r="S800" s="44"/>
      <c r="T800" s="44"/>
    </row>
    <row r="801" ht="15.75" customHeight="1">
      <c r="L801" s="45"/>
      <c r="O801" s="44"/>
      <c r="P801" s="44"/>
      <c r="R801" s="44"/>
      <c r="S801" s="44"/>
      <c r="T801" s="44"/>
    </row>
    <row r="802" ht="15.75" customHeight="1">
      <c r="L802" s="45"/>
      <c r="O802" s="44"/>
      <c r="P802" s="44"/>
      <c r="R802" s="44"/>
      <c r="S802" s="44"/>
      <c r="T802" s="44"/>
    </row>
    <row r="803" ht="15.75" customHeight="1">
      <c r="L803" s="45"/>
      <c r="O803" s="44"/>
      <c r="P803" s="44"/>
      <c r="R803" s="44"/>
      <c r="S803" s="44"/>
      <c r="T803" s="44"/>
    </row>
    <row r="804" ht="15.75" customHeight="1">
      <c r="L804" s="45"/>
      <c r="O804" s="44"/>
      <c r="P804" s="44"/>
      <c r="R804" s="44"/>
      <c r="S804" s="44"/>
      <c r="T804" s="44"/>
    </row>
    <row r="805" ht="15.75" customHeight="1">
      <c r="L805" s="45"/>
      <c r="O805" s="44"/>
      <c r="P805" s="44"/>
      <c r="R805" s="44"/>
      <c r="S805" s="44"/>
      <c r="T805" s="44"/>
    </row>
    <row r="806" ht="15.75" customHeight="1">
      <c r="L806" s="45"/>
      <c r="O806" s="44"/>
      <c r="P806" s="44"/>
      <c r="R806" s="44"/>
      <c r="S806" s="44"/>
      <c r="T806" s="44"/>
    </row>
    <row r="807" ht="15.75" customHeight="1">
      <c r="L807" s="45"/>
      <c r="O807" s="44"/>
      <c r="P807" s="44"/>
      <c r="R807" s="44"/>
      <c r="S807" s="44"/>
      <c r="T807" s="44"/>
    </row>
    <row r="808" ht="15.75" customHeight="1">
      <c r="L808" s="45"/>
      <c r="O808" s="44"/>
      <c r="P808" s="44"/>
      <c r="R808" s="44"/>
      <c r="S808" s="44"/>
      <c r="T808" s="44"/>
    </row>
    <row r="809" ht="15.75" customHeight="1">
      <c r="L809" s="45"/>
      <c r="O809" s="44"/>
      <c r="P809" s="44"/>
      <c r="R809" s="44"/>
      <c r="S809" s="44"/>
      <c r="T809" s="44"/>
    </row>
    <row r="810" ht="15.75" customHeight="1">
      <c r="L810" s="45"/>
      <c r="O810" s="44"/>
      <c r="P810" s="44"/>
      <c r="R810" s="44"/>
      <c r="S810" s="44"/>
      <c r="T810" s="44"/>
    </row>
    <row r="811" ht="15.75" customHeight="1">
      <c r="L811" s="45"/>
      <c r="O811" s="44"/>
      <c r="P811" s="44"/>
      <c r="R811" s="44"/>
      <c r="S811" s="44"/>
      <c r="T811" s="44"/>
    </row>
    <row r="812" ht="15.75" customHeight="1">
      <c r="L812" s="45"/>
      <c r="O812" s="44"/>
      <c r="P812" s="44"/>
      <c r="R812" s="44"/>
      <c r="S812" s="44"/>
      <c r="T812" s="44"/>
    </row>
    <row r="813" ht="15.75" customHeight="1">
      <c r="L813" s="45"/>
      <c r="O813" s="44"/>
      <c r="P813" s="44"/>
      <c r="R813" s="44"/>
      <c r="S813" s="44"/>
      <c r="T813" s="44"/>
    </row>
    <row r="814" ht="15.75" customHeight="1">
      <c r="L814" s="45"/>
      <c r="O814" s="44"/>
      <c r="P814" s="44"/>
      <c r="R814" s="44"/>
      <c r="S814" s="44"/>
      <c r="T814" s="44"/>
    </row>
    <row r="815" ht="15.75" customHeight="1">
      <c r="L815" s="45"/>
      <c r="O815" s="44"/>
      <c r="P815" s="44"/>
      <c r="R815" s="44"/>
      <c r="S815" s="44"/>
      <c r="T815" s="44"/>
    </row>
    <row r="816" ht="15.75" customHeight="1">
      <c r="L816" s="45"/>
      <c r="O816" s="44"/>
      <c r="P816" s="44"/>
      <c r="R816" s="44"/>
      <c r="S816" s="44"/>
      <c r="T816" s="44"/>
    </row>
    <row r="817" ht="15.75" customHeight="1">
      <c r="L817" s="45"/>
      <c r="O817" s="44"/>
      <c r="P817" s="44"/>
      <c r="R817" s="44"/>
      <c r="S817" s="44"/>
      <c r="T817" s="44"/>
    </row>
    <row r="818" ht="15.75" customHeight="1">
      <c r="L818" s="45"/>
      <c r="O818" s="44"/>
      <c r="P818" s="44"/>
      <c r="R818" s="44"/>
      <c r="S818" s="44"/>
      <c r="T818" s="44"/>
    </row>
    <row r="819" ht="15.75" customHeight="1">
      <c r="L819" s="45"/>
      <c r="O819" s="44"/>
      <c r="P819" s="44"/>
      <c r="R819" s="44"/>
      <c r="S819" s="44"/>
      <c r="T819" s="44"/>
    </row>
    <row r="820" ht="15.75" customHeight="1">
      <c r="L820" s="45"/>
      <c r="O820" s="44"/>
      <c r="P820" s="44"/>
      <c r="R820" s="44"/>
      <c r="S820" s="44"/>
      <c r="T820" s="44"/>
    </row>
    <row r="821" ht="15.75" customHeight="1">
      <c r="L821" s="45"/>
      <c r="O821" s="44"/>
      <c r="P821" s="44"/>
      <c r="R821" s="44"/>
      <c r="S821" s="44"/>
      <c r="T821" s="44"/>
    </row>
    <row r="822" ht="15.75" customHeight="1">
      <c r="L822" s="45"/>
      <c r="O822" s="44"/>
      <c r="P822" s="44"/>
      <c r="R822" s="44"/>
      <c r="S822" s="44"/>
      <c r="T822" s="44"/>
    </row>
    <row r="823" ht="15.75" customHeight="1">
      <c r="L823" s="45"/>
      <c r="O823" s="44"/>
      <c r="P823" s="44"/>
      <c r="R823" s="44"/>
      <c r="S823" s="44"/>
      <c r="T823" s="44"/>
    </row>
    <row r="824" ht="15.75" customHeight="1">
      <c r="L824" s="45"/>
      <c r="O824" s="44"/>
      <c r="P824" s="44"/>
      <c r="R824" s="44"/>
      <c r="S824" s="44"/>
      <c r="T824" s="44"/>
    </row>
    <row r="825" ht="15.75" customHeight="1">
      <c r="L825" s="45"/>
      <c r="O825" s="44"/>
      <c r="P825" s="44"/>
      <c r="R825" s="44"/>
      <c r="S825" s="44"/>
      <c r="T825" s="44"/>
    </row>
    <row r="826" ht="15.75" customHeight="1">
      <c r="L826" s="45"/>
      <c r="O826" s="44"/>
      <c r="P826" s="44"/>
      <c r="R826" s="44"/>
      <c r="S826" s="44"/>
      <c r="T826" s="44"/>
    </row>
    <row r="827" ht="15.75" customHeight="1">
      <c r="L827" s="45"/>
      <c r="O827" s="44"/>
      <c r="P827" s="44"/>
      <c r="R827" s="44"/>
      <c r="S827" s="44"/>
      <c r="T827" s="44"/>
    </row>
    <row r="828" ht="15.75" customHeight="1">
      <c r="L828" s="45"/>
      <c r="O828" s="44"/>
      <c r="P828" s="44"/>
      <c r="R828" s="44"/>
      <c r="S828" s="44"/>
      <c r="T828" s="44"/>
    </row>
    <row r="829" ht="15.75" customHeight="1">
      <c r="L829" s="45"/>
      <c r="O829" s="44"/>
      <c r="P829" s="44"/>
      <c r="R829" s="44"/>
      <c r="S829" s="44"/>
      <c r="T829" s="44"/>
    </row>
    <row r="830" ht="15.75" customHeight="1">
      <c r="L830" s="45"/>
      <c r="O830" s="44"/>
      <c r="P830" s="44"/>
      <c r="R830" s="44"/>
      <c r="S830" s="44"/>
      <c r="T830" s="44"/>
    </row>
    <row r="831" ht="15.75" customHeight="1">
      <c r="L831" s="45"/>
      <c r="O831" s="44"/>
      <c r="P831" s="44"/>
      <c r="R831" s="44"/>
      <c r="S831" s="44"/>
      <c r="T831" s="44"/>
    </row>
    <row r="832" ht="15.75" customHeight="1">
      <c r="L832" s="45"/>
      <c r="O832" s="44"/>
      <c r="P832" s="44"/>
      <c r="R832" s="44"/>
      <c r="S832" s="44"/>
      <c r="T832" s="44"/>
    </row>
    <row r="833" ht="15.75" customHeight="1">
      <c r="L833" s="45"/>
      <c r="O833" s="44"/>
      <c r="P833" s="44"/>
      <c r="R833" s="44"/>
      <c r="S833" s="44"/>
      <c r="T833" s="44"/>
    </row>
    <row r="834" ht="15.75" customHeight="1">
      <c r="L834" s="45"/>
      <c r="O834" s="44"/>
      <c r="P834" s="44"/>
      <c r="R834" s="44"/>
      <c r="S834" s="44"/>
      <c r="T834" s="44"/>
    </row>
    <row r="835" ht="15.75" customHeight="1">
      <c r="L835" s="45"/>
      <c r="O835" s="44"/>
      <c r="P835" s="44"/>
      <c r="R835" s="44"/>
      <c r="S835" s="44"/>
      <c r="T835" s="44"/>
    </row>
    <row r="836" ht="15.75" customHeight="1">
      <c r="L836" s="45"/>
      <c r="O836" s="44"/>
      <c r="P836" s="44"/>
      <c r="R836" s="44"/>
      <c r="S836" s="44"/>
      <c r="T836" s="44"/>
    </row>
    <row r="837" ht="15.75" customHeight="1">
      <c r="L837" s="45"/>
      <c r="O837" s="44"/>
      <c r="P837" s="44"/>
      <c r="R837" s="44"/>
      <c r="S837" s="44"/>
      <c r="T837" s="44"/>
    </row>
    <row r="838" ht="15.75" customHeight="1">
      <c r="L838" s="45"/>
      <c r="O838" s="44"/>
      <c r="P838" s="44"/>
      <c r="R838" s="44"/>
      <c r="S838" s="44"/>
      <c r="T838" s="44"/>
    </row>
    <row r="839" ht="15.75" customHeight="1">
      <c r="L839" s="45"/>
      <c r="O839" s="44"/>
      <c r="P839" s="44"/>
      <c r="R839" s="44"/>
      <c r="S839" s="44"/>
      <c r="T839" s="44"/>
    </row>
    <row r="840" ht="15.75" customHeight="1">
      <c r="L840" s="45"/>
      <c r="O840" s="44"/>
      <c r="P840" s="44"/>
      <c r="R840" s="44"/>
      <c r="S840" s="44"/>
      <c r="T840" s="44"/>
    </row>
    <row r="841" ht="15.75" customHeight="1">
      <c r="L841" s="45"/>
      <c r="O841" s="44"/>
      <c r="P841" s="44"/>
      <c r="R841" s="44"/>
      <c r="S841" s="44"/>
      <c r="T841" s="44"/>
    </row>
    <row r="842" ht="15.75" customHeight="1">
      <c r="L842" s="45"/>
      <c r="O842" s="44"/>
      <c r="P842" s="44"/>
      <c r="R842" s="44"/>
      <c r="S842" s="44"/>
      <c r="T842" s="44"/>
    </row>
    <row r="843" ht="15.75" customHeight="1">
      <c r="L843" s="45"/>
      <c r="O843" s="44"/>
      <c r="P843" s="44"/>
      <c r="R843" s="44"/>
      <c r="S843" s="44"/>
      <c r="T843" s="44"/>
    </row>
    <row r="844" ht="15.75" customHeight="1">
      <c r="L844" s="45"/>
      <c r="O844" s="44"/>
      <c r="P844" s="44"/>
      <c r="R844" s="44"/>
      <c r="S844" s="44"/>
      <c r="T844" s="44"/>
    </row>
    <row r="845" ht="15.75" customHeight="1">
      <c r="L845" s="45"/>
      <c r="O845" s="44"/>
      <c r="P845" s="44"/>
      <c r="R845" s="44"/>
      <c r="S845" s="44"/>
      <c r="T845" s="44"/>
    </row>
    <row r="846" ht="15.75" customHeight="1">
      <c r="L846" s="45"/>
      <c r="O846" s="44"/>
      <c r="P846" s="44"/>
      <c r="R846" s="44"/>
      <c r="S846" s="44"/>
      <c r="T846" s="44"/>
    </row>
    <row r="847" ht="15.75" customHeight="1">
      <c r="L847" s="45"/>
      <c r="O847" s="44"/>
      <c r="P847" s="44"/>
      <c r="R847" s="44"/>
      <c r="S847" s="44"/>
      <c r="T847" s="44"/>
    </row>
    <row r="848" ht="15.75" customHeight="1">
      <c r="L848" s="45"/>
      <c r="O848" s="44"/>
      <c r="P848" s="44"/>
      <c r="R848" s="44"/>
      <c r="S848" s="44"/>
      <c r="T848" s="44"/>
    </row>
    <row r="849" ht="15.75" customHeight="1">
      <c r="L849" s="45"/>
      <c r="O849" s="44"/>
      <c r="P849" s="44"/>
      <c r="R849" s="44"/>
      <c r="S849" s="44"/>
      <c r="T849" s="44"/>
    </row>
    <row r="850" ht="15.75" customHeight="1">
      <c r="L850" s="45"/>
      <c r="O850" s="44"/>
      <c r="P850" s="44"/>
      <c r="R850" s="44"/>
      <c r="S850" s="44"/>
      <c r="T850" s="44"/>
    </row>
    <row r="851" ht="15.75" customHeight="1">
      <c r="L851" s="45"/>
      <c r="O851" s="44"/>
      <c r="P851" s="44"/>
      <c r="R851" s="44"/>
      <c r="S851" s="44"/>
      <c r="T851" s="44"/>
    </row>
    <row r="852" ht="15.75" customHeight="1">
      <c r="L852" s="45"/>
      <c r="O852" s="44"/>
      <c r="P852" s="44"/>
      <c r="R852" s="44"/>
      <c r="S852" s="44"/>
      <c r="T852" s="44"/>
    </row>
    <row r="853" ht="15.75" customHeight="1">
      <c r="L853" s="45"/>
      <c r="O853" s="44"/>
      <c r="P853" s="44"/>
      <c r="R853" s="44"/>
      <c r="S853" s="44"/>
      <c r="T853" s="44"/>
    </row>
    <row r="854" ht="15.75" customHeight="1">
      <c r="L854" s="45"/>
      <c r="O854" s="44"/>
      <c r="P854" s="44"/>
      <c r="R854" s="44"/>
      <c r="S854" s="44"/>
      <c r="T854" s="44"/>
    </row>
    <row r="855" ht="15.75" customHeight="1">
      <c r="L855" s="45"/>
      <c r="O855" s="44"/>
      <c r="P855" s="44"/>
      <c r="R855" s="44"/>
      <c r="S855" s="44"/>
      <c r="T855" s="44"/>
    </row>
    <row r="856" ht="15.75" customHeight="1">
      <c r="L856" s="45"/>
      <c r="O856" s="44"/>
      <c r="P856" s="44"/>
      <c r="R856" s="44"/>
      <c r="S856" s="44"/>
      <c r="T856" s="44"/>
    </row>
    <row r="857" ht="15.75" customHeight="1">
      <c r="L857" s="45"/>
      <c r="O857" s="44"/>
      <c r="P857" s="44"/>
      <c r="R857" s="44"/>
      <c r="S857" s="44"/>
      <c r="T857" s="44"/>
    </row>
    <row r="858" ht="15.75" customHeight="1">
      <c r="L858" s="45"/>
      <c r="O858" s="44"/>
      <c r="P858" s="44"/>
      <c r="R858" s="44"/>
      <c r="S858" s="44"/>
      <c r="T858" s="44"/>
    </row>
    <row r="859" ht="15.75" customHeight="1">
      <c r="L859" s="45"/>
      <c r="O859" s="44"/>
      <c r="P859" s="44"/>
      <c r="R859" s="44"/>
      <c r="S859" s="44"/>
      <c r="T859" s="44"/>
    </row>
    <row r="860" ht="15.75" customHeight="1">
      <c r="L860" s="45"/>
      <c r="O860" s="44"/>
      <c r="P860" s="44"/>
      <c r="R860" s="44"/>
      <c r="S860" s="44"/>
      <c r="T860" s="44"/>
    </row>
    <row r="861" ht="15.75" customHeight="1">
      <c r="L861" s="45"/>
      <c r="O861" s="44"/>
      <c r="P861" s="44"/>
      <c r="R861" s="44"/>
      <c r="S861" s="44"/>
      <c r="T861" s="44"/>
    </row>
    <row r="862" ht="15.75" customHeight="1">
      <c r="L862" s="45"/>
      <c r="O862" s="44"/>
      <c r="P862" s="44"/>
      <c r="R862" s="44"/>
      <c r="S862" s="44"/>
      <c r="T862" s="44"/>
    </row>
    <row r="863" ht="15.75" customHeight="1">
      <c r="L863" s="45"/>
      <c r="O863" s="44"/>
      <c r="P863" s="44"/>
      <c r="R863" s="44"/>
      <c r="S863" s="44"/>
      <c r="T863" s="44"/>
    </row>
    <row r="864" ht="15.75" customHeight="1">
      <c r="L864" s="45"/>
      <c r="O864" s="44"/>
      <c r="P864" s="44"/>
      <c r="R864" s="44"/>
      <c r="S864" s="44"/>
      <c r="T864" s="44"/>
    </row>
    <row r="865" ht="15.75" customHeight="1">
      <c r="L865" s="45"/>
      <c r="O865" s="44"/>
      <c r="P865" s="44"/>
      <c r="R865" s="44"/>
      <c r="S865" s="44"/>
      <c r="T865" s="44"/>
    </row>
    <row r="866" ht="15.75" customHeight="1">
      <c r="L866" s="45"/>
      <c r="O866" s="44"/>
      <c r="P866" s="44"/>
      <c r="R866" s="44"/>
      <c r="S866" s="44"/>
      <c r="T866" s="44"/>
    </row>
    <row r="867" ht="15.75" customHeight="1">
      <c r="L867" s="45"/>
      <c r="O867" s="44"/>
      <c r="P867" s="44"/>
      <c r="R867" s="44"/>
      <c r="S867" s="44"/>
      <c r="T867" s="44"/>
    </row>
    <row r="868" ht="15.75" customHeight="1">
      <c r="L868" s="45"/>
      <c r="O868" s="44"/>
      <c r="P868" s="44"/>
      <c r="R868" s="44"/>
      <c r="S868" s="44"/>
      <c r="T868" s="44"/>
    </row>
    <row r="869" ht="15.75" customHeight="1">
      <c r="L869" s="45"/>
      <c r="O869" s="44"/>
      <c r="P869" s="44"/>
      <c r="R869" s="44"/>
      <c r="S869" s="44"/>
      <c r="T869" s="44"/>
    </row>
    <row r="870" ht="15.75" customHeight="1">
      <c r="L870" s="45"/>
      <c r="O870" s="44"/>
      <c r="P870" s="44"/>
      <c r="R870" s="44"/>
      <c r="S870" s="44"/>
      <c r="T870" s="44"/>
    </row>
    <row r="871" ht="15.75" customHeight="1">
      <c r="L871" s="45"/>
      <c r="O871" s="44"/>
      <c r="P871" s="44"/>
      <c r="R871" s="44"/>
      <c r="S871" s="44"/>
      <c r="T871" s="44"/>
    </row>
    <row r="872" ht="15.75" customHeight="1">
      <c r="L872" s="45"/>
      <c r="O872" s="44"/>
      <c r="P872" s="44"/>
      <c r="R872" s="44"/>
      <c r="S872" s="44"/>
      <c r="T872" s="44"/>
    </row>
    <row r="873" ht="15.75" customHeight="1">
      <c r="L873" s="45"/>
      <c r="O873" s="44"/>
      <c r="P873" s="44"/>
      <c r="R873" s="44"/>
      <c r="S873" s="44"/>
      <c r="T873" s="44"/>
    </row>
    <row r="874" ht="15.75" customHeight="1">
      <c r="L874" s="45"/>
      <c r="O874" s="44"/>
      <c r="P874" s="44"/>
      <c r="R874" s="44"/>
      <c r="S874" s="44"/>
      <c r="T874" s="44"/>
    </row>
    <row r="875" ht="15.75" customHeight="1">
      <c r="L875" s="45"/>
      <c r="O875" s="44"/>
      <c r="P875" s="44"/>
      <c r="R875" s="44"/>
      <c r="S875" s="44"/>
      <c r="T875" s="44"/>
    </row>
    <row r="876" ht="15.75" customHeight="1">
      <c r="L876" s="45"/>
      <c r="O876" s="44"/>
      <c r="P876" s="44"/>
      <c r="R876" s="44"/>
      <c r="S876" s="44"/>
      <c r="T876" s="44"/>
    </row>
    <row r="877" ht="15.75" customHeight="1">
      <c r="L877" s="45"/>
      <c r="O877" s="44"/>
      <c r="P877" s="44"/>
      <c r="R877" s="44"/>
      <c r="S877" s="44"/>
      <c r="T877" s="44"/>
    </row>
    <row r="878" ht="15.75" customHeight="1">
      <c r="L878" s="45"/>
      <c r="O878" s="44"/>
      <c r="P878" s="44"/>
      <c r="R878" s="44"/>
      <c r="S878" s="44"/>
      <c r="T878" s="44"/>
    </row>
    <row r="879" ht="15.75" customHeight="1">
      <c r="L879" s="45"/>
      <c r="O879" s="44"/>
      <c r="P879" s="44"/>
      <c r="R879" s="44"/>
      <c r="S879" s="44"/>
      <c r="T879" s="44"/>
    </row>
    <row r="880" ht="15.75" customHeight="1">
      <c r="L880" s="45"/>
      <c r="O880" s="44"/>
      <c r="P880" s="44"/>
      <c r="R880" s="44"/>
      <c r="S880" s="44"/>
      <c r="T880" s="44"/>
    </row>
    <row r="881" ht="15.75" customHeight="1">
      <c r="L881" s="45"/>
      <c r="O881" s="44"/>
      <c r="P881" s="44"/>
      <c r="R881" s="44"/>
      <c r="S881" s="44"/>
      <c r="T881" s="44"/>
    </row>
    <row r="882" ht="15.75" customHeight="1">
      <c r="L882" s="45"/>
      <c r="O882" s="44"/>
      <c r="P882" s="44"/>
      <c r="R882" s="44"/>
      <c r="S882" s="44"/>
      <c r="T882" s="44"/>
    </row>
    <row r="883" ht="15.75" customHeight="1">
      <c r="L883" s="45"/>
      <c r="O883" s="44"/>
      <c r="P883" s="44"/>
      <c r="R883" s="44"/>
      <c r="S883" s="44"/>
      <c r="T883" s="44"/>
    </row>
    <row r="884" ht="15.75" customHeight="1">
      <c r="L884" s="45"/>
      <c r="O884" s="44"/>
      <c r="P884" s="44"/>
      <c r="R884" s="44"/>
      <c r="S884" s="44"/>
      <c r="T884" s="44"/>
    </row>
    <row r="885" ht="15.75" customHeight="1">
      <c r="L885" s="45"/>
      <c r="O885" s="44"/>
      <c r="P885" s="44"/>
      <c r="R885" s="44"/>
      <c r="S885" s="44"/>
      <c r="T885" s="44"/>
    </row>
    <row r="886" ht="15.75" customHeight="1">
      <c r="L886" s="45"/>
      <c r="O886" s="44"/>
      <c r="P886" s="44"/>
      <c r="R886" s="44"/>
      <c r="S886" s="44"/>
      <c r="T886" s="44"/>
    </row>
    <row r="887" ht="15.75" customHeight="1">
      <c r="L887" s="45"/>
      <c r="O887" s="44"/>
      <c r="P887" s="44"/>
      <c r="R887" s="44"/>
      <c r="S887" s="44"/>
      <c r="T887" s="44"/>
    </row>
    <row r="888" ht="15.75" customHeight="1">
      <c r="L888" s="45"/>
      <c r="O888" s="44"/>
      <c r="P888" s="44"/>
      <c r="R888" s="44"/>
      <c r="S888" s="44"/>
      <c r="T888" s="44"/>
    </row>
    <row r="889" ht="15.75" customHeight="1">
      <c r="L889" s="45"/>
      <c r="O889" s="44"/>
      <c r="P889" s="44"/>
      <c r="R889" s="44"/>
      <c r="S889" s="44"/>
      <c r="T889" s="44"/>
    </row>
    <row r="890" ht="15.75" customHeight="1">
      <c r="L890" s="45"/>
      <c r="O890" s="44"/>
      <c r="P890" s="44"/>
      <c r="R890" s="44"/>
      <c r="S890" s="44"/>
      <c r="T890" s="44"/>
    </row>
    <row r="891" ht="15.75" customHeight="1">
      <c r="L891" s="45"/>
      <c r="O891" s="44"/>
      <c r="P891" s="44"/>
      <c r="R891" s="44"/>
      <c r="S891" s="44"/>
      <c r="T891" s="44"/>
    </row>
    <row r="892" ht="15.75" customHeight="1">
      <c r="L892" s="45"/>
      <c r="O892" s="44"/>
      <c r="P892" s="44"/>
      <c r="R892" s="44"/>
      <c r="S892" s="44"/>
      <c r="T892" s="44"/>
    </row>
    <row r="893" ht="15.75" customHeight="1">
      <c r="L893" s="45"/>
      <c r="O893" s="44"/>
      <c r="P893" s="44"/>
      <c r="R893" s="44"/>
      <c r="S893" s="44"/>
      <c r="T893" s="44"/>
    </row>
    <row r="894" ht="15.75" customHeight="1">
      <c r="L894" s="45"/>
      <c r="O894" s="44"/>
      <c r="P894" s="44"/>
      <c r="R894" s="44"/>
      <c r="S894" s="44"/>
      <c r="T894" s="44"/>
    </row>
    <row r="895" ht="15.75" customHeight="1">
      <c r="L895" s="45"/>
      <c r="O895" s="44"/>
      <c r="P895" s="44"/>
      <c r="R895" s="44"/>
      <c r="S895" s="44"/>
      <c r="T895" s="44"/>
    </row>
    <row r="896" ht="15.75" customHeight="1">
      <c r="L896" s="45"/>
      <c r="O896" s="44"/>
      <c r="P896" s="44"/>
      <c r="R896" s="44"/>
      <c r="S896" s="44"/>
      <c r="T896" s="44"/>
    </row>
    <row r="897" ht="15.75" customHeight="1">
      <c r="L897" s="45"/>
      <c r="O897" s="44"/>
      <c r="P897" s="44"/>
      <c r="R897" s="44"/>
      <c r="S897" s="44"/>
      <c r="T897" s="44"/>
    </row>
    <row r="898" ht="15.75" customHeight="1">
      <c r="L898" s="45"/>
      <c r="O898" s="44"/>
      <c r="P898" s="44"/>
      <c r="R898" s="44"/>
      <c r="S898" s="44"/>
      <c r="T898" s="44"/>
    </row>
    <row r="899" ht="15.75" customHeight="1">
      <c r="L899" s="45"/>
      <c r="O899" s="44"/>
      <c r="P899" s="44"/>
      <c r="R899" s="44"/>
      <c r="S899" s="44"/>
      <c r="T899" s="44"/>
    </row>
    <row r="900" ht="15.75" customHeight="1">
      <c r="L900" s="45"/>
      <c r="O900" s="44"/>
      <c r="P900" s="44"/>
      <c r="R900" s="44"/>
      <c r="S900" s="44"/>
      <c r="T900" s="44"/>
    </row>
    <row r="901" ht="15.75" customHeight="1">
      <c r="L901" s="45"/>
      <c r="O901" s="44"/>
      <c r="P901" s="44"/>
      <c r="R901" s="44"/>
      <c r="S901" s="44"/>
      <c r="T901" s="44"/>
    </row>
    <row r="902" ht="15.75" customHeight="1">
      <c r="L902" s="45"/>
      <c r="O902" s="44"/>
      <c r="P902" s="44"/>
      <c r="R902" s="44"/>
      <c r="S902" s="44"/>
      <c r="T902" s="44"/>
    </row>
    <row r="903" ht="15.75" customHeight="1">
      <c r="L903" s="45"/>
      <c r="O903" s="44"/>
      <c r="P903" s="44"/>
      <c r="R903" s="44"/>
      <c r="S903" s="44"/>
      <c r="T903" s="44"/>
    </row>
    <row r="904" ht="15.75" customHeight="1">
      <c r="L904" s="45"/>
      <c r="O904" s="44"/>
      <c r="P904" s="44"/>
      <c r="R904" s="44"/>
      <c r="S904" s="44"/>
      <c r="T904" s="44"/>
    </row>
    <row r="905" ht="15.75" customHeight="1">
      <c r="L905" s="45"/>
      <c r="O905" s="44"/>
      <c r="P905" s="44"/>
      <c r="R905" s="44"/>
      <c r="S905" s="44"/>
      <c r="T905" s="44"/>
    </row>
    <row r="906" ht="15.75" customHeight="1">
      <c r="L906" s="45"/>
      <c r="O906" s="44"/>
      <c r="P906" s="44"/>
      <c r="R906" s="44"/>
      <c r="S906" s="44"/>
      <c r="T906" s="44"/>
    </row>
    <row r="907" ht="15.75" customHeight="1">
      <c r="L907" s="45"/>
      <c r="O907" s="44"/>
      <c r="P907" s="44"/>
      <c r="R907" s="44"/>
      <c r="S907" s="44"/>
      <c r="T907" s="44"/>
    </row>
    <row r="908" ht="15.75" customHeight="1">
      <c r="L908" s="45"/>
      <c r="O908" s="44"/>
      <c r="P908" s="44"/>
      <c r="R908" s="44"/>
      <c r="S908" s="44"/>
      <c r="T908" s="44"/>
    </row>
    <row r="909" ht="15.75" customHeight="1">
      <c r="L909" s="45"/>
      <c r="O909" s="44"/>
      <c r="P909" s="44"/>
      <c r="R909" s="44"/>
      <c r="S909" s="44"/>
      <c r="T909" s="44"/>
    </row>
    <row r="910" ht="15.75" customHeight="1">
      <c r="L910" s="45"/>
      <c r="O910" s="44"/>
      <c r="P910" s="44"/>
      <c r="R910" s="44"/>
      <c r="S910" s="44"/>
      <c r="T910" s="44"/>
    </row>
    <row r="911" ht="15.75" customHeight="1">
      <c r="L911" s="45"/>
      <c r="O911" s="44"/>
      <c r="P911" s="44"/>
      <c r="R911" s="44"/>
      <c r="S911" s="44"/>
      <c r="T911" s="44"/>
    </row>
    <row r="912" ht="15.75" customHeight="1">
      <c r="L912" s="45"/>
      <c r="O912" s="44"/>
      <c r="P912" s="44"/>
      <c r="R912" s="44"/>
      <c r="S912" s="44"/>
      <c r="T912" s="44"/>
    </row>
    <row r="913" ht="15.75" customHeight="1">
      <c r="L913" s="45"/>
      <c r="O913" s="44"/>
      <c r="P913" s="44"/>
      <c r="R913" s="44"/>
      <c r="S913" s="44"/>
      <c r="T913" s="44"/>
    </row>
    <row r="914" ht="15.75" customHeight="1">
      <c r="L914" s="45"/>
      <c r="O914" s="44"/>
      <c r="P914" s="44"/>
      <c r="R914" s="44"/>
      <c r="S914" s="44"/>
      <c r="T914" s="44"/>
    </row>
    <row r="915" ht="15.75" customHeight="1">
      <c r="L915" s="45"/>
      <c r="O915" s="44"/>
      <c r="P915" s="44"/>
      <c r="R915" s="44"/>
      <c r="S915" s="44"/>
      <c r="T915" s="44"/>
    </row>
    <row r="916" ht="15.75" customHeight="1">
      <c r="L916" s="45"/>
      <c r="O916" s="44"/>
      <c r="P916" s="44"/>
      <c r="R916" s="44"/>
      <c r="S916" s="44"/>
      <c r="T916" s="44"/>
    </row>
    <row r="917" ht="15.75" customHeight="1">
      <c r="L917" s="45"/>
      <c r="O917" s="44"/>
      <c r="P917" s="44"/>
      <c r="R917" s="44"/>
      <c r="S917" s="44"/>
      <c r="T917" s="44"/>
    </row>
    <row r="918" ht="15.75" customHeight="1">
      <c r="L918" s="45"/>
      <c r="O918" s="44"/>
      <c r="P918" s="44"/>
      <c r="R918" s="44"/>
      <c r="S918" s="44"/>
      <c r="T918" s="44"/>
    </row>
    <row r="919" ht="15.75" customHeight="1">
      <c r="L919" s="45"/>
      <c r="O919" s="44"/>
      <c r="P919" s="44"/>
      <c r="R919" s="44"/>
      <c r="S919" s="44"/>
      <c r="T919" s="44"/>
    </row>
    <row r="920" ht="15.75" customHeight="1">
      <c r="L920" s="45"/>
      <c r="O920" s="44"/>
      <c r="P920" s="44"/>
      <c r="R920" s="44"/>
      <c r="S920" s="44"/>
      <c r="T920" s="44"/>
    </row>
    <row r="921" ht="15.75" customHeight="1">
      <c r="L921" s="45"/>
      <c r="O921" s="44"/>
      <c r="P921" s="44"/>
      <c r="R921" s="44"/>
      <c r="S921" s="44"/>
      <c r="T921" s="44"/>
    </row>
    <row r="922" ht="15.75" customHeight="1">
      <c r="L922" s="45"/>
      <c r="O922" s="44"/>
      <c r="P922" s="44"/>
      <c r="R922" s="44"/>
      <c r="S922" s="44"/>
      <c r="T922" s="44"/>
    </row>
    <row r="923" ht="15.75" customHeight="1">
      <c r="L923" s="45"/>
      <c r="O923" s="44"/>
      <c r="P923" s="44"/>
      <c r="R923" s="44"/>
      <c r="S923" s="44"/>
      <c r="T923" s="44"/>
    </row>
    <row r="924" ht="15.75" customHeight="1">
      <c r="L924" s="45"/>
      <c r="O924" s="44"/>
      <c r="P924" s="44"/>
      <c r="R924" s="44"/>
      <c r="S924" s="44"/>
      <c r="T924" s="44"/>
    </row>
    <row r="925" ht="15.75" customHeight="1">
      <c r="L925" s="45"/>
      <c r="O925" s="44"/>
      <c r="P925" s="44"/>
      <c r="R925" s="44"/>
      <c r="S925" s="44"/>
      <c r="T925" s="44"/>
    </row>
    <row r="926" ht="15.75" customHeight="1">
      <c r="L926" s="45"/>
      <c r="O926" s="44"/>
      <c r="P926" s="44"/>
      <c r="R926" s="44"/>
      <c r="S926" s="44"/>
      <c r="T926" s="44"/>
    </row>
    <row r="927" ht="15.75" customHeight="1">
      <c r="L927" s="45"/>
      <c r="O927" s="44"/>
      <c r="P927" s="44"/>
      <c r="R927" s="44"/>
      <c r="S927" s="44"/>
      <c r="T927" s="44"/>
    </row>
    <row r="928" ht="15.75" customHeight="1">
      <c r="L928" s="45"/>
      <c r="O928" s="44"/>
      <c r="P928" s="44"/>
      <c r="R928" s="44"/>
      <c r="S928" s="44"/>
      <c r="T928" s="44"/>
    </row>
    <row r="929" ht="15.75" customHeight="1">
      <c r="L929" s="45"/>
      <c r="O929" s="44"/>
      <c r="P929" s="44"/>
      <c r="R929" s="44"/>
      <c r="S929" s="44"/>
      <c r="T929" s="44"/>
    </row>
    <row r="930" ht="15.75" customHeight="1">
      <c r="L930" s="45"/>
      <c r="O930" s="44"/>
      <c r="P930" s="44"/>
      <c r="R930" s="44"/>
      <c r="S930" s="44"/>
      <c r="T930" s="44"/>
    </row>
    <row r="931" ht="15.75" customHeight="1">
      <c r="L931" s="45"/>
      <c r="O931" s="44"/>
      <c r="P931" s="44"/>
      <c r="R931" s="44"/>
      <c r="S931" s="44"/>
      <c r="T931" s="44"/>
    </row>
    <row r="932" ht="15.75" customHeight="1">
      <c r="L932" s="45"/>
      <c r="O932" s="44"/>
      <c r="P932" s="44"/>
      <c r="R932" s="44"/>
      <c r="S932" s="44"/>
      <c r="T932" s="44"/>
    </row>
    <row r="933" ht="15.75" customHeight="1">
      <c r="L933" s="45"/>
      <c r="O933" s="44"/>
      <c r="P933" s="44"/>
      <c r="R933" s="44"/>
      <c r="S933" s="44"/>
      <c r="T933" s="44"/>
    </row>
    <row r="934" ht="15.75" customHeight="1">
      <c r="L934" s="45"/>
      <c r="O934" s="44"/>
      <c r="P934" s="44"/>
      <c r="R934" s="44"/>
      <c r="S934" s="44"/>
      <c r="T934" s="44"/>
    </row>
    <row r="935" ht="15.75" customHeight="1">
      <c r="L935" s="45"/>
      <c r="O935" s="44"/>
      <c r="P935" s="44"/>
      <c r="R935" s="44"/>
      <c r="S935" s="44"/>
      <c r="T935" s="44"/>
    </row>
    <row r="936" ht="15.75" customHeight="1">
      <c r="L936" s="45"/>
      <c r="O936" s="44"/>
      <c r="P936" s="44"/>
      <c r="R936" s="44"/>
      <c r="S936" s="44"/>
      <c r="T936" s="44"/>
    </row>
    <row r="937" ht="15.75" customHeight="1">
      <c r="L937" s="45"/>
      <c r="O937" s="44"/>
      <c r="P937" s="44"/>
      <c r="R937" s="44"/>
      <c r="S937" s="44"/>
      <c r="T937" s="44"/>
    </row>
    <row r="938" ht="15.75" customHeight="1">
      <c r="L938" s="45"/>
      <c r="O938" s="44"/>
      <c r="P938" s="44"/>
      <c r="R938" s="44"/>
      <c r="S938" s="44"/>
      <c r="T938" s="44"/>
    </row>
    <row r="939" ht="15.75" customHeight="1">
      <c r="L939" s="45"/>
      <c r="O939" s="44"/>
      <c r="P939" s="44"/>
      <c r="R939" s="44"/>
      <c r="S939" s="44"/>
      <c r="T939" s="44"/>
    </row>
    <row r="940" ht="15.75" customHeight="1">
      <c r="L940" s="45"/>
      <c r="O940" s="44"/>
      <c r="P940" s="44"/>
      <c r="R940" s="44"/>
      <c r="S940" s="44"/>
      <c r="T940" s="44"/>
    </row>
    <row r="941" ht="15.75" customHeight="1">
      <c r="L941" s="45"/>
      <c r="O941" s="44"/>
      <c r="P941" s="44"/>
      <c r="R941" s="44"/>
      <c r="S941" s="44"/>
      <c r="T941" s="44"/>
    </row>
    <row r="942" ht="15.75" customHeight="1">
      <c r="L942" s="45"/>
      <c r="O942" s="44"/>
      <c r="P942" s="44"/>
      <c r="R942" s="44"/>
      <c r="S942" s="44"/>
      <c r="T942" s="44"/>
    </row>
    <row r="943" ht="15.75" customHeight="1">
      <c r="L943" s="45"/>
      <c r="O943" s="44"/>
      <c r="P943" s="44"/>
      <c r="R943" s="44"/>
      <c r="S943" s="44"/>
      <c r="T943" s="44"/>
    </row>
    <row r="944" ht="15.75" customHeight="1">
      <c r="L944" s="45"/>
      <c r="O944" s="44"/>
      <c r="P944" s="44"/>
      <c r="R944" s="44"/>
      <c r="S944" s="44"/>
      <c r="T944" s="44"/>
    </row>
    <row r="945" ht="15.75" customHeight="1">
      <c r="L945" s="45"/>
      <c r="O945" s="44"/>
      <c r="P945" s="44"/>
      <c r="R945" s="44"/>
      <c r="S945" s="44"/>
      <c r="T945" s="44"/>
    </row>
    <row r="946" ht="15.75" customHeight="1">
      <c r="L946" s="45"/>
      <c r="O946" s="44"/>
      <c r="P946" s="44"/>
      <c r="R946" s="44"/>
      <c r="S946" s="44"/>
      <c r="T946" s="44"/>
    </row>
    <row r="947" ht="15.75" customHeight="1">
      <c r="L947" s="45"/>
      <c r="O947" s="44"/>
      <c r="P947" s="44"/>
      <c r="R947" s="44"/>
      <c r="S947" s="44"/>
      <c r="T947" s="44"/>
    </row>
    <row r="948" ht="15.75" customHeight="1">
      <c r="L948" s="45"/>
      <c r="O948" s="44"/>
      <c r="P948" s="44"/>
      <c r="R948" s="44"/>
      <c r="S948" s="44"/>
      <c r="T948" s="44"/>
    </row>
    <row r="949" ht="15.75" customHeight="1">
      <c r="L949" s="45"/>
      <c r="O949" s="44"/>
      <c r="P949" s="44"/>
      <c r="R949" s="44"/>
      <c r="S949" s="44"/>
      <c r="T949" s="44"/>
    </row>
    <row r="950" ht="15.75" customHeight="1">
      <c r="L950" s="45"/>
      <c r="O950" s="44"/>
      <c r="P950" s="44"/>
      <c r="R950" s="44"/>
      <c r="S950" s="44"/>
      <c r="T950" s="44"/>
    </row>
    <row r="951" ht="15.75" customHeight="1">
      <c r="L951" s="45"/>
      <c r="O951" s="44"/>
      <c r="P951" s="44"/>
      <c r="R951" s="44"/>
      <c r="S951" s="44"/>
      <c r="T951" s="44"/>
    </row>
    <row r="952" ht="15.75" customHeight="1">
      <c r="L952" s="45"/>
      <c r="O952" s="44"/>
      <c r="P952" s="44"/>
      <c r="R952" s="44"/>
      <c r="S952" s="44"/>
      <c r="T952" s="44"/>
    </row>
    <row r="953" ht="15.75" customHeight="1">
      <c r="L953" s="45"/>
      <c r="O953" s="44"/>
      <c r="P953" s="44"/>
      <c r="R953" s="44"/>
      <c r="S953" s="44"/>
      <c r="T953" s="44"/>
    </row>
    <row r="954" ht="15.75" customHeight="1">
      <c r="L954" s="45"/>
      <c r="O954" s="44"/>
      <c r="P954" s="44"/>
      <c r="R954" s="44"/>
      <c r="S954" s="44"/>
      <c r="T954" s="44"/>
    </row>
    <row r="955" ht="15.75" customHeight="1">
      <c r="L955" s="45"/>
      <c r="O955" s="44"/>
      <c r="P955" s="44"/>
      <c r="R955" s="44"/>
      <c r="S955" s="44"/>
      <c r="T955" s="44"/>
    </row>
    <row r="956" ht="15.75" customHeight="1">
      <c r="L956" s="45"/>
      <c r="O956" s="44"/>
      <c r="P956" s="44"/>
      <c r="R956" s="44"/>
      <c r="S956" s="44"/>
      <c r="T956" s="44"/>
    </row>
    <row r="957" ht="15.75" customHeight="1">
      <c r="L957" s="45"/>
      <c r="O957" s="44"/>
      <c r="P957" s="44"/>
      <c r="R957" s="44"/>
      <c r="S957" s="44"/>
      <c r="T957" s="44"/>
    </row>
    <row r="958" ht="15.75" customHeight="1">
      <c r="L958" s="45"/>
      <c r="O958" s="44"/>
      <c r="P958" s="44"/>
      <c r="R958" s="44"/>
      <c r="S958" s="44"/>
      <c r="T958" s="44"/>
    </row>
    <row r="959" ht="15.75" customHeight="1">
      <c r="L959" s="45"/>
      <c r="O959" s="44"/>
      <c r="P959" s="44"/>
      <c r="R959" s="44"/>
      <c r="S959" s="44"/>
      <c r="T959" s="44"/>
    </row>
    <row r="960" ht="15.75" customHeight="1">
      <c r="L960" s="45"/>
      <c r="O960" s="44"/>
      <c r="P960" s="44"/>
      <c r="R960" s="44"/>
      <c r="S960" s="44"/>
      <c r="T960" s="44"/>
    </row>
    <row r="961" ht="15.75" customHeight="1">
      <c r="L961" s="45"/>
      <c r="O961" s="44"/>
      <c r="P961" s="44"/>
      <c r="R961" s="44"/>
      <c r="S961" s="44"/>
      <c r="T961" s="44"/>
    </row>
    <row r="962" ht="15.75" customHeight="1">
      <c r="L962" s="45"/>
      <c r="O962" s="44"/>
      <c r="P962" s="44"/>
      <c r="R962" s="44"/>
      <c r="S962" s="44"/>
      <c r="T962" s="44"/>
    </row>
    <row r="963" ht="15.75" customHeight="1">
      <c r="L963" s="45"/>
      <c r="O963" s="44"/>
      <c r="P963" s="44"/>
      <c r="R963" s="44"/>
      <c r="S963" s="44"/>
      <c r="T963" s="44"/>
    </row>
    <row r="964" ht="15.75" customHeight="1">
      <c r="L964" s="45"/>
      <c r="O964" s="44"/>
      <c r="P964" s="44"/>
      <c r="R964" s="44"/>
      <c r="S964" s="44"/>
      <c r="T964" s="44"/>
    </row>
    <row r="965" ht="15.75" customHeight="1">
      <c r="L965" s="45"/>
      <c r="O965" s="44"/>
      <c r="P965" s="44"/>
      <c r="R965" s="44"/>
      <c r="S965" s="44"/>
      <c r="T965" s="44"/>
    </row>
    <row r="966" ht="15.75" customHeight="1">
      <c r="L966" s="45"/>
      <c r="O966" s="44"/>
      <c r="P966" s="44"/>
      <c r="R966" s="44"/>
      <c r="S966" s="44"/>
      <c r="T966" s="44"/>
    </row>
    <row r="967" ht="15.75" customHeight="1">
      <c r="L967" s="45"/>
      <c r="O967" s="44"/>
      <c r="P967" s="44"/>
      <c r="R967" s="44"/>
      <c r="S967" s="44"/>
      <c r="T967" s="44"/>
    </row>
    <row r="968" ht="15.75" customHeight="1">
      <c r="L968" s="45"/>
      <c r="O968" s="44"/>
      <c r="P968" s="44"/>
      <c r="R968" s="44"/>
      <c r="S968" s="44"/>
      <c r="T968" s="44"/>
    </row>
    <row r="969" ht="15.75" customHeight="1">
      <c r="L969" s="45"/>
      <c r="O969" s="44"/>
      <c r="P969" s="44"/>
      <c r="R969" s="44"/>
      <c r="S969" s="44"/>
      <c r="T969" s="44"/>
    </row>
    <row r="970" ht="15.75" customHeight="1">
      <c r="L970" s="45"/>
      <c r="O970" s="44"/>
      <c r="P970" s="44"/>
      <c r="R970" s="44"/>
      <c r="S970" s="44"/>
      <c r="T970" s="44"/>
    </row>
    <row r="971" ht="15.75" customHeight="1">
      <c r="L971" s="45"/>
      <c r="O971" s="44"/>
      <c r="P971" s="44"/>
      <c r="R971" s="44"/>
      <c r="S971" s="44"/>
      <c r="T971" s="44"/>
    </row>
    <row r="972" ht="15.75" customHeight="1">
      <c r="L972" s="45"/>
      <c r="O972" s="44"/>
      <c r="P972" s="44"/>
      <c r="R972" s="44"/>
      <c r="S972" s="44"/>
      <c r="T972" s="44"/>
    </row>
    <row r="973" ht="15.75" customHeight="1">
      <c r="L973" s="45"/>
      <c r="O973" s="44"/>
      <c r="P973" s="44"/>
      <c r="R973" s="44"/>
      <c r="S973" s="44"/>
      <c r="T973" s="44"/>
    </row>
    <row r="974" ht="15.75" customHeight="1">
      <c r="L974" s="45"/>
      <c r="O974" s="44"/>
      <c r="P974" s="44"/>
      <c r="R974" s="44"/>
      <c r="S974" s="44"/>
      <c r="T974" s="44"/>
    </row>
    <row r="975" ht="15.75" customHeight="1">
      <c r="L975" s="45"/>
      <c r="O975" s="44"/>
      <c r="P975" s="44"/>
      <c r="R975" s="44"/>
      <c r="S975" s="44"/>
      <c r="T975" s="44"/>
    </row>
    <row r="976" ht="15.75" customHeight="1">
      <c r="L976" s="45"/>
      <c r="O976" s="44"/>
      <c r="P976" s="44"/>
      <c r="R976" s="44"/>
      <c r="S976" s="44"/>
      <c r="T976" s="44"/>
    </row>
    <row r="977" ht="15.75" customHeight="1">
      <c r="L977" s="45"/>
      <c r="O977" s="44"/>
      <c r="P977" s="44"/>
      <c r="R977" s="44"/>
      <c r="S977" s="44"/>
      <c r="T977" s="44"/>
    </row>
    <row r="978" ht="15.75" customHeight="1">
      <c r="L978" s="45"/>
      <c r="O978" s="44"/>
      <c r="P978" s="44"/>
      <c r="R978" s="44"/>
      <c r="S978" s="44"/>
      <c r="T978" s="44"/>
    </row>
    <row r="979" ht="15.75" customHeight="1">
      <c r="L979" s="45"/>
      <c r="O979" s="44"/>
      <c r="P979" s="44"/>
      <c r="R979" s="44"/>
      <c r="S979" s="44"/>
      <c r="T979" s="44"/>
    </row>
    <row r="980" ht="15.75" customHeight="1">
      <c r="L980" s="45"/>
      <c r="O980" s="44"/>
      <c r="P980" s="44"/>
      <c r="R980" s="44"/>
      <c r="S980" s="44"/>
      <c r="T980" s="44"/>
    </row>
    <row r="981" ht="15.75" customHeight="1">
      <c r="L981" s="45"/>
      <c r="O981" s="44"/>
      <c r="P981" s="44"/>
      <c r="R981" s="44"/>
      <c r="S981" s="44"/>
      <c r="T981" s="44"/>
    </row>
    <row r="982" ht="15.75" customHeight="1">
      <c r="L982" s="45"/>
      <c r="O982" s="44"/>
      <c r="P982" s="44"/>
      <c r="R982" s="44"/>
      <c r="S982" s="44"/>
      <c r="T982" s="44"/>
    </row>
    <row r="983" ht="15.75" customHeight="1">
      <c r="L983" s="45"/>
      <c r="O983" s="44"/>
      <c r="P983" s="44"/>
      <c r="R983" s="44"/>
      <c r="S983" s="44"/>
      <c r="T983" s="44"/>
    </row>
    <row r="984" ht="15.75" customHeight="1">
      <c r="L984" s="45"/>
      <c r="O984" s="44"/>
      <c r="P984" s="44"/>
      <c r="R984" s="44"/>
      <c r="S984" s="44"/>
      <c r="T984" s="44"/>
    </row>
    <row r="985" ht="15.75" customHeight="1">
      <c r="L985" s="45"/>
      <c r="O985" s="44"/>
      <c r="P985" s="44"/>
      <c r="R985" s="44"/>
      <c r="S985" s="44"/>
      <c r="T985" s="44"/>
    </row>
    <row r="986" ht="15.75" customHeight="1">
      <c r="L986" s="45"/>
      <c r="O986" s="44"/>
      <c r="P986" s="44"/>
      <c r="R986" s="44"/>
      <c r="S986" s="44"/>
      <c r="T986" s="44"/>
    </row>
    <row r="987" ht="15.75" customHeight="1">
      <c r="L987" s="45"/>
      <c r="O987" s="44"/>
      <c r="P987" s="44"/>
      <c r="R987" s="44"/>
      <c r="S987" s="44"/>
      <c r="T987" s="44"/>
    </row>
    <row r="988" ht="15.75" customHeight="1">
      <c r="L988" s="45"/>
      <c r="O988" s="44"/>
      <c r="P988" s="44"/>
      <c r="R988" s="44"/>
      <c r="S988" s="44"/>
      <c r="T988" s="44"/>
    </row>
    <row r="989" ht="15.75" customHeight="1">
      <c r="L989" s="45"/>
      <c r="O989" s="44"/>
      <c r="P989" s="44"/>
      <c r="R989" s="44"/>
      <c r="S989" s="44"/>
      <c r="T989" s="44"/>
    </row>
    <row r="990" ht="15.75" customHeight="1">
      <c r="L990" s="45"/>
      <c r="O990" s="44"/>
      <c r="P990" s="44"/>
      <c r="R990" s="44"/>
      <c r="S990" s="44"/>
      <c r="T990" s="44"/>
    </row>
    <row r="991" ht="15.75" customHeight="1">
      <c r="L991" s="45"/>
      <c r="O991" s="44"/>
      <c r="P991" s="44"/>
      <c r="R991" s="44"/>
      <c r="S991" s="44"/>
      <c r="T991" s="44"/>
    </row>
    <row r="992" ht="15.75" customHeight="1">
      <c r="L992" s="45"/>
      <c r="O992" s="44"/>
      <c r="P992" s="44"/>
      <c r="R992" s="44"/>
      <c r="S992" s="44"/>
      <c r="T992" s="44"/>
    </row>
    <row r="993" ht="15.75" customHeight="1">
      <c r="L993" s="45"/>
      <c r="O993" s="44"/>
      <c r="P993" s="44"/>
      <c r="R993" s="44"/>
      <c r="S993" s="44"/>
      <c r="T993" s="44"/>
    </row>
    <row r="994" ht="15.75" customHeight="1">
      <c r="L994" s="45"/>
      <c r="O994" s="44"/>
      <c r="P994" s="44"/>
      <c r="R994" s="44"/>
      <c r="S994" s="44"/>
      <c r="T994" s="44"/>
    </row>
    <row r="995" ht="15.75" customHeight="1">
      <c r="L995" s="45"/>
      <c r="O995" s="44"/>
      <c r="P995" s="44"/>
      <c r="R995" s="44"/>
      <c r="S995" s="44"/>
      <c r="T995" s="44"/>
    </row>
    <row r="996" ht="15.75" customHeight="1">
      <c r="L996" s="45"/>
      <c r="O996" s="44"/>
      <c r="P996" s="44"/>
      <c r="R996" s="44"/>
      <c r="S996" s="44"/>
      <c r="T996" s="44"/>
    </row>
    <row r="997" ht="15.75" customHeight="1">
      <c r="L997" s="45"/>
      <c r="O997" s="44"/>
      <c r="P997" s="44"/>
      <c r="R997" s="44"/>
      <c r="S997" s="44"/>
      <c r="T997" s="44"/>
    </row>
    <row r="998" ht="15.75" customHeight="1">
      <c r="L998" s="45"/>
      <c r="O998" s="44"/>
      <c r="P998" s="44"/>
      <c r="R998" s="44"/>
      <c r="S998" s="44"/>
      <c r="T998" s="44"/>
    </row>
    <row r="999" ht="15.75" customHeight="1">
      <c r="L999" s="45"/>
      <c r="O999" s="44"/>
      <c r="P999" s="44"/>
      <c r="R999" s="44"/>
      <c r="S999" s="44"/>
      <c r="T999" s="44"/>
    </row>
  </sheetData>
  <autoFilter ref="$A$1:$AP$122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34.25"/>
    <col customWidth="1" min="3" max="4" width="7.5"/>
    <col customWidth="1" min="5" max="5" width="8.38"/>
    <col customWidth="1" min="6" max="6" width="9.75"/>
    <col customWidth="1" min="7" max="7" width="8.75"/>
    <col customWidth="1" min="8" max="8" width="10.5"/>
    <col customWidth="1" min="9" max="9" width="30.13"/>
    <col customWidth="1" min="10" max="10" width="22.25"/>
    <col customWidth="1" min="11" max="11" width="21.25"/>
    <col customWidth="1" min="12" max="12" width="10.75"/>
    <col customWidth="1" min="13" max="13" width="21.63"/>
    <col customWidth="1" min="14" max="14" width="29.0"/>
    <col customWidth="1" min="15" max="15" width="11.75"/>
    <col customWidth="1" min="16" max="16" width="34.38"/>
    <col customWidth="1" min="17" max="17" width="57.38"/>
    <col customWidth="1" min="18" max="20" width="11.75"/>
    <col customWidth="1" min="21" max="21" width="16.63"/>
    <col customWidth="1" min="22" max="22" width="15.38"/>
    <col customWidth="1" min="23" max="23" width="10.0"/>
    <col customWidth="1" min="24" max="24" width="11.0"/>
    <col customWidth="1" min="25" max="25" width="22.25"/>
    <col customWidth="1" min="26" max="26" width="19.13"/>
    <col customWidth="1" min="27" max="27" width="22.0"/>
    <col customWidth="1" min="28" max="28" width="16.25"/>
    <col customWidth="1" min="29" max="29" width="70.25"/>
    <col customWidth="1" min="30" max="30" width="10.63"/>
    <col customWidth="1" min="31" max="31" width="21.5"/>
    <col customWidth="1" min="32" max="32" width="23.13"/>
    <col customWidth="1" min="33" max="33" width="69.38"/>
    <col customWidth="1" min="34" max="34" width="13.88"/>
    <col customWidth="1" min="35" max="35" width="11.88"/>
    <col customWidth="1" min="36" max="36" width="13.0"/>
    <col customWidth="1" min="37" max="37" width="9.5"/>
    <col customWidth="1" min="38" max="38" width="12.5"/>
    <col customWidth="1" min="39" max="39" width="14.75"/>
    <col customWidth="1" min="40" max="40" width="18.75"/>
    <col customWidth="1" min="41" max="41" width="11.63"/>
    <col customWidth="1" min="42" max="42" width="11.38"/>
  </cols>
  <sheetData>
    <row r="1" ht="15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4" t="s">
        <v>2</v>
      </c>
      <c r="W1" s="4" t="s">
        <v>2</v>
      </c>
      <c r="X1" s="4" t="s">
        <v>2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4" t="s">
        <v>2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4" t="s">
        <v>2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</row>
    <row r="2" ht="15.75" customHeight="1">
      <c r="A2" s="5" t="s">
        <v>3</v>
      </c>
      <c r="B2" s="5" t="s">
        <v>4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5" t="s">
        <v>32</v>
      </c>
      <c r="AD2" s="5" t="s">
        <v>33</v>
      </c>
      <c r="AE2" s="5" t="s">
        <v>34</v>
      </c>
      <c r="AF2" s="5" t="s">
        <v>35</v>
      </c>
      <c r="AG2" s="5" t="s">
        <v>36</v>
      </c>
      <c r="AH2" s="5" t="s">
        <v>37</v>
      </c>
      <c r="AI2" s="5" t="s">
        <v>38</v>
      </c>
      <c r="AJ2" s="5" t="s">
        <v>39</v>
      </c>
      <c r="AK2" s="5" t="s">
        <v>40</v>
      </c>
      <c r="AL2" s="5" t="s">
        <v>41</v>
      </c>
      <c r="AM2" s="5" t="s">
        <v>42</v>
      </c>
      <c r="AN2" s="5" t="s">
        <v>43</v>
      </c>
      <c r="AO2" s="5" t="s">
        <v>44</v>
      </c>
      <c r="AP2" s="5" t="s">
        <v>45</v>
      </c>
    </row>
    <row r="3" ht="15.75" customHeight="1">
      <c r="A3" s="61">
        <v>1.0</v>
      </c>
      <c r="B3" s="40" t="s">
        <v>2666</v>
      </c>
      <c r="C3" s="11" t="s">
        <v>2667</v>
      </c>
      <c r="D3" s="12" t="s">
        <v>298</v>
      </c>
      <c r="E3" s="61" t="s">
        <v>73</v>
      </c>
      <c r="F3" s="61" t="s">
        <v>50</v>
      </c>
      <c r="G3" s="11">
        <v>0.19</v>
      </c>
      <c r="H3" s="11">
        <v>1.0</v>
      </c>
      <c r="I3" s="14" t="s">
        <v>2668</v>
      </c>
      <c r="J3" s="40" t="s">
        <v>2666</v>
      </c>
      <c r="K3" s="16" t="s">
        <v>2669</v>
      </c>
      <c r="L3" s="44" t="s">
        <v>298</v>
      </c>
      <c r="M3" s="62" t="s">
        <v>2670</v>
      </c>
      <c r="N3" s="16" t="s">
        <v>2669</v>
      </c>
      <c r="O3" s="44">
        <v>2020.0</v>
      </c>
      <c r="P3" s="14" t="s">
        <v>2671</v>
      </c>
      <c r="Q3" s="14" t="s">
        <v>2672</v>
      </c>
      <c r="R3" s="44" t="s">
        <v>1805</v>
      </c>
      <c r="S3" s="44" t="s">
        <v>2673</v>
      </c>
      <c r="T3" s="44" t="s">
        <v>59</v>
      </c>
      <c r="U3" s="44">
        <v>3.0</v>
      </c>
      <c r="Y3" s="14" t="s">
        <v>420</v>
      </c>
      <c r="Z3" s="14" t="s">
        <v>2674</v>
      </c>
      <c r="AA3" s="14" t="s">
        <v>2675</v>
      </c>
      <c r="AB3" s="14" t="s">
        <v>2676</v>
      </c>
      <c r="AC3" s="47" t="s">
        <v>423</v>
      </c>
      <c r="AE3" s="16" t="s">
        <v>158</v>
      </c>
      <c r="AF3" s="47" t="s">
        <v>2677</v>
      </c>
      <c r="AG3" s="14" t="s">
        <v>2678</v>
      </c>
      <c r="AH3" s="17" t="s">
        <v>2679</v>
      </c>
      <c r="AI3" s="17" t="s">
        <v>2680</v>
      </c>
      <c r="AJ3" s="44" t="s">
        <v>70</v>
      </c>
    </row>
    <row r="4" ht="15.75" customHeight="1">
      <c r="A4" s="61">
        <v>2.0</v>
      </c>
      <c r="B4" s="40" t="s">
        <v>2681</v>
      </c>
      <c r="C4" s="11" t="s">
        <v>2682</v>
      </c>
      <c r="D4" s="12" t="s">
        <v>298</v>
      </c>
      <c r="E4" s="61" t="s">
        <v>73</v>
      </c>
      <c r="F4" s="61" t="s">
        <v>50</v>
      </c>
      <c r="G4" s="11">
        <v>0.43</v>
      </c>
      <c r="H4" s="11">
        <v>13.0</v>
      </c>
      <c r="I4" s="14" t="s">
        <v>2683</v>
      </c>
      <c r="J4" s="40" t="s">
        <v>2681</v>
      </c>
      <c r="K4" s="16" t="s">
        <v>2684</v>
      </c>
      <c r="L4" s="44" t="s">
        <v>298</v>
      </c>
      <c r="M4" s="63" t="s">
        <v>2685</v>
      </c>
      <c r="N4" s="16" t="s">
        <v>2684</v>
      </c>
      <c r="O4" s="44">
        <v>2019.0</v>
      </c>
      <c r="P4" s="14" t="s">
        <v>2686</v>
      </c>
      <c r="Q4" s="14" t="s">
        <v>2686</v>
      </c>
      <c r="R4" s="44" t="s">
        <v>1805</v>
      </c>
      <c r="S4" s="44" t="s">
        <v>2673</v>
      </c>
      <c r="T4" s="44" t="s">
        <v>59</v>
      </c>
      <c r="U4" s="44">
        <v>4.0</v>
      </c>
      <c r="Y4" s="14" t="s">
        <v>431</v>
      </c>
      <c r="Z4" s="14" t="s">
        <v>2687</v>
      </c>
      <c r="AA4" s="14" t="s">
        <v>2688</v>
      </c>
      <c r="AB4" s="14" t="s">
        <v>2689</v>
      </c>
      <c r="AC4" s="47" t="s">
        <v>434</v>
      </c>
      <c r="AE4" s="16" t="s">
        <v>158</v>
      </c>
      <c r="AF4" s="47" t="s">
        <v>2677</v>
      </c>
      <c r="AG4" s="16" t="s">
        <v>2690</v>
      </c>
      <c r="AH4" s="17" t="s">
        <v>2691</v>
      </c>
      <c r="AI4" s="17" t="s">
        <v>2692</v>
      </c>
      <c r="AJ4" s="44" t="s">
        <v>70</v>
      </c>
    </row>
    <row r="5" ht="15.75" customHeight="1">
      <c r="A5" s="61">
        <v>3.0</v>
      </c>
      <c r="B5" s="40" t="s">
        <v>2693</v>
      </c>
      <c r="C5" s="11" t="s">
        <v>2682</v>
      </c>
      <c r="D5" s="12" t="s">
        <v>298</v>
      </c>
      <c r="E5" s="61" t="s">
        <v>73</v>
      </c>
      <c r="F5" s="61" t="s">
        <v>50</v>
      </c>
      <c r="G5" s="11">
        <v>1.51</v>
      </c>
      <c r="H5" s="11">
        <v>186.0</v>
      </c>
      <c r="I5" s="14" t="s">
        <v>2694</v>
      </c>
      <c r="J5" s="40" t="s">
        <v>2693</v>
      </c>
      <c r="K5" s="16" t="s">
        <v>2695</v>
      </c>
      <c r="L5" s="44" t="s">
        <v>298</v>
      </c>
      <c r="M5" s="63" t="s">
        <v>2696</v>
      </c>
      <c r="N5" s="16" t="s">
        <v>2695</v>
      </c>
      <c r="O5" s="44">
        <v>2016.0</v>
      </c>
      <c r="P5" s="14" t="s">
        <v>2697</v>
      </c>
      <c r="Q5" s="14" t="s">
        <v>2698</v>
      </c>
      <c r="R5" s="44" t="s">
        <v>1805</v>
      </c>
      <c r="S5" s="44" t="s">
        <v>2673</v>
      </c>
      <c r="T5" s="44" t="s">
        <v>59</v>
      </c>
      <c r="U5" s="44">
        <v>4.0</v>
      </c>
      <c r="Y5" s="14" t="s">
        <v>800</v>
      </c>
      <c r="Z5" s="14" t="s">
        <v>2687</v>
      </c>
      <c r="AA5" s="14" t="s">
        <v>2688</v>
      </c>
      <c r="AB5" s="14" t="s">
        <v>2699</v>
      </c>
      <c r="AC5" s="47" t="s">
        <v>2700</v>
      </c>
      <c r="AE5" s="16" t="s">
        <v>158</v>
      </c>
      <c r="AF5" s="47" t="s">
        <v>2677</v>
      </c>
      <c r="AG5" s="14" t="s">
        <v>2701</v>
      </c>
      <c r="AH5" s="17" t="s">
        <v>2702</v>
      </c>
      <c r="AI5" s="17" t="s">
        <v>2703</v>
      </c>
      <c r="AJ5" s="44" t="s">
        <v>70</v>
      </c>
    </row>
    <row r="6" ht="15.75" customHeight="1">
      <c r="A6" s="61">
        <v>4.0</v>
      </c>
      <c r="B6" s="40" t="s">
        <v>2704</v>
      </c>
      <c r="C6" s="11" t="s">
        <v>2705</v>
      </c>
      <c r="D6" s="12" t="s">
        <v>298</v>
      </c>
      <c r="E6" s="61" t="s">
        <v>73</v>
      </c>
      <c r="F6" s="61" t="s">
        <v>50</v>
      </c>
      <c r="G6" s="11">
        <v>0.54</v>
      </c>
      <c r="H6" s="11">
        <v>2.0</v>
      </c>
      <c r="I6" s="14" t="s">
        <v>2706</v>
      </c>
      <c r="J6" s="40" t="s">
        <v>2704</v>
      </c>
      <c r="K6" s="16" t="s">
        <v>2707</v>
      </c>
      <c r="L6" s="44" t="s">
        <v>298</v>
      </c>
      <c r="M6" s="63" t="s">
        <v>2708</v>
      </c>
      <c r="N6" s="16" t="s">
        <v>2707</v>
      </c>
      <c r="O6" s="44">
        <v>2024.0</v>
      </c>
      <c r="P6" s="14" t="s">
        <v>2709</v>
      </c>
      <c r="Q6" s="14" t="s">
        <v>2710</v>
      </c>
      <c r="R6" s="44" t="s">
        <v>1805</v>
      </c>
      <c r="S6" s="44" t="s">
        <v>2673</v>
      </c>
      <c r="T6" s="44" t="s">
        <v>59</v>
      </c>
      <c r="U6" s="44">
        <v>5.0</v>
      </c>
      <c r="Y6" s="14" t="s">
        <v>420</v>
      </c>
      <c r="Z6" s="14" t="s">
        <v>2687</v>
      </c>
      <c r="AA6" s="14" t="s">
        <v>2711</v>
      </c>
      <c r="AB6" s="14" t="s">
        <v>2676</v>
      </c>
      <c r="AC6" s="47" t="s">
        <v>423</v>
      </c>
      <c r="AE6" s="16" t="s">
        <v>598</v>
      </c>
      <c r="AF6" s="47" t="s">
        <v>435</v>
      </c>
      <c r="AG6" s="14" t="s">
        <v>2712</v>
      </c>
      <c r="AH6" s="17" t="s">
        <v>2713</v>
      </c>
      <c r="AI6" s="17" t="s">
        <v>2714</v>
      </c>
      <c r="AJ6" s="44" t="s">
        <v>70</v>
      </c>
    </row>
    <row r="7" ht="15.75" customHeight="1">
      <c r="A7" s="61">
        <v>5.0</v>
      </c>
      <c r="B7" s="40" t="s">
        <v>2715</v>
      </c>
      <c r="C7" s="11" t="s">
        <v>2682</v>
      </c>
      <c r="D7" s="12" t="s">
        <v>298</v>
      </c>
      <c r="E7" s="61" t="s">
        <v>73</v>
      </c>
      <c r="F7" s="61" t="s">
        <v>50</v>
      </c>
      <c r="G7" s="11">
        <v>3.11</v>
      </c>
      <c r="H7" s="11">
        <v>20.0</v>
      </c>
      <c r="I7" s="14" t="s">
        <v>2716</v>
      </c>
      <c r="J7" s="40" t="s">
        <v>2715</v>
      </c>
      <c r="K7" s="16" t="s">
        <v>2717</v>
      </c>
      <c r="L7" s="44" t="s">
        <v>298</v>
      </c>
      <c r="M7" s="62" t="s">
        <v>2718</v>
      </c>
      <c r="N7" s="16" t="s">
        <v>2717</v>
      </c>
      <c r="O7" s="44">
        <v>2023.0</v>
      </c>
      <c r="P7" s="14" t="s">
        <v>2686</v>
      </c>
      <c r="Q7" s="14" t="s">
        <v>2719</v>
      </c>
      <c r="R7" s="44" t="s">
        <v>1805</v>
      </c>
      <c r="S7" s="44" t="s">
        <v>2673</v>
      </c>
      <c r="T7" s="44" t="s">
        <v>59</v>
      </c>
      <c r="U7" s="44">
        <v>4.0</v>
      </c>
      <c r="Y7" s="14" t="s">
        <v>420</v>
      </c>
      <c r="Z7" s="14" t="s">
        <v>2687</v>
      </c>
      <c r="AA7" s="14" t="s">
        <v>2688</v>
      </c>
      <c r="AB7" s="14" t="s">
        <v>2676</v>
      </c>
      <c r="AC7" s="47" t="s">
        <v>423</v>
      </c>
      <c r="AE7" s="14" t="s">
        <v>598</v>
      </c>
      <c r="AF7" s="47" t="s">
        <v>435</v>
      </c>
      <c r="AG7" s="14" t="s">
        <v>2720</v>
      </c>
      <c r="AH7" s="17" t="s">
        <v>2721</v>
      </c>
      <c r="AI7" s="17" t="s">
        <v>2722</v>
      </c>
      <c r="AJ7" s="44" t="s">
        <v>70</v>
      </c>
      <c r="AO7" s="58"/>
      <c r="AP7" s="58"/>
    </row>
    <row r="8" ht="15.75" customHeight="1">
      <c r="A8" s="61">
        <v>6.0</v>
      </c>
      <c r="B8" s="40" t="s">
        <v>2723</v>
      </c>
      <c r="C8" s="11" t="s">
        <v>2682</v>
      </c>
      <c r="D8" s="12" t="s">
        <v>298</v>
      </c>
      <c r="E8" s="61" t="s">
        <v>73</v>
      </c>
      <c r="F8" s="61" t="s">
        <v>50</v>
      </c>
      <c r="G8" s="11">
        <v>0.23</v>
      </c>
      <c r="H8" s="11">
        <v>2.0</v>
      </c>
      <c r="I8" s="14" t="s">
        <v>2724</v>
      </c>
      <c r="J8" s="40" t="s">
        <v>2723</v>
      </c>
      <c r="K8" s="16" t="s">
        <v>2725</v>
      </c>
      <c r="L8" s="44" t="s">
        <v>298</v>
      </c>
      <c r="M8" s="62" t="s">
        <v>2726</v>
      </c>
      <c r="N8" s="55" t="s">
        <v>2725</v>
      </c>
      <c r="O8" s="44">
        <v>2020.0</v>
      </c>
      <c r="P8" s="14" t="s">
        <v>2686</v>
      </c>
      <c r="Q8" s="14" t="s">
        <v>2727</v>
      </c>
      <c r="R8" s="44" t="s">
        <v>1805</v>
      </c>
      <c r="S8" s="44" t="s">
        <v>2673</v>
      </c>
      <c r="T8" s="44" t="s">
        <v>59</v>
      </c>
      <c r="U8" s="44">
        <v>4.0</v>
      </c>
      <c r="Y8" s="14" t="s">
        <v>420</v>
      </c>
      <c r="Z8" s="14" t="s">
        <v>2687</v>
      </c>
      <c r="AA8" s="14" t="s">
        <v>2675</v>
      </c>
      <c r="AB8" s="14" t="s">
        <v>2676</v>
      </c>
      <c r="AC8" s="47" t="s">
        <v>423</v>
      </c>
      <c r="AE8" s="16" t="s">
        <v>2728</v>
      </c>
      <c r="AF8" s="16" t="s">
        <v>2729</v>
      </c>
      <c r="AG8" s="14" t="s">
        <v>2730</v>
      </c>
      <c r="AH8" s="17" t="s">
        <v>2731</v>
      </c>
      <c r="AI8" s="17" t="s">
        <v>2732</v>
      </c>
      <c r="AJ8" s="44" t="s">
        <v>70</v>
      </c>
      <c r="AO8" s="58"/>
      <c r="AP8" s="58"/>
    </row>
    <row r="9" ht="15.75" customHeight="1">
      <c r="A9" s="61">
        <v>7.0</v>
      </c>
      <c r="B9" s="40" t="s">
        <v>2733</v>
      </c>
      <c r="C9" s="11" t="s">
        <v>2734</v>
      </c>
      <c r="D9" s="12" t="s">
        <v>298</v>
      </c>
      <c r="E9" s="61" t="s">
        <v>73</v>
      </c>
      <c r="F9" s="61" t="s">
        <v>50</v>
      </c>
      <c r="G9" s="11">
        <v>0.14</v>
      </c>
      <c r="H9" s="11">
        <v>8.0</v>
      </c>
      <c r="I9" s="14" t="s">
        <v>2735</v>
      </c>
      <c r="J9" s="40" t="s">
        <v>2733</v>
      </c>
      <c r="K9" s="16" t="s">
        <v>2736</v>
      </c>
      <c r="L9" s="44" t="s">
        <v>298</v>
      </c>
      <c r="M9" s="62" t="s">
        <v>2737</v>
      </c>
      <c r="N9" s="16" t="s">
        <v>2736</v>
      </c>
      <c r="O9" s="44">
        <v>2024.0</v>
      </c>
      <c r="P9" s="14" t="s">
        <v>2738</v>
      </c>
      <c r="Q9" s="14" t="s">
        <v>2739</v>
      </c>
      <c r="R9" s="44" t="s">
        <v>1805</v>
      </c>
      <c r="S9" s="44" t="s">
        <v>2673</v>
      </c>
      <c r="T9" s="44" t="s">
        <v>59</v>
      </c>
      <c r="U9" s="44">
        <v>6.0</v>
      </c>
      <c r="Y9" s="14" t="s">
        <v>800</v>
      </c>
      <c r="Z9" s="14" t="s">
        <v>2740</v>
      </c>
      <c r="AA9" s="14" t="s">
        <v>2741</v>
      </c>
      <c r="AB9" s="14" t="s">
        <v>2699</v>
      </c>
      <c r="AC9" s="47" t="s">
        <v>2700</v>
      </c>
      <c r="AE9" s="16" t="s">
        <v>174</v>
      </c>
      <c r="AF9" s="47" t="s">
        <v>435</v>
      </c>
      <c r="AG9" s="14" t="s">
        <v>2742</v>
      </c>
      <c r="AH9" s="17" t="s">
        <v>2743</v>
      </c>
      <c r="AI9" s="17" t="s">
        <v>2744</v>
      </c>
      <c r="AJ9" s="44" t="s">
        <v>70</v>
      </c>
      <c r="AL9" s="16"/>
      <c r="AO9" s="58"/>
      <c r="AP9" s="58"/>
    </row>
    <row r="10" ht="15.75" customHeight="1">
      <c r="A10" s="61">
        <v>8.0</v>
      </c>
      <c r="B10" s="40" t="s">
        <v>2745</v>
      </c>
      <c r="C10" s="11" t="s">
        <v>2746</v>
      </c>
      <c r="D10" s="12" t="s">
        <v>298</v>
      </c>
      <c r="E10" s="61" t="s">
        <v>73</v>
      </c>
      <c r="F10" s="61" t="s">
        <v>50</v>
      </c>
      <c r="G10" s="11">
        <v>0.24</v>
      </c>
      <c r="H10" s="11">
        <v>3.0</v>
      </c>
      <c r="I10" s="14" t="s">
        <v>2747</v>
      </c>
      <c r="J10" s="40" t="s">
        <v>2745</v>
      </c>
      <c r="K10" s="16" t="s">
        <v>2748</v>
      </c>
      <c r="L10" s="44" t="s">
        <v>298</v>
      </c>
      <c r="M10" s="62" t="s">
        <v>2749</v>
      </c>
      <c r="N10" s="16" t="s">
        <v>2748</v>
      </c>
      <c r="O10" s="44">
        <v>2019.0</v>
      </c>
      <c r="P10" s="14" t="s">
        <v>2686</v>
      </c>
      <c r="Q10" s="14" t="s">
        <v>2719</v>
      </c>
      <c r="R10" s="44" t="s">
        <v>1805</v>
      </c>
      <c r="S10" s="44" t="s">
        <v>2673</v>
      </c>
      <c r="T10" s="44" t="s">
        <v>59</v>
      </c>
      <c r="U10" s="44">
        <v>3.0</v>
      </c>
      <c r="Y10" s="14" t="s">
        <v>420</v>
      </c>
      <c r="Z10" s="14" t="s">
        <v>2687</v>
      </c>
      <c r="AA10" s="14" t="s">
        <v>2750</v>
      </c>
      <c r="AB10" s="14" t="s">
        <v>2676</v>
      </c>
      <c r="AC10" s="47" t="s">
        <v>423</v>
      </c>
      <c r="AE10" s="16" t="s">
        <v>2728</v>
      </c>
      <c r="AF10" s="16" t="s">
        <v>2729</v>
      </c>
      <c r="AG10" s="14" t="s">
        <v>2751</v>
      </c>
      <c r="AH10" s="17" t="s">
        <v>2752</v>
      </c>
      <c r="AI10" s="17" t="s">
        <v>2753</v>
      </c>
      <c r="AJ10" s="44" t="s">
        <v>70</v>
      </c>
      <c r="AL10" s="16"/>
      <c r="AO10" s="58"/>
      <c r="AP10" s="58"/>
    </row>
    <row r="11" ht="15.75" customHeight="1">
      <c r="A11" s="61">
        <v>9.0</v>
      </c>
      <c r="B11" s="40" t="s">
        <v>2754</v>
      </c>
      <c r="C11" s="11" t="s">
        <v>2667</v>
      </c>
      <c r="D11" s="12" t="s">
        <v>298</v>
      </c>
      <c r="E11" s="61" t="s">
        <v>73</v>
      </c>
      <c r="F11" s="61" t="s">
        <v>50</v>
      </c>
      <c r="G11" s="11">
        <v>1.39</v>
      </c>
      <c r="H11" s="11">
        <v>2.0</v>
      </c>
      <c r="I11" s="14" t="s">
        <v>2755</v>
      </c>
      <c r="J11" s="40" t="s">
        <v>2754</v>
      </c>
      <c r="K11" s="16" t="s">
        <v>2756</v>
      </c>
      <c r="L11" s="44" t="s">
        <v>298</v>
      </c>
      <c r="M11" s="62" t="s">
        <v>2757</v>
      </c>
      <c r="N11" s="16" t="s">
        <v>2756</v>
      </c>
      <c r="O11" s="44">
        <v>2024.0</v>
      </c>
      <c r="P11" s="14" t="s">
        <v>2671</v>
      </c>
      <c r="Q11" s="14" t="s">
        <v>2672</v>
      </c>
      <c r="R11" s="44" t="s">
        <v>1805</v>
      </c>
      <c r="S11" s="44" t="s">
        <v>2673</v>
      </c>
      <c r="T11" s="44" t="s">
        <v>59</v>
      </c>
      <c r="U11" s="44">
        <v>2.0</v>
      </c>
      <c r="Y11" s="14" t="s">
        <v>420</v>
      </c>
      <c r="Z11" s="14" t="s">
        <v>2674</v>
      </c>
      <c r="AA11" s="14" t="s">
        <v>2675</v>
      </c>
      <c r="AB11" s="14" t="s">
        <v>2676</v>
      </c>
      <c r="AC11" s="47" t="s">
        <v>423</v>
      </c>
      <c r="AE11" s="16" t="s">
        <v>2728</v>
      </c>
      <c r="AF11" s="47" t="s">
        <v>2758</v>
      </c>
      <c r="AG11" s="14" t="s">
        <v>2759</v>
      </c>
      <c r="AH11" s="17" t="s">
        <v>2760</v>
      </c>
      <c r="AI11" s="17" t="s">
        <v>2761</v>
      </c>
      <c r="AJ11" s="44" t="s">
        <v>70</v>
      </c>
      <c r="AO11" s="58"/>
      <c r="AP11" s="58"/>
    </row>
    <row r="12" ht="15.75" customHeight="1">
      <c r="A12" s="61">
        <v>10.0</v>
      </c>
      <c r="B12" s="40" t="s">
        <v>2762</v>
      </c>
      <c r="C12" s="11" t="s">
        <v>2682</v>
      </c>
      <c r="D12" s="12" t="s">
        <v>298</v>
      </c>
      <c r="E12" s="61" t="s">
        <v>73</v>
      </c>
      <c r="F12" s="61" t="s">
        <v>50</v>
      </c>
      <c r="G12" s="11">
        <v>1.76</v>
      </c>
      <c r="H12" s="11">
        <v>22.0</v>
      </c>
      <c r="I12" s="14" t="s">
        <v>2763</v>
      </c>
      <c r="J12" s="40" t="s">
        <v>2762</v>
      </c>
      <c r="K12" s="16" t="s">
        <v>2764</v>
      </c>
      <c r="L12" s="44" t="s">
        <v>298</v>
      </c>
      <c r="M12" s="62" t="s">
        <v>2765</v>
      </c>
      <c r="N12" s="16" t="s">
        <v>2764</v>
      </c>
      <c r="O12" s="44">
        <v>2017.0</v>
      </c>
      <c r="P12" s="14" t="s">
        <v>2766</v>
      </c>
      <c r="Q12" s="14" t="s">
        <v>2767</v>
      </c>
      <c r="R12" s="44" t="s">
        <v>1805</v>
      </c>
      <c r="S12" s="44" t="s">
        <v>2673</v>
      </c>
      <c r="T12" s="44" t="s">
        <v>59</v>
      </c>
      <c r="U12" s="44">
        <v>4.0</v>
      </c>
      <c r="Y12" s="14" t="s">
        <v>800</v>
      </c>
      <c r="Z12" s="14" t="s">
        <v>2687</v>
      </c>
      <c r="AA12" s="14" t="s">
        <v>2711</v>
      </c>
      <c r="AB12" s="14" t="s">
        <v>2699</v>
      </c>
      <c r="AC12" s="47" t="s">
        <v>2700</v>
      </c>
      <c r="AE12" s="16" t="s">
        <v>64</v>
      </c>
      <c r="AF12" s="47" t="s">
        <v>2677</v>
      </c>
      <c r="AG12" s="14" t="s">
        <v>2768</v>
      </c>
      <c r="AH12" s="17" t="s">
        <v>2769</v>
      </c>
      <c r="AI12" s="17" t="s">
        <v>2770</v>
      </c>
      <c r="AJ12" s="44" t="s">
        <v>70</v>
      </c>
      <c r="AO12" s="58"/>
      <c r="AP12" s="58"/>
    </row>
    <row r="13" ht="15.75" customHeight="1">
      <c r="A13" s="61">
        <v>11.0</v>
      </c>
      <c r="B13" s="40" t="s">
        <v>2771</v>
      </c>
      <c r="C13" s="11" t="s">
        <v>2667</v>
      </c>
      <c r="D13" s="12" t="s">
        <v>298</v>
      </c>
      <c r="E13" s="61" t="s">
        <v>73</v>
      </c>
      <c r="F13" s="64" t="s">
        <v>315</v>
      </c>
      <c r="G13" s="65">
        <v>0.32</v>
      </c>
      <c r="H13" s="65">
        <v>9.0</v>
      </c>
      <c r="I13" s="66" t="s">
        <v>2772</v>
      </c>
      <c r="J13" s="40" t="s">
        <v>2771</v>
      </c>
      <c r="K13" s="16" t="s">
        <v>2773</v>
      </c>
      <c r="L13" s="44" t="s">
        <v>298</v>
      </c>
      <c r="M13" s="62" t="s">
        <v>2774</v>
      </c>
      <c r="N13" s="16" t="s">
        <v>2773</v>
      </c>
      <c r="O13" s="44">
        <v>2019.0</v>
      </c>
      <c r="P13" s="14" t="s">
        <v>2671</v>
      </c>
      <c r="Q13" s="14" t="s">
        <v>2672</v>
      </c>
      <c r="R13" s="44" t="s">
        <v>1805</v>
      </c>
      <c r="S13" s="44" t="s">
        <v>2673</v>
      </c>
      <c r="T13" s="44" t="s">
        <v>59</v>
      </c>
      <c r="U13" s="44">
        <v>3.0</v>
      </c>
      <c r="Y13" s="14" t="s">
        <v>420</v>
      </c>
      <c r="Z13" s="14" t="s">
        <v>2674</v>
      </c>
      <c r="AA13" s="14" t="s">
        <v>2750</v>
      </c>
      <c r="AB13" s="14" t="s">
        <v>2676</v>
      </c>
      <c r="AC13" s="47" t="s">
        <v>423</v>
      </c>
      <c r="AE13" s="16" t="s">
        <v>158</v>
      </c>
      <c r="AF13" s="47" t="s">
        <v>2677</v>
      </c>
      <c r="AG13" s="14" t="s">
        <v>2775</v>
      </c>
      <c r="AH13" s="17" t="s">
        <v>2776</v>
      </c>
      <c r="AI13" s="17" t="s">
        <v>2777</v>
      </c>
      <c r="AJ13" s="44" t="s">
        <v>70</v>
      </c>
    </row>
    <row r="14" ht="15.75" customHeight="1">
      <c r="A14" s="61">
        <v>12.0</v>
      </c>
      <c r="B14" s="40" t="s">
        <v>2778</v>
      </c>
      <c r="C14" s="11" t="s">
        <v>2779</v>
      </c>
      <c r="D14" s="12" t="s">
        <v>298</v>
      </c>
      <c r="E14" s="61" t="s">
        <v>73</v>
      </c>
      <c r="F14" s="61" t="s">
        <v>50</v>
      </c>
      <c r="G14" s="11">
        <v>1.09</v>
      </c>
      <c r="H14" s="11">
        <v>59.0</v>
      </c>
      <c r="I14" s="14" t="s">
        <v>2780</v>
      </c>
      <c r="J14" s="40" t="s">
        <v>2778</v>
      </c>
      <c r="K14" s="16" t="s">
        <v>2781</v>
      </c>
      <c r="L14" s="44" t="s">
        <v>298</v>
      </c>
      <c r="M14" s="62" t="s">
        <v>2782</v>
      </c>
      <c r="N14" s="16" t="s">
        <v>2781</v>
      </c>
      <c r="O14" s="44">
        <v>2007.0</v>
      </c>
      <c r="P14" s="14" t="s">
        <v>2783</v>
      </c>
      <c r="Q14" s="14" t="s">
        <v>2784</v>
      </c>
      <c r="R14" s="44" t="s">
        <v>1805</v>
      </c>
      <c r="S14" s="44" t="s">
        <v>2673</v>
      </c>
      <c r="T14" s="44" t="s">
        <v>59</v>
      </c>
      <c r="U14" s="44">
        <v>8.0</v>
      </c>
      <c r="Y14" s="14" t="s">
        <v>60</v>
      </c>
      <c r="Z14" s="14" t="s">
        <v>1808</v>
      </c>
      <c r="AA14" s="14" t="s">
        <v>2785</v>
      </c>
      <c r="AB14" s="14" t="s">
        <v>2676</v>
      </c>
      <c r="AC14" s="47" t="s">
        <v>423</v>
      </c>
      <c r="AE14" s="16" t="s">
        <v>65</v>
      </c>
      <c r="AF14" s="14" t="s">
        <v>2786</v>
      </c>
      <c r="AG14" s="14" t="s">
        <v>2787</v>
      </c>
      <c r="AH14" s="17" t="s">
        <v>2788</v>
      </c>
      <c r="AI14" s="17" t="s">
        <v>2789</v>
      </c>
      <c r="AJ14" s="44" t="s">
        <v>70</v>
      </c>
      <c r="AO14" s="58"/>
      <c r="AP14" s="58"/>
    </row>
    <row r="15" ht="15.75" customHeight="1">
      <c r="A15" s="61">
        <v>13.0</v>
      </c>
      <c r="B15" s="40" t="s">
        <v>2790</v>
      </c>
      <c r="C15" s="11" t="s">
        <v>2682</v>
      </c>
      <c r="D15" s="12" t="s">
        <v>298</v>
      </c>
      <c r="E15" s="61" t="s">
        <v>73</v>
      </c>
      <c r="F15" s="61" t="s">
        <v>50</v>
      </c>
      <c r="G15" s="11">
        <v>0.58</v>
      </c>
      <c r="H15" s="11">
        <v>15.0</v>
      </c>
      <c r="I15" s="14" t="s">
        <v>2791</v>
      </c>
      <c r="J15" s="40" t="s">
        <v>2790</v>
      </c>
      <c r="K15" s="16" t="s">
        <v>2792</v>
      </c>
      <c r="L15" s="44" t="s">
        <v>298</v>
      </c>
      <c r="M15" s="62" t="s">
        <v>2793</v>
      </c>
      <c r="N15" s="16" t="s">
        <v>2792</v>
      </c>
      <c r="O15" s="44">
        <v>2020.0</v>
      </c>
      <c r="P15" s="14" t="s">
        <v>2794</v>
      </c>
      <c r="Q15" s="14" t="s">
        <v>2795</v>
      </c>
      <c r="R15" s="44" t="s">
        <v>1805</v>
      </c>
      <c r="S15" s="44" t="s">
        <v>2673</v>
      </c>
      <c r="T15" s="44" t="s">
        <v>59</v>
      </c>
      <c r="U15" s="44">
        <v>4.0</v>
      </c>
      <c r="Y15" s="14" t="s">
        <v>420</v>
      </c>
      <c r="Z15" s="14" t="s">
        <v>2687</v>
      </c>
      <c r="AA15" s="14" t="s">
        <v>2688</v>
      </c>
      <c r="AB15" s="14" t="s">
        <v>2676</v>
      </c>
      <c r="AC15" s="47" t="s">
        <v>423</v>
      </c>
      <c r="AE15" s="16" t="s">
        <v>158</v>
      </c>
      <c r="AF15" s="47" t="s">
        <v>2677</v>
      </c>
      <c r="AG15" s="14" t="s">
        <v>2796</v>
      </c>
      <c r="AH15" s="17" t="s">
        <v>2797</v>
      </c>
      <c r="AI15" s="17" t="s">
        <v>2798</v>
      </c>
      <c r="AJ15" s="44" t="s">
        <v>70</v>
      </c>
      <c r="AO15" s="58"/>
      <c r="AP15" s="58"/>
    </row>
    <row r="16" ht="15.75" customHeight="1">
      <c r="A16" s="61">
        <v>14.0</v>
      </c>
      <c r="B16" s="40" t="s">
        <v>2799</v>
      </c>
      <c r="C16" s="11" t="s">
        <v>2667</v>
      </c>
      <c r="D16" s="12" t="s">
        <v>298</v>
      </c>
      <c r="E16" s="61" t="s">
        <v>73</v>
      </c>
      <c r="F16" s="67" t="s">
        <v>315</v>
      </c>
      <c r="G16" s="68">
        <v>0.24</v>
      </c>
      <c r="H16" s="68">
        <v>4.0</v>
      </c>
      <c r="I16" s="69" t="s">
        <v>2800</v>
      </c>
      <c r="J16" s="40" t="s">
        <v>2799</v>
      </c>
      <c r="K16" s="16" t="s">
        <v>2801</v>
      </c>
      <c r="L16" s="44" t="s">
        <v>298</v>
      </c>
      <c r="M16" s="62" t="s">
        <v>2802</v>
      </c>
      <c r="N16" s="16" t="s">
        <v>2803</v>
      </c>
      <c r="O16" s="44">
        <v>1997.0</v>
      </c>
      <c r="P16" s="14" t="s">
        <v>2671</v>
      </c>
      <c r="Q16" s="14" t="s">
        <v>2672</v>
      </c>
      <c r="R16" s="44" t="s">
        <v>1805</v>
      </c>
      <c r="S16" s="44" t="s">
        <v>2673</v>
      </c>
      <c r="T16" s="44" t="s">
        <v>59</v>
      </c>
      <c r="U16" s="44">
        <v>2.0</v>
      </c>
      <c r="Y16" s="14" t="s">
        <v>420</v>
      </c>
      <c r="Z16" s="14" t="s">
        <v>2674</v>
      </c>
      <c r="AA16" s="14" t="s">
        <v>2750</v>
      </c>
      <c r="AB16" s="14" t="s">
        <v>2676</v>
      </c>
      <c r="AC16" s="47" t="s">
        <v>423</v>
      </c>
      <c r="AE16" s="16" t="s">
        <v>158</v>
      </c>
      <c r="AF16" s="47" t="s">
        <v>2677</v>
      </c>
      <c r="AG16" s="14" t="s">
        <v>2804</v>
      </c>
      <c r="AH16" s="17" t="s">
        <v>2805</v>
      </c>
      <c r="AI16" s="17" t="s">
        <v>2806</v>
      </c>
      <c r="AJ16" s="44" t="s">
        <v>70</v>
      </c>
      <c r="AO16" s="58"/>
      <c r="AP16" s="58"/>
    </row>
    <row r="17" ht="15.75" customHeight="1">
      <c r="A17" s="61">
        <v>15.0</v>
      </c>
      <c r="B17" s="40" t="s">
        <v>2807</v>
      </c>
      <c r="C17" s="11" t="s">
        <v>2667</v>
      </c>
      <c r="D17" s="12" t="s">
        <v>298</v>
      </c>
      <c r="E17" s="61" t="s">
        <v>73</v>
      </c>
      <c r="F17" s="67" t="s">
        <v>315</v>
      </c>
      <c r="G17" s="68">
        <v>1.37</v>
      </c>
      <c r="H17" s="68">
        <v>6.0</v>
      </c>
      <c r="I17" s="69" t="s">
        <v>2808</v>
      </c>
      <c r="J17" s="40" t="s">
        <v>2807</v>
      </c>
      <c r="K17" s="16" t="s">
        <v>2809</v>
      </c>
      <c r="L17" s="44" t="s">
        <v>298</v>
      </c>
      <c r="M17" s="62" t="s">
        <v>2810</v>
      </c>
      <c r="N17" s="16" t="s">
        <v>2809</v>
      </c>
      <c r="O17" s="44">
        <v>2022.0</v>
      </c>
      <c r="P17" s="14" t="s">
        <v>2671</v>
      </c>
      <c r="Q17" s="14" t="s">
        <v>2672</v>
      </c>
      <c r="R17" s="44" t="s">
        <v>1805</v>
      </c>
      <c r="S17" s="44" t="s">
        <v>2673</v>
      </c>
      <c r="T17" s="44" t="s">
        <v>59</v>
      </c>
      <c r="U17" s="44">
        <v>3.0</v>
      </c>
      <c r="Y17" s="14" t="s">
        <v>420</v>
      </c>
      <c r="Z17" s="14" t="s">
        <v>2674</v>
      </c>
      <c r="AA17" s="14" t="s">
        <v>2750</v>
      </c>
      <c r="AB17" s="14" t="s">
        <v>2676</v>
      </c>
      <c r="AC17" s="47" t="s">
        <v>423</v>
      </c>
      <c r="AE17" s="16" t="s">
        <v>598</v>
      </c>
      <c r="AF17" s="47" t="s">
        <v>435</v>
      </c>
      <c r="AG17" s="14" t="s">
        <v>2811</v>
      </c>
      <c r="AH17" s="17" t="s">
        <v>2812</v>
      </c>
      <c r="AI17" s="17" t="s">
        <v>2813</v>
      </c>
      <c r="AJ17" s="44" t="s">
        <v>70</v>
      </c>
      <c r="AO17" s="58"/>
      <c r="AP17" s="58"/>
    </row>
    <row r="18" ht="15.75" customHeight="1">
      <c r="A18" s="61">
        <v>16.0</v>
      </c>
      <c r="B18" s="40" t="s">
        <v>2814</v>
      </c>
      <c r="C18" s="11" t="s">
        <v>2667</v>
      </c>
      <c r="D18" s="12" t="s">
        <v>298</v>
      </c>
      <c r="E18" s="61" t="s">
        <v>73</v>
      </c>
      <c r="F18" s="61" t="s">
        <v>50</v>
      </c>
      <c r="G18" s="11">
        <v>0.16</v>
      </c>
      <c r="H18" s="11">
        <v>24.0</v>
      </c>
      <c r="I18" s="14" t="s">
        <v>2815</v>
      </c>
      <c r="J18" s="40" t="s">
        <v>2814</v>
      </c>
      <c r="K18" s="16" t="s">
        <v>2816</v>
      </c>
      <c r="L18" s="44" t="s">
        <v>298</v>
      </c>
      <c r="M18" s="62" t="s">
        <v>2817</v>
      </c>
      <c r="N18" s="16" t="s">
        <v>2816</v>
      </c>
      <c r="O18" s="44">
        <v>2013.0</v>
      </c>
      <c r="P18" s="14" t="s">
        <v>2671</v>
      </c>
      <c r="Q18" s="14" t="s">
        <v>2672</v>
      </c>
      <c r="R18" s="44" t="s">
        <v>1805</v>
      </c>
      <c r="S18" s="44" t="s">
        <v>2673</v>
      </c>
      <c r="T18" s="44" t="s">
        <v>59</v>
      </c>
      <c r="U18" s="44">
        <v>2.0</v>
      </c>
      <c r="Y18" s="14" t="s">
        <v>420</v>
      </c>
      <c r="Z18" s="14" t="s">
        <v>2674</v>
      </c>
      <c r="AA18" s="14" t="s">
        <v>2818</v>
      </c>
      <c r="AB18" s="14" t="s">
        <v>2676</v>
      </c>
      <c r="AC18" s="47" t="s">
        <v>423</v>
      </c>
      <c r="AE18" s="16" t="s">
        <v>2728</v>
      </c>
      <c r="AF18" s="16" t="s">
        <v>2729</v>
      </c>
      <c r="AG18" s="14" t="s">
        <v>2819</v>
      </c>
      <c r="AH18" s="17" t="s">
        <v>2820</v>
      </c>
      <c r="AI18" s="17" t="s">
        <v>2821</v>
      </c>
      <c r="AJ18" s="44" t="s">
        <v>70</v>
      </c>
      <c r="AO18" s="58"/>
      <c r="AP18" s="58"/>
    </row>
    <row r="19" ht="15.75" customHeight="1">
      <c r="A19" s="61">
        <v>17.0</v>
      </c>
      <c r="B19" s="40" t="s">
        <v>2822</v>
      </c>
      <c r="C19" s="11" t="s">
        <v>2682</v>
      </c>
      <c r="D19" s="12" t="s">
        <v>298</v>
      </c>
      <c r="E19" s="61" t="s">
        <v>73</v>
      </c>
      <c r="F19" s="61" t="s">
        <v>50</v>
      </c>
      <c r="G19" s="11">
        <v>1.79</v>
      </c>
      <c r="H19" s="11">
        <v>6.0</v>
      </c>
      <c r="I19" s="14" t="s">
        <v>2823</v>
      </c>
      <c r="J19" s="40" t="s">
        <v>2822</v>
      </c>
      <c r="K19" s="16" t="s">
        <v>2824</v>
      </c>
      <c r="L19" s="44" t="s">
        <v>298</v>
      </c>
      <c r="M19" s="62" t="s">
        <v>2825</v>
      </c>
      <c r="N19" s="16" t="s">
        <v>2824</v>
      </c>
      <c r="O19" s="44">
        <v>2023.0</v>
      </c>
      <c r="P19" s="14" t="s">
        <v>2766</v>
      </c>
      <c r="Q19" s="14" t="s">
        <v>2698</v>
      </c>
      <c r="R19" s="44" t="s">
        <v>1805</v>
      </c>
      <c r="S19" s="44" t="s">
        <v>2673</v>
      </c>
      <c r="T19" s="44" t="s">
        <v>59</v>
      </c>
      <c r="U19" s="44">
        <v>4.0</v>
      </c>
      <c r="Y19" s="14" t="s">
        <v>800</v>
      </c>
      <c r="Z19" s="14" t="s">
        <v>2687</v>
      </c>
      <c r="AA19" s="14" t="s">
        <v>2711</v>
      </c>
      <c r="AB19" s="14" t="s">
        <v>2699</v>
      </c>
      <c r="AC19" s="47" t="s">
        <v>2700</v>
      </c>
      <c r="AE19" s="16" t="s">
        <v>64</v>
      </c>
      <c r="AF19" s="47" t="s">
        <v>2677</v>
      </c>
      <c r="AG19" s="14" t="s">
        <v>2826</v>
      </c>
      <c r="AH19" s="17" t="s">
        <v>2827</v>
      </c>
      <c r="AI19" s="17" t="s">
        <v>2828</v>
      </c>
      <c r="AJ19" s="44" t="s">
        <v>70</v>
      </c>
      <c r="AO19" s="58"/>
      <c r="AP19" s="58"/>
    </row>
    <row r="20" ht="15.75" customHeight="1">
      <c r="A20" s="61">
        <v>18.0</v>
      </c>
      <c r="B20" s="40" t="s">
        <v>2829</v>
      </c>
      <c r="C20" s="11" t="s">
        <v>2705</v>
      </c>
      <c r="D20" s="12" t="s">
        <v>298</v>
      </c>
      <c r="E20" s="61" t="s">
        <v>73</v>
      </c>
      <c r="F20" s="61" t="s">
        <v>50</v>
      </c>
      <c r="G20" s="11">
        <v>2.87</v>
      </c>
      <c r="H20" s="11">
        <v>184.0</v>
      </c>
      <c r="I20" s="14" t="s">
        <v>2830</v>
      </c>
      <c r="J20" s="40" t="s">
        <v>2829</v>
      </c>
      <c r="K20" s="16" t="s">
        <v>2831</v>
      </c>
      <c r="L20" s="44" t="s">
        <v>298</v>
      </c>
      <c r="M20" s="62" t="s">
        <v>2832</v>
      </c>
      <c r="N20" s="16" t="s">
        <v>2831</v>
      </c>
      <c r="O20" s="44">
        <v>2013.0</v>
      </c>
      <c r="P20" s="14" t="s">
        <v>2709</v>
      </c>
      <c r="Q20" s="14" t="s">
        <v>2710</v>
      </c>
      <c r="R20" s="44" t="s">
        <v>1805</v>
      </c>
      <c r="S20" s="44" t="s">
        <v>2673</v>
      </c>
      <c r="T20" s="44" t="s">
        <v>59</v>
      </c>
      <c r="U20" s="44">
        <v>5.0</v>
      </c>
      <c r="Y20" s="14" t="s">
        <v>420</v>
      </c>
      <c r="Z20" s="14" t="s">
        <v>2833</v>
      </c>
      <c r="AA20" s="14" t="s">
        <v>2834</v>
      </c>
      <c r="AB20" s="14" t="s">
        <v>2676</v>
      </c>
      <c r="AC20" s="47" t="s">
        <v>423</v>
      </c>
      <c r="AE20" s="16" t="s">
        <v>2728</v>
      </c>
      <c r="AF20" s="16" t="s">
        <v>2729</v>
      </c>
      <c r="AG20" s="14" t="s">
        <v>2835</v>
      </c>
      <c r="AH20" s="17" t="s">
        <v>2836</v>
      </c>
      <c r="AI20" s="17" t="s">
        <v>2837</v>
      </c>
      <c r="AJ20" s="44" t="s">
        <v>70</v>
      </c>
      <c r="AO20" s="58"/>
      <c r="AP20" s="58"/>
    </row>
    <row r="21" ht="15.75" customHeight="1">
      <c r="A21" s="61">
        <v>19.0</v>
      </c>
      <c r="B21" s="40" t="s">
        <v>2838</v>
      </c>
      <c r="C21" s="11" t="s">
        <v>2682</v>
      </c>
      <c r="D21" s="12" t="s">
        <v>298</v>
      </c>
      <c r="E21" s="61" t="s">
        <v>73</v>
      </c>
      <c r="F21" s="61" t="s">
        <v>50</v>
      </c>
      <c r="G21" s="11">
        <v>0.45</v>
      </c>
      <c r="H21" s="11">
        <v>17.0</v>
      </c>
      <c r="I21" s="14" t="s">
        <v>2839</v>
      </c>
      <c r="J21" s="40" t="s">
        <v>2838</v>
      </c>
      <c r="K21" s="16" t="s">
        <v>2840</v>
      </c>
      <c r="L21" s="44" t="s">
        <v>298</v>
      </c>
      <c r="M21" s="62" t="s">
        <v>2841</v>
      </c>
      <c r="N21" s="16" t="s">
        <v>2840</v>
      </c>
      <c r="O21" s="44">
        <v>2022.0</v>
      </c>
      <c r="P21" s="14" t="s">
        <v>2842</v>
      </c>
      <c r="Q21" s="14" t="s">
        <v>2843</v>
      </c>
      <c r="R21" s="44" t="s">
        <v>1805</v>
      </c>
      <c r="S21" s="44" t="s">
        <v>2673</v>
      </c>
      <c r="T21" s="44" t="s">
        <v>59</v>
      </c>
      <c r="U21" s="44">
        <v>4.0</v>
      </c>
      <c r="Y21" s="14" t="s">
        <v>564</v>
      </c>
      <c r="Z21" s="14" t="s">
        <v>2687</v>
      </c>
      <c r="AA21" s="14" t="s">
        <v>2688</v>
      </c>
      <c r="AB21" s="14" t="s">
        <v>2844</v>
      </c>
      <c r="AC21" s="47" t="s">
        <v>565</v>
      </c>
      <c r="AE21" s="16" t="s">
        <v>174</v>
      </c>
      <c r="AF21" s="47" t="s">
        <v>435</v>
      </c>
      <c r="AG21" s="14" t="s">
        <v>2845</v>
      </c>
      <c r="AH21" s="17" t="s">
        <v>2846</v>
      </c>
      <c r="AI21" s="17" t="s">
        <v>2847</v>
      </c>
      <c r="AJ21" s="44" t="s">
        <v>70</v>
      </c>
      <c r="AO21" s="58"/>
      <c r="AP21" s="58"/>
    </row>
    <row r="22" ht="15.75" customHeight="1">
      <c r="A22" s="61">
        <v>20.0</v>
      </c>
      <c r="B22" s="40" t="s">
        <v>2848</v>
      </c>
      <c r="C22" s="11" t="s">
        <v>2682</v>
      </c>
      <c r="D22" s="12" t="s">
        <v>298</v>
      </c>
      <c r="E22" s="61" t="s">
        <v>73</v>
      </c>
      <c r="F22" s="61" t="s">
        <v>50</v>
      </c>
      <c r="G22" s="11">
        <v>0.85</v>
      </c>
      <c r="H22" s="11">
        <v>4.0</v>
      </c>
      <c r="I22" s="14" t="s">
        <v>2849</v>
      </c>
      <c r="J22" s="40" t="s">
        <v>2848</v>
      </c>
      <c r="K22" s="16" t="s">
        <v>2850</v>
      </c>
      <c r="L22" s="44" t="s">
        <v>298</v>
      </c>
      <c r="M22" s="62" t="s">
        <v>2851</v>
      </c>
      <c r="N22" s="55" t="s">
        <v>2850</v>
      </c>
      <c r="O22" s="44">
        <v>2013.0</v>
      </c>
      <c r="P22" s="14" t="s">
        <v>2686</v>
      </c>
      <c r="Q22" s="14" t="s">
        <v>2719</v>
      </c>
      <c r="R22" s="44" t="s">
        <v>1805</v>
      </c>
      <c r="S22" s="44" t="s">
        <v>2673</v>
      </c>
      <c r="T22" s="44" t="s">
        <v>59</v>
      </c>
      <c r="U22" s="44">
        <v>4.0</v>
      </c>
      <c r="Y22" s="14" t="s">
        <v>420</v>
      </c>
      <c r="Z22" s="14" t="s">
        <v>2833</v>
      </c>
      <c r="AA22" s="14" t="s">
        <v>2741</v>
      </c>
      <c r="AB22" s="14" t="s">
        <v>2676</v>
      </c>
      <c r="AC22" s="47" t="s">
        <v>423</v>
      </c>
      <c r="AE22" s="16" t="s">
        <v>2728</v>
      </c>
      <c r="AF22" s="16" t="s">
        <v>2729</v>
      </c>
      <c r="AG22" s="14" t="s">
        <v>2852</v>
      </c>
      <c r="AH22" s="17" t="s">
        <v>2853</v>
      </c>
      <c r="AI22" s="17" t="s">
        <v>2854</v>
      </c>
      <c r="AJ22" s="44" t="s">
        <v>70</v>
      </c>
      <c r="AO22" s="58"/>
      <c r="AP22" s="58"/>
    </row>
    <row r="23" ht="15.75" customHeight="1">
      <c r="A23" s="61">
        <v>21.0</v>
      </c>
      <c r="B23" s="40" t="s">
        <v>2855</v>
      </c>
      <c r="C23" s="11" t="s">
        <v>2705</v>
      </c>
      <c r="D23" s="12" t="s">
        <v>298</v>
      </c>
      <c r="E23" s="61" t="s">
        <v>73</v>
      </c>
      <c r="F23" s="67" t="s">
        <v>931</v>
      </c>
      <c r="G23" s="68">
        <v>0.73</v>
      </c>
      <c r="H23" s="68">
        <v>4.0</v>
      </c>
      <c r="I23" s="70" t="s">
        <v>2856</v>
      </c>
      <c r="J23" s="31" t="s">
        <v>2857</v>
      </c>
      <c r="K23" s="16" t="s">
        <v>2858</v>
      </c>
      <c r="L23" s="44" t="s">
        <v>298</v>
      </c>
      <c r="M23" s="62" t="s">
        <v>2859</v>
      </c>
      <c r="N23" s="16" t="s">
        <v>2858</v>
      </c>
      <c r="O23" s="44">
        <v>2013.0</v>
      </c>
      <c r="P23" s="14" t="s">
        <v>2709</v>
      </c>
      <c r="Q23" s="14" t="s">
        <v>2710</v>
      </c>
      <c r="R23" s="44" t="s">
        <v>1805</v>
      </c>
      <c r="S23" s="44" t="s">
        <v>2673</v>
      </c>
      <c r="T23" s="44" t="s">
        <v>59</v>
      </c>
      <c r="U23" s="44">
        <v>5.0</v>
      </c>
      <c r="Y23" s="14" t="s">
        <v>420</v>
      </c>
      <c r="Z23" s="14" t="s">
        <v>2687</v>
      </c>
      <c r="AA23" s="14" t="s">
        <v>2741</v>
      </c>
      <c r="AB23" s="14" t="s">
        <v>2676</v>
      </c>
      <c r="AC23" s="47" t="s">
        <v>423</v>
      </c>
      <c r="AE23" s="16" t="s">
        <v>64</v>
      </c>
      <c r="AF23" s="47" t="s">
        <v>2677</v>
      </c>
      <c r="AG23" s="14" t="s">
        <v>2860</v>
      </c>
      <c r="AH23" s="17" t="s">
        <v>2861</v>
      </c>
      <c r="AI23" s="17" t="s">
        <v>2862</v>
      </c>
      <c r="AJ23" s="44" t="s">
        <v>70</v>
      </c>
      <c r="AO23" s="58"/>
      <c r="AP23" s="58"/>
    </row>
    <row r="24" ht="15.75" customHeight="1">
      <c r="A24" s="61">
        <v>22.0</v>
      </c>
      <c r="B24" s="40" t="s">
        <v>2863</v>
      </c>
      <c r="C24" s="11" t="s">
        <v>2779</v>
      </c>
      <c r="D24" s="12" t="s">
        <v>298</v>
      </c>
      <c r="E24" s="61" t="s">
        <v>73</v>
      </c>
      <c r="F24" s="61" t="s">
        <v>50</v>
      </c>
      <c r="G24" s="11">
        <v>2.2</v>
      </c>
      <c r="H24" s="11">
        <v>60.0</v>
      </c>
      <c r="I24" s="14" t="s">
        <v>2864</v>
      </c>
      <c r="J24" s="40" t="s">
        <v>2863</v>
      </c>
      <c r="K24" s="16" t="s">
        <v>2865</v>
      </c>
      <c r="L24" s="44" t="s">
        <v>298</v>
      </c>
      <c r="M24" s="62" t="s">
        <v>2866</v>
      </c>
      <c r="N24" s="16" t="s">
        <v>2865</v>
      </c>
      <c r="O24" s="44">
        <v>2007.0</v>
      </c>
      <c r="P24" s="14" t="s">
        <v>2867</v>
      </c>
      <c r="Q24" s="14" t="s">
        <v>2868</v>
      </c>
      <c r="R24" s="44" t="s">
        <v>1805</v>
      </c>
      <c r="S24" s="44" t="s">
        <v>2673</v>
      </c>
      <c r="T24" s="44" t="s">
        <v>59</v>
      </c>
      <c r="U24" s="44">
        <v>8.0</v>
      </c>
      <c r="Y24" s="14" t="s">
        <v>60</v>
      </c>
      <c r="Z24" s="14" t="s">
        <v>1808</v>
      </c>
      <c r="AA24" s="14" t="s">
        <v>2785</v>
      </c>
      <c r="AB24" s="14" t="s">
        <v>2676</v>
      </c>
      <c r="AC24" s="47" t="s">
        <v>423</v>
      </c>
      <c r="AE24" s="16" t="s">
        <v>65</v>
      </c>
      <c r="AF24" s="16" t="s">
        <v>2786</v>
      </c>
      <c r="AG24" s="14" t="s">
        <v>2869</v>
      </c>
      <c r="AH24" s="17" t="s">
        <v>2788</v>
      </c>
      <c r="AI24" s="17" t="s">
        <v>2789</v>
      </c>
      <c r="AJ24" s="44" t="s">
        <v>70</v>
      </c>
      <c r="AO24" s="58"/>
      <c r="AP24" s="58"/>
    </row>
    <row r="25" ht="15.75" customHeight="1">
      <c r="A25" s="61">
        <v>23.0</v>
      </c>
      <c r="B25" s="40" t="s">
        <v>2870</v>
      </c>
      <c r="C25" s="11" t="s">
        <v>2682</v>
      </c>
      <c r="D25" s="12" t="s">
        <v>298</v>
      </c>
      <c r="E25" s="61" t="s">
        <v>73</v>
      </c>
      <c r="F25" s="61" t="s">
        <v>50</v>
      </c>
      <c r="G25" s="11">
        <v>1.42</v>
      </c>
      <c r="H25" s="11">
        <v>13.0</v>
      </c>
      <c r="I25" s="14" t="s">
        <v>2871</v>
      </c>
      <c r="J25" s="40" t="s">
        <v>2870</v>
      </c>
      <c r="K25" s="16" t="s">
        <v>2872</v>
      </c>
      <c r="L25" s="44" t="s">
        <v>298</v>
      </c>
      <c r="M25" s="62" t="s">
        <v>2873</v>
      </c>
      <c r="N25" s="16" t="s">
        <v>2872</v>
      </c>
      <c r="O25" s="44">
        <v>2014.0</v>
      </c>
      <c r="P25" s="14" t="s">
        <v>2686</v>
      </c>
      <c r="Q25" s="14" t="s">
        <v>2719</v>
      </c>
      <c r="R25" s="44" t="s">
        <v>1805</v>
      </c>
      <c r="S25" s="44" t="s">
        <v>2673</v>
      </c>
      <c r="T25" s="44" t="s">
        <v>59</v>
      </c>
      <c r="U25" s="44">
        <v>4.0</v>
      </c>
      <c r="Y25" s="14" t="s">
        <v>420</v>
      </c>
      <c r="Z25" s="14" t="s">
        <v>2687</v>
      </c>
      <c r="AA25" s="14" t="s">
        <v>2688</v>
      </c>
      <c r="AB25" s="14" t="s">
        <v>2676</v>
      </c>
      <c r="AC25" s="47" t="s">
        <v>423</v>
      </c>
      <c r="AE25" s="16" t="s">
        <v>2728</v>
      </c>
      <c r="AF25" s="16" t="s">
        <v>2729</v>
      </c>
      <c r="AG25" s="14" t="s">
        <v>2874</v>
      </c>
      <c r="AH25" s="17" t="s">
        <v>2875</v>
      </c>
      <c r="AI25" s="17" t="s">
        <v>2876</v>
      </c>
      <c r="AJ25" s="44" t="s">
        <v>70</v>
      </c>
      <c r="AO25" s="58"/>
      <c r="AP25" s="58"/>
    </row>
    <row r="26" ht="15.75" customHeight="1">
      <c r="A26" s="61">
        <v>24.0</v>
      </c>
      <c r="B26" s="40" t="s">
        <v>2877</v>
      </c>
      <c r="C26" s="11" t="s">
        <v>2667</v>
      </c>
      <c r="D26" s="12" t="s">
        <v>298</v>
      </c>
      <c r="E26" s="61" t="s">
        <v>73</v>
      </c>
      <c r="F26" s="61" t="s">
        <v>50</v>
      </c>
      <c r="G26" s="11">
        <v>0.73</v>
      </c>
      <c r="H26" s="11">
        <v>44.0</v>
      </c>
      <c r="I26" s="14" t="s">
        <v>2878</v>
      </c>
      <c r="J26" s="40" t="s">
        <v>2877</v>
      </c>
      <c r="K26" s="16" t="s">
        <v>2879</v>
      </c>
      <c r="L26" s="44" t="s">
        <v>298</v>
      </c>
      <c r="M26" s="62" t="s">
        <v>2880</v>
      </c>
      <c r="N26" s="55" t="s">
        <v>2879</v>
      </c>
      <c r="O26" s="44">
        <v>2006.0</v>
      </c>
      <c r="P26" s="14" t="s">
        <v>2671</v>
      </c>
      <c r="Q26" s="14" t="s">
        <v>2672</v>
      </c>
      <c r="R26" s="44" t="s">
        <v>1805</v>
      </c>
      <c r="S26" s="44" t="s">
        <v>2673</v>
      </c>
      <c r="T26" s="44" t="s">
        <v>59</v>
      </c>
      <c r="U26" s="44">
        <v>2.0</v>
      </c>
      <c r="Y26" s="14" t="s">
        <v>420</v>
      </c>
      <c r="Z26" s="14" t="s">
        <v>2674</v>
      </c>
      <c r="AA26" s="14" t="s">
        <v>2818</v>
      </c>
      <c r="AB26" s="14" t="s">
        <v>2676</v>
      </c>
      <c r="AC26" s="47" t="s">
        <v>423</v>
      </c>
      <c r="AE26" s="16" t="s">
        <v>2728</v>
      </c>
      <c r="AF26" s="16" t="s">
        <v>2729</v>
      </c>
      <c r="AG26" s="14" t="s">
        <v>2881</v>
      </c>
      <c r="AH26" s="17" t="s">
        <v>2882</v>
      </c>
      <c r="AI26" s="17" t="s">
        <v>2883</v>
      </c>
      <c r="AJ26" s="44" t="s">
        <v>70</v>
      </c>
      <c r="AO26" s="58"/>
      <c r="AP26" s="58"/>
    </row>
    <row r="27" ht="15.75" customHeight="1">
      <c r="A27" s="61">
        <v>25.0</v>
      </c>
      <c r="B27" s="40" t="s">
        <v>2884</v>
      </c>
      <c r="C27" s="11" t="s">
        <v>2667</v>
      </c>
      <c r="D27" s="12" t="s">
        <v>298</v>
      </c>
      <c r="E27" s="61" t="s">
        <v>73</v>
      </c>
      <c r="F27" s="61" t="s">
        <v>50</v>
      </c>
      <c r="G27" s="11">
        <v>5.87</v>
      </c>
      <c r="H27" s="11">
        <v>55.0</v>
      </c>
      <c r="I27" s="14" t="s">
        <v>2885</v>
      </c>
      <c r="J27" s="40" t="s">
        <v>2884</v>
      </c>
      <c r="K27" s="16" t="s">
        <v>2886</v>
      </c>
      <c r="L27" s="44" t="s">
        <v>298</v>
      </c>
      <c r="M27" s="62" t="s">
        <v>2887</v>
      </c>
      <c r="N27" s="16" t="s">
        <v>2886</v>
      </c>
      <c r="O27" s="44">
        <v>2011.0</v>
      </c>
      <c r="P27" s="14" t="s">
        <v>2671</v>
      </c>
      <c r="Q27" s="14" t="s">
        <v>2672</v>
      </c>
      <c r="R27" s="44" t="s">
        <v>1805</v>
      </c>
      <c r="S27" s="44" t="s">
        <v>2673</v>
      </c>
      <c r="T27" s="44" t="s">
        <v>59</v>
      </c>
      <c r="U27" s="44">
        <v>2.0</v>
      </c>
      <c r="Y27" s="14" t="s">
        <v>420</v>
      </c>
      <c r="Z27" s="14" t="s">
        <v>2674</v>
      </c>
      <c r="AA27" s="14" t="s">
        <v>2750</v>
      </c>
      <c r="AB27" s="14" t="s">
        <v>2676</v>
      </c>
      <c r="AC27" s="47" t="s">
        <v>423</v>
      </c>
      <c r="AE27" s="16" t="s">
        <v>2728</v>
      </c>
      <c r="AF27" s="16" t="s">
        <v>2758</v>
      </c>
      <c r="AG27" s="14" t="s">
        <v>2888</v>
      </c>
      <c r="AH27" s="71" t="s">
        <v>2889</v>
      </c>
      <c r="AI27" s="71" t="s">
        <v>2890</v>
      </c>
      <c r="AJ27" s="44" t="s">
        <v>70</v>
      </c>
      <c r="AO27" s="58"/>
      <c r="AP27" s="58"/>
    </row>
    <row r="28" ht="15.75" customHeight="1">
      <c r="L28" s="44"/>
      <c r="O28" s="44"/>
      <c r="R28" s="44"/>
      <c r="S28" s="44"/>
      <c r="T28" s="44"/>
      <c r="U28" s="44"/>
      <c r="AB28" s="72"/>
      <c r="AC28" s="73"/>
      <c r="AH28" s="74"/>
      <c r="AI28" s="74"/>
      <c r="AJ28" s="44"/>
      <c r="AO28" s="58"/>
      <c r="AP28" s="58"/>
    </row>
    <row r="29" ht="15.75" customHeight="1">
      <c r="L29" s="44"/>
      <c r="O29" s="44"/>
      <c r="R29" s="44"/>
      <c r="S29" s="44"/>
      <c r="T29" s="44"/>
      <c r="U29" s="44"/>
      <c r="AB29" s="72"/>
      <c r="AC29" s="73"/>
      <c r="AH29" s="74"/>
      <c r="AI29" s="74"/>
      <c r="AJ29" s="44"/>
      <c r="AO29" s="58"/>
      <c r="AP29" s="58"/>
    </row>
    <row r="30" ht="15.75" customHeight="1">
      <c r="L30" s="44"/>
      <c r="O30" s="44"/>
      <c r="R30" s="44"/>
      <c r="S30" s="44"/>
      <c r="T30" s="44"/>
      <c r="U30" s="44"/>
      <c r="AB30" s="72"/>
      <c r="AC30" s="73"/>
      <c r="AJ30" s="44"/>
      <c r="AO30" s="58"/>
      <c r="AP30" s="58"/>
    </row>
    <row r="31" ht="15.75" customHeight="1">
      <c r="L31" s="44"/>
      <c r="O31" s="44"/>
      <c r="R31" s="44"/>
      <c r="S31" s="44"/>
      <c r="T31" s="44"/>
      <c r="U31" s="44"/>
      <c r="AJ31" s="44"/>
      <c r="AO31" s="58"/>
      <c r="AP31" s="58"/>
    </row>
    <row r="32" ht="15.75" customHeight="1">
      <c r="L32" s="44"/>
      <c r="O32" s="44"/>
      <c r="R32" s="44"/>
      <c r="S32" s="44"/>
      <c r="T32" s="44"/>
      <c r="U32" s="44"/>
      <c r="AJ32" s="44"/>
    </row>
    <row r="33" ht="15.75" customHeight="1">
      <c r="I33" s="44"/>
      <c r="L33" s="44"/>
      <c r="O33" s="44"/>
      <c r="R33" s="44"/>
      <c r="S33" s="44"/>
      <c r="T33" s="44"/>
      <c r="U33" s="44"/>
      <c r="AJ33" s="44"/>
    </row>
    <row r="34" ht="15.75" customHeight="1">
      <c r="I34" s="44"/>
      <c r="L34" s="44"/>
      <c r="O34" s="44"/>
      <c r="R34" s="44"/>
      <c r="S34" s="44"/>
      <c r="T34" s="44"/>
      <c r="U34" s="44"/>
      <c r="AJ34" s="44"/>
    </row>
    <row r="35" ht="15.75" customHeight="1">
      <c r="I35" s="44"/>
      <c r="L35" s="44"/>
      <c r="O35" s="44"/>
      <c r="R35" s="44"/>
      <c r="S35" s="44"/>
      <c r="T35" s="44"/>
      <c r="U35" s="44"/>
      <c r="AJ35" s="44"/>
    </row>
    <row r="36" ht="15.75" customHeight="1">
      <c r="I36" s="44"/>
      <c r="L36" s="44"/>
      <c r="O36" s="44"/>
      <c r="R36" s="44"/>
      <c r="S36" s="44"/>
      <c r="T36" s="44"/>
      <c r="U36" s="44"/>
      <c r="AJ36" s="44"/>
    </row>
    <row r="37" ht="15.75" customHeight="1">
      <c r="I37" s="44"/>
      <c r="L37" s="44"/>
      <c r="O37" s="44"/>
      <c r="R37" s="44"/>
      <c r="S37" s="44"/>
      <c r="T37" s="44"/>
      <c r="U37" s="44"/>
      <c r="AJ37" s="44"/>
    </row>
    <row r="38" ht="15.75" customHeight="1">
      <c r="I38" s="44"/>
      <c r="L38" s="44"/>
      <c r="O38" s="44"/>
      <c r="R38" s="44"/>
      <c r="S38" s="44"/>
      <c r="T38" s="44"/>
      <c r="U38" s="44"/>
      <c r="AJ38" s="44"/>
    </row>
    <row r="39" ht="15.75" customHeight="1">
      <c r="I39" s="44"/>
      <c r="L39" s="44"/>
      <c r="O39" s="44"/>
      <c r="R39" s="44"/>
      <c r="S39" s="44"/>
      <c r="T39" s="44"/>
      <c r="U39" s="44"/>
      <c r="AJ39" s="44"/>
    </row>
    <row r="40" ht="15.75" customHeight="1">
      <c r="I40" s="44"/>
      <c r="L40" s="44"/>
      <c r="O40" s="44"/>
      <c r="R40" s="44"/>
      <c r="S40" s="44"/>
      <c r="T40" s="44"/>
      <c r="U40" s="44"/>
      <c r="AJ40" s="44"/>
    </row>
    <row r="41" ht="15.75" customHeight="1">
      <c r="I41" s="44"/>
      <c r="L41" s="44"/>
      <c r="O41" s="44"/>
      <c r="R41" s="44"/>
      <c r="S41" s="44"/>
      <c r="T41" s="44"/>
      <c r="U41" s="44"/>
      <c r="AJ41" s="44"/>
    </row>
    <row r="42" ht="15.75" customHeight="1">
      <c r="I42" s="44"/>
      <c r="L42" s="44"/>
      <c r="O42" s="44"/>
      <c r="R42" s="44"/>
      <c r="S42" s="44"/>
      <c r="T42" s="44"/>
      <c r="U42" s="44"/>
      <c r="AJ42" s="44"/>
    </row>
    <row r="43" ht="15.75" customHeight="1">
      <c r="I43" s="44"/>
      <c r="L43" s="44"/>
      <c r="O43" s="44"/>
      <c r="R43" s="44"/>
      <c r="S43" s="44"/>
      <c r="T43" s="44"/>
      <c r="U43" s="44"/>
      <c r="AJ43" s="44"/>
    </row>
    <row r="44" ht="15.75" customHeight="1">
      <c r="I44" s="44"/>
      <c r="L44" s="44"/>
      <c r="O44" s="44"/>
      <c r="R44" s="44"/>
      <c r="S44" s="44"/>
      <c r="T44" s="44"/>
      <c r="U44" s="44"/>
      <c r="AJ44" s="44"/>
    </row>
    <row r="45" ht="15.75" customHeight="1">
      <c r="I45" s="44"/>
      <c r="L45" s="44"/>
      <c r="O45" s="44"/>
      <c r="R45" s="44"/>
      <c r="S45" s="44"/>
      <c r="T45" s="44"/>
      <c r="U45" s="44"/>
      <c r="AJ45" s="44"/>
    </row>
    <row r="46" ht="15.75" customHeight="1">
      <c r="I46" s="44"/>
      <c r="L46" s="44"/>
      <c r="O46" s="44"/>
      <c r="R46" s="44"/>
      <c r="S46" s="44"/>
      <c r="T46" s="44"/>
      <c r="U46" s="44"/>
      <c r="AJ46" s="44"/>
    </row>
    <row r="47" ht="15.75" customHeight="1">
      <c r="I47" s="44"/>
      <c r="L47" s="44"/>
      <c r="O47" s="44"/>
      <c r="R47" s="44"/>
      <c r="S47" s="44"/>
      <c r="T47" s="44"/>
      <c r="U47" s="44"/>
      <c r="AJ47" s="44"/>
    </row>
    <row r="48" ht="15.75" customHeight="1">
      <c r="I48" s="44"/>
      <c r="L48" s="44"/>
      <c r="O48" s="44"/>
      <c r="R48" s="44"/>
      <c r="S48" s="44"/>
      <c r="T48" s="44"/>
      <c r="U48" s="44"/>
      <c r="AJ48" s="44"/>
    </row>
    <row r="49" ht="15.75" customHeight="1">
      <c r="I49" s="44"/>
      <c r="L49" s="44"/>
      <c r="O49" s="44"/>
      <c r="R49" s="44"/>
      <c r="S49" s="44"/>
      <c r="T49" s="44"/>
      <c r="U49" s="44"/>
      <c r="AJ49" s="44"/>
    </row>
    <row r="50" ht="15.75" customHeight="1">
      <c r="I50" s="44"/>
      <c r="L50" s="44"/>
      <c r="O50" s="44"/>
      <c r="R50" s="44"/>
      <c r="S50" s="44"/>
      <c r="T50" s="44"/>
      <c r="U50" s="44"/>
      <c r="AJ50" s="44"/>
    </row>
    <row r="51" ht="15.75" customHeight="1">
      <c r="I51" s="44"/>
      <c r="L51" s="44"/>
      <c r="O51" s="44"/>
      <c r="R51" s="44"/>
      <c r="S51" s="44"/>
      <c r="T51" s="44"/>
      <c r="U51" s="44"/>
      <c r="AJ51" s="44"/>
    </row>
    <row r="52" ht="15.75" customHeight="1">
      <c r="I52" s="44"/>
      <c r="L52" s="44"/>
      <c r="O52" s="44"/>
      <c r="R52" s="44"/>
      <c r="S52" s="44"/>
      <c r="T52" s="44"/>
      <c r="U52" s="44"/>
      <c r="AJ52" s="44"/>
    </row>
    <row r="53" ht="15.75" customHeight="1">
      <c r="I53" s="44"/>
      <c r="L53" s="44"/>
      <c r="O53" s="44"/>
      <c r="R53" s="44"/>
      <c r="S53" s="44"/>
      <c r="T53" s="44"/>
      <c r="U53" s="44"/>
      <c r="AJ53" s="44"/>
    </row>
    <row r="54" ht="15.75" customHeight="1">
      <c r="I54" s="44"/>
      <c r="L54" s="44"/>
      <c r="O54" s="44"/>
      <c r="R54" s="44"/>
      <c r="S54" s="44"/>
      <c r="T54" s="44"/>
      <c r="U54" s="44"/>
      <c r="AJ54" s="44"/>
    </row>
    <row r="55" ht="15.75" customHeight="1">
      <c r="I55" s="44"/>
      <c r="L55" s="44"/>
      <c r="O55" s="44"/>
      <c r="R55" s="44"/>
      <c r="S55" s="44"/>
      <c r="T55" s="44"/>
      <c r="U55" s="44"/>
      <c r="AJ55" s="44"/>
    </row>
    <row r="56" ht="15.75" customHeight="1">
      <c r="I56" s="44"/>
      <c r="L56" s="44"/>
      <c r="O56" s="44"/>
      <c r="R56" s="44"/>
      <c r="S56" s="44"/>
      <c r="T56" s="44"/>
      <c r="U56" s="44"/>
      <c r="AJ56" s="44"/>
    </row>
    <row r="57" ht="15.75" customHeight="1">
      <c r="I57" s="44"/>
      <c r="L57" s="44"/>
      <c r="O57" s="44"/>
      <c r="R57" s="44"/>
      <c r="S57" s="44"/>
      <c r="T57" s="44"/>
      <c r="U57" s="44"/>
      <c r="AJ57" s="44"/>
    </row>
    <row r="58" ht="15.75" customHeight="1">
      <c r="I58" s="44"/>
      <c r="L58" s="44"/>
      <c r="O58" s="44"/>
      <c r="R58" s="44"/>
      <c r="S58" s="44"/>
      <c r="T58" s="44"/>
      <c r="U58" s="44"/>
      <c r="AJ58" s="44"/>
    </row>
    <row r="59" ht="15.75" customHeight="1">
      <c r="L59" s="44"/>
      <c r="O59" s="44"/>
      <c r="R59" s="44"/>
      <c r="S59" s="44"/>
      <c r="T59" s="44"/>
      <c r="U59" s="44"/>
      <c r="AJ59" s="44"/>
    </row>
    <row r="60" ht="15.75" customHeight="1">
      <c r="L60" s="44"/>
      <c r="O60" s="44"/>
      <c r="R60" s="44"/>
      <c r="S60" s="44"/>
      <c r="T60" s="44"/>
      <c r="U60" s="44"/>
      <c r="AJ60" s="44"/>
    </row>
    <row r="61" ht="15.75" customHeight="1">
      <c r="L61" s="44"/>
      <c r="O61" s="44"/>
      <c r="R61" s="44"/>
      <c r="S61" s="44"/>
      <c r="T61" s="44"/>
      <c r="U61" s="44"/>
      <c r="AJ61" s="44"/>
    </row>
    <row r="62" ht="15.75" customHeight="1">
      <c r="L62" s="44"/>
      <c r="O62" s="44"/>
      <c r="R62" s="44"/>
      <c r="S62" s="44"/>
      <c r="T62" s="44"/>
      <c r="U62" s="44"/>
      <c r="AJ62" s="44"/>
    </row>
    <row r="63" ht="15.75" customHeight="1">
      <c r="L63" s="44"/>
      <c r="O63" s="44"/>
      <c r="R63" s="44"/>
      <c r="S63" s="44"/>
      <c r="T63" s="44"/>
      <c r="U63" s="44"/>
      <c r="AJ63" s="44"/>
    </row>
    <row r="64" ht="15.75" customHeight="1">
      <c r="L64" s="44"/>
      <c r="O64" s="44"/>
      <c r="R64" s="44"/>
      <c r="S64" s="44"/>
      <c r="T64" s="44"/>
      <c r="U64" s="44"/>
      <c r="AJ64" s="44"/>
    </row>
    <row r="65" ht="15.75" customHeight="1">
      <c r="L65" s="44"/>
      <c r="O65" s="44"/>
      <c r="R65" s="44"/>
      <c r="S65" s="44"/>
      <c r="T65" s="44"/>
      <c r="U65" s="44"/>
      <c r="AJ65" s="44"/>
    </row>
    <row r="66" ht="15.75" customHeight="1">
      <c r="L66" s="44"/>
      <c r="O66" s="44"/>
      <c r="R66" s="44"/>
      <c r="S66" s="44"/>
      <c r="T66" s="44"/>
      <c r="U66" s="44"/>
      <c r="AJ66" s="44"/>
    </row>
    <row r="67" ht="15.75" customHeight="1">
      <c r="L67" s="44"/>
      <c r="O67" s="44"/>
      <c r="R67" s="44"/>
      <c r="S67" s="44"/>
      <c r="T67" s="44"/>
      <c r="U67" s="44"/>
      <c r="AJ67" s="44"/>
    </row>
    <row r="68" ht="15.75" customHeight="1">
      <c r="L68" s="44"/>
      <c r="O68" s="44"/>
      <c r="R68" s="44"/>
      <c r="S68" s="44"/>
      <c r="T68" s="44"/>
      <c r="U68" s="44"/>
      <c r="AJ68" s="44"/>
    </row>
    <row r="69" ht="15.75" customHeight="1">
      <c r="L69" s="44"/>
      <c r="O69" s="44"/>
      <c r="R69" s="44"/>
      <c r="S69" s="44"/>
      <c r="T69" s="44"/>
      <c r="U69" s="44"/>
      <c r="AJ69" s="44"/>
    </row>
    <row r="70" ht="15.75" customHeight="1">
      <c r="L70" s="44"/>
      <c r="O70" s="44"/>
      <c r="R70" s="44"/>
      <c r="S70" s="44"/>
      <c r="T70" s="44"/>
      <c r="U70" s="44"/>
      <c r="AJ70" s="44"/>
    </row>
    <row r="71" ht="15.75" customHeight="1">
      <c r="L71" s="44"/>
      <c r="O71" s="44"/>
      <c r="R71" s="44"/>
      <c r="S71" s="44"/>
      <c r="T71" s="44"/>
      <c r="U71" s="44"/>
      <c r="AJ71" s="44"/>
    </row>
    <row r="72" ht="15.75" customHeight="1">
      <c r="L72" s="44"/>
      <c r="O72" s="44"/>
      <c r="R72" s="44"/>
      <c r="S72" s="44"/>
      <c r="T72" s="44"/>
      <c r="U72" s="44"/>
      <c r="AJ72" s="44"/>
    </row>
    <row r="73" ht="15.75" customHeight="1">
      <c r="L73" s="44"/>
      <c r="O73" s="44"/>
      <c r="R73" s="44"/>
      <c r="S73" s="44"/>
      <c r="T73" s="44"/>
      <c r="U73" s="44"/>
      <c r="AJ73" s="44"/>
    </row>
    <row r="74" ht="15.75" customHeight="1">
      <c r="L74" s="44"/>
      <c r="O74" s="44"/>
      <c r="R74" s="44"/>
      <c r="S74" s="44"/>
      <c r="T74" s="44"/>
      <c r="U74" s="44"/>
      <c r="AJ74" s="44"/>
    </row>
    <row r="75" ht="15.75" customHeight="1">
      <c r="L75" s="44"/>
      <c r="O75" s="44"/>
      <c r="R75" s="44"/>
      <c r="S75" s="44"/>
      <c r="T75" s="44"/>
      <c r="U75" s="44"/>
      <c r="AJ75" s="44"/>
    </row>
    <row r="76" ht="15.75" customHeight="1">
      <c r="L76" s="44"/>
      <c r="O76" s="44"/>
      <c r="R76" s="44"/>
      <c r="S76" s="44"/>
      <c r="T76" s="44"/>
      <c r="U76" s="44"/>
      <c r="AJ76" s="44"/>
    </row>
    <row r="77" ht="15.75" customHeight="1">
      <c r="L77" s="44"/>
      <c r="O77" s="44"/>
      <c r="R77" s="44"/>
      <c r="S77" s="44"/>
      <c r="T77" s="44"/>
      <c r="U77" s="44"/>
      <c r="AJ77" s="44"/>
    </row>
    <row r="78" ht="15.75" customHeight="1">
      <c r="L78" s="44"/>
      <c r="O78" s="44"/>
      <c r="R78" s="44"/>
      <c r="S78" s="44"/>
      <c r="T78" s="44"/>
      <c r="U78" s="44"/>
      <c r="AJ78" s="44"/>
    </row>
    <row r="79" ht="15.75" customHeight="1">
      <c r="L79" s="44"/>
      <c r="O79" s="44"/>
      <c r="R79" s="44"/>
      <c r="S79" s="44"/>
      <c r="T79" s="44"/>
      <c r="U79" s="44"/>
      <c r="AJ79" s="44"/>
    </row>
    <row r="80" ht="15.75" customHeight="1">
      <c r="L80" s="44"/>
      <c r="O80" s="44"/>
      <c r="R80" s="44"/>
      <c r="S80" s="44"/>
      <c r="T80" s="44"/>
      <c r="U80" s="44"/>
      <c r="AJ80" s="44"/>
    </row>
    <row r="81" ht="15.75" customHeight="1">
      <c r="L81" s="44"/>
      <c r="O81" s="44"/>
      <c r="R81" s="44"/>
      <c r="S81" s="44"/>
      <c r="T81" s="44"/>
      <c r="U81" s="44"/>
      <c r="AJ81" s="44"/>
    </row>
    <row r="82" ht="15.75" customHeight="1">
      <c r="L82" s="44"/>
      <c r="O82" s="44"/>
      <c r="R82" s="44"/>
      <c r="S82" s="44"/>
      <c r="T82" s="44"/>
      <c r="U82" s="44"/>
      <c r="AJ82" s="44"/>
    </row>
    <row r="83" ht="15.75" customHeight="1">
      <c r="L83" s="44"/>
      <c r="O83" s="44"/>
      <c r="R83" s="44"/>
      <c r="S83" s="44"/>
      <c r="T83" s="44"/>
      <c r="U83" s="44"/>
      <c r="AJ83" s="44"/>
    </row>
    <row r="84" ht="15.75" customHeight="1">
      <c r="L84" s="44"/>
      <c r="O84" s="44"/>
      <c r="R84" s="44"/>
      <c r="S84" s="44"/>
      <c r="T84" s="44"/>
      <c r="U84" s="44"/>
      <c r="AJ84" s="44"/>
    </row>
    <row r="85" ht="15.75" customHeight="1">
      <c r="L85" s="44"/>
      <c r="O85" s="44"/>
      <c r="R85" s="44"/>
      <c r="S85" s="44"/>
      <c r="T85" s="44"/>
      <c r="U85" s="44"/>
      <c r="AJ85" s="44"/>
    </row>
    <row r="86" ht="15.75" customHeight="1">
      <c r="L86" s="44"/>
      <c r="O86" s="44"/>
      <c r="R86" s="44"/>
      <c r="S86" s="44"/>
      <c r="T86" s="44"/>
      <c r="U86" s="44"/>
      <c r="AJ86" s="44"/>
    </row>
    <row r="87" ht="15.75" customHeight="1">
      <c r="L87" s="44"/>
      <c r="O87" s="44"/>
      <c r="R87" s="44"/>
      <c r="S87" s="44"/>
      <c r="T87" s="44"/>
      <c r="U87" s="44"/>
      <c r="AJ87" s="44"/>
    </row>
    <row r="88" ht="15.75" customHeight="1">
      <c r="L88" s="44"/>
      <c r="O88" s="44"/>
      <c r="R88" s="44"/>
      <c r="S88" s="44"/>
      <c r="T88" s="44"/>
      <c r="U88" s="44"/>
      <c r="AJ88" s="44"/>
    </row>
    <row r="89" ht="15.75" customHeight="1">
      <c r="L89" s="44"/>
      <c r="O89" s="44"/>
      <c r="R89" s="44"/>
      <c r="S89" s="44"/>
      <c r="T89" s="44"/>
      <c r="U89" s="44"/>
      <c r="AJ89" s="44"/>
    </row>
    <row r="90" ht="15.75" customHeight="1">
      <c r="L90" s="44"/>
      <c r="O90" s="44"/>
      <c r="R90" s="44"/>
      <c r="S90" s="44"/>
      <c r="T90" s="44"/>
      <c r="U90" s="44"/>
      <c r="AJ90" s="44"/>
    </row>
    <row r="91" ht="15.75" customHeight="1">
      <c r="L91" s="44"/>
      <c r="O91" s="44"/>
      <c r="R91" s="44"/>
      <c r="S91" s="44"/>
      <c r="T91" s="44"/>
      <c r="U91" s="44"/>
      <c r="AJ91" s="44"/>
    </row>
    <row r="92" ht="15.75" customHeight="1">
      <c r="L92" s="44"/>
      <c r="O92" s="44"/>
      <c r="R92" s="44"/>
      <c r="S92" s="44"/>
      <c r="T92" s="44"/>
      <c r="U92" s="44"/>
      <c r="AJ92" s="44"/>
    </row>
    <row r="93" ht="15.75" customHeight="1">
      <c r="L93" s="44"/>
      <c r="O93" s="44"/>
      <c r="R93" s="44"/>
      <c r="S93" s="44"/>
      <c r="T93" s="44"/>
      <c r="U93" s="44"/>
      <c r="AJ93" s="44"/>
    </row>
    <row r="94" ht="15.75" customHeight="1">
      <c r="L94" s="44"/>
      <c r="O94" s="44"/>
      <c r="R94" s="44"/>
      <c r="S94" s="44"/>
      <c r="T94" s="44"/>
      <c r="U94" s="44"/>
      <c r="AJ94" s="44"/>
    </row>
    <row r="95" ht="15.75" customHeight="1">
      <c r="L95" s="44"/>
      <c r="O95" s="44"/>
      <c r="R95" s="44"/>
      <c r="S95" s="44"/>
      <c r="T95" s="44"/>
      <c r="U95" s="44"/>
      <c r="AJ95" s="44"/>
    </row>
    <row r="96" ht="15.75" customHeight="1">
      <c r="L96" s="44"/>
      <c r="O96" s="44"/>
      <c r="R96" s="44"/>
      <c r="S96" s="44"/>
      <c r="T96" s="44"/>
      <c r="U96" s="44"/>
      <c r="AJ96" s="44"/>
    </row>
    <row r="97" ht="15.75" customHeight="1">
      <c r="L97" s="44"/>
      <c r="O97" s="44"/>
      <c r="R97" s="44"/>
      <c r="S97" s="44"/>
      <c r="T97" s="44"/>
      <c r="U97" s="44"/>
      <c r="AJ97" s="44"/>
    </row>
    <row r="98" ht="15.75" customHeight="1">
      <c r="L98" s="44"/>
      <c r="O98" s="44"/>
      <c r="R98" s="44"/>
      <c r="S98" s="44"/>
      <c r="T98" s="44"/>
      <c r="U98" s="44"/>
      <c r="AJ98" s="44"/>
    </row>
    <row r="99" ht="15.75" customHeight="1">
      <c r="L99" s="44"/>
      <c r="O99" s="44"/>
      <c r="R99" s="44"/>
      <c r="S99" s="44"/>
      <c r="T99" s="44"/>
      <c r="U99" s="44"/>
      <c r="AJ99" s="44"/>
    </row>
    <row r="100" ht="15.75" customHeight="1">
      <c r="L100" s="44"/>
      <c r="O100" s="44"/>
      <c r="R100" s="44"/>
      <c r="S100" s="44"/>
      <c r="T100" s="44"/>
      <c r="U100" s="44"/>
      <c r="AJ100" s="44"/>
    </row>
    <row r="101" ht="15.75" customHeight="1">
      <c r="L101" s="44"/>
      <c r="O101" s="44"/>
      <c r="R101" s="44"/>
      <c r="S101" s="44"/>
      <c r="T101" s="44"/>
      <c r="U101" s="44"/>
      <c r="AJ101" s="44"/>
    </row>
    <row r="102" ht="15.75" customHeight="1">
      <c r="L102" s="44"/>
      <c r="O102" s="44"/>
      <c r="R102" s="44"/>
      <c r="S102" s="44"/>
      <c r="T102" s="44"/>
      <c r="U102" s="44"/>
      <c r="AJ102" s="44"/>
    </row>
    <row r="103" ht="15.75" customHeight="1">
      <c r="L103" s="44"/>
      <c r="O103" s="44"/>
      <c r="R103" s="44"/>
      <c r="S103" s="44"/>
      <c r="T103" s="44"/>
      <c r="U103" s="44"/>
      <c r="AJ103" s="44"/>
    </row>
    <row r="104" ht="15.75" customHeight="1">
      <c r="L104" s="44"/>
      <c r="O104" s="44"/>
      <c r="R104" s="44"/>
      <c r="S104" s="44"/>
      <c r="T104" s="44"/>
      <c r="U104" s="44"/>
      <c r="AJ104" s="44"/>
    </row>
    <row r="105" ht="15.75" customHeight="1">
      <c r="L105" s="44"/>
      <c r="O105" s="44"/>
      <c r="R105" s="44"/>
      <c r="S105" s="44"/>
      <c r="T105" s="44"/>
      <c r="U105" s="44"/>
      <c r="AJ105" s="44"/>
    </row>
    <row r="106" ht="15.75" customHeight="1">
      <c r="L106" s="44"/>
      <c r="O106" s="44"/>
      <c r="R106" s="44"/>
      <c r="S106" s="44"/>
      <c r="T106" s="44"/>
      <c r="U106" s="44"/>
      <c r="AJ106" s="44"/>
    </row>
    <row r="107" ht="15.75" customHeight="1">
      <c r="L107" s="44"/>
      <c r="O107" s="44"/>
      <c r="R107" s="44"/>
      <c r="S107" s="44"/>
      <c r="T107" s="44"/>
      <c r="U107" s="44"/>
      <c r="AJ107" s="44"/>
    </row>
    <row r="108" ht="15.75" customHeight="1">
      <c r="L108" s="44"/>
      <c r="O108" s="44"/>
      <c r="R108" s="44"/>
      <c r="S108" s="44"/>
      <c r="T108" s="44"/>
      <c r="U108" s="44"/>
      <c r="AJ108" s="44"/>
    </row>
    <row r="109" ht="15.75" customHeight="1">
      <c r="L109" s="44"/>
      <c r="O109" s="44"/>
      <c r="R109" s="44"/>
      <c r="S109" s="44"/>
      <c r="T109" s="44"/>
      <c r="U109" s="44"/>
      <c r="AJ109" s="44"/>
    </row>
    <row r="110" ht="15.75" customHeight="1">
      <c r="L110" s="44"/>
      <c r="O110" s="44"/>
      <c r="R110" s="44"/>
      <c r="S110" s="44"/>
      <c r="T110" s="44"/>
      <c r="U110" s="44"/>
      <c r="AJ110" s="44"/>
    </row>
    <row r="111" ht="15.75" customHeight="1">
      <c r="L111" s="44"/>
      <c r="O111" s="44"/>
      <c r="R111" s="44"/>
      <c r="S111" s="44"/>
      <c r="T111" s="44"/>
      <c r="U111" s="44"/>
      <c r="AJ111" s="44"/>
    </row>
    <row r="112" ht="15.75" customHeight="1">
      <c r="L112" s="44"/>
      <c r="O112" s="44"/>
      <c r="R112" s="44"/>
      <c r="S112" s="44"/>
      <c r="T112" s="44"/>
      <c r="U112" s="44"/>
      <c r="AJ112" s="44"/>
    </row>
    <row r="113" ht="15.75" customHeight="1">
      <c r="L113" s="44"/>
      <c r="O113" s="44"/>
      <c r="R113" s="44"/>
      <c r="S113" s="44"/>
      <c r="T113" s="44"/>
      <c r="U113" s="44"/>
      <c r="AJ113" s="44"/>
    </row>
    <row r="114" ht="15.75" customHeight="1">
      <c r="L114" s="44"/>
      <c r="O114" s="44"/>
      <c r="R114" s="44"/>
      <c r="S114" s="44"/>
      <c r="T114" s="44"/>
      <c r="U114" s="44"/>
      <c r="AJ114" s="44"/>
    </row>
    <row r="115" ht="15.75" customHeight="1">
      <c r="L115" s="44"/>
      <c r="O115" s="44"/>
      <c r="R115" s="44"/>
      <c r="S115" s="44"/>
      <c r="T115" s="44"/>
      <c r="U115" s="44"/>
      <c r="AJ115" s="44"/>
    </row>
    <row r="116" ht="15.75" customHeight="1">
      <c r="L116" s="44"/>
      <c r="O116" s="44"/>
      <c r="R116" s="44"/>
      <c r="S116" s="44"/>
      <c r="T116" s="44"/>
      <c r="U116" s="44"/>
      <c r="AJ116" s="44"/>
    </row>
    <row r="117" ht="15.75" customHeight="1">
      <c r="L117" s="44"/>
      <c r="O117" s="44"/>
      <c r="R117" s="44"/>
      <c r="S117" s="44"/>
      <c r="T117" s="44"/>
      <c r="U117" s="44"/>
      <c r="AJ117" s="44"/>
    </row>
    <row r="118" ht="15.75" customHeight="1">
      <c r="L118" s="44"/>
      <c r="O118" s="44"/>
      <c r="R118" s="44"/>
      <c r="S118" s="44"/>
      <c r="T118" s="44"/>
      <c r="U118" s="44"/>
      <c r="AJ118" s="44"/>
    </row>
    <row r="119" ht="15.75" customHeight="1">
      <c r="L119" s="44"/>
      <c r="O119" s="44"/>
      <c r="R119" s="44"/>
      <c r="S119" s="44"/>
      <c r="T119" s="44"/>
      <c r="U119" s="44"/>
      <c r="AJ119" s="44"/>
    </row>
    <row r="120" ht="15.75" customHeight="1">
      <c r="L120" s="44"/>
      <c r="O120" s="44"/>
      <c r="R120" s="44"/>
      <c r="S120" s="44"/>
      <c r="T120" s="44"/>
      <c r="U120" s="44"/>
      <c r="AJ120" s="44"/>
    </row>
    <row r="121" ht="15.75" customHeight="1">
      <c r="L121" s="44"/>
      <c r="O121" s="44"/>
      <c r="R121" s="44"/>
      <c r="S121" s="44"/>
      <c r="T121" s="44"/>
      <c r="U121" s="44"/>
      <c r="AJ121" s="44"/>
    </row>
    <row r="122" ht="15.75" customHeight="1">
      <c r="L122" s="44"/>
      <c r="O122" s="44"/>
      <c r="R122" s="44"/>
      <c r="S122" s="44"/>
      <c r="T122" s="44"/>
      <c r="U122" s="44"/>
      <c r="AJ122" s="44"/>
    </row>
    <row r="123" ht="15.75" customHeight="1">
      <c r="L123" s="44"/>
      <c r="O123" s="44"/>
      <c r="R123" s="44"/>
      <c r="S123" s="44"/>
      <c r="T123" s="44"/>
      <c r="U123" s="44"/>
      <c r="AJ123" s="44"/>
    </row>
    <row r="124" ht="15.75" customHeight="1">
      <c r="L124" s="44"/>
      <c r="O124" s="44"/>
      <c r="R124" s="44"/>
      <c r="S124" s="44"/>
      <c r="T124" s="44"/>
      <c r="U124" s="44"/>
      <c r="AJ124" s="44"/>
    </row>
    <row r="125" ht="15.75" customHeight="1">
      <c r="L125" s="44"/>
      <c r="O125" s="44"/>
      <c r="R125" s="44"/>
      <c r="S125" s="44"/>
      <c r="T125" s="44"/>
      <c r="U125" s="44"/>
      <c r="AJ125" s="44"/>
    </row>
    <row r="126" ht="15.75" customHeight="1">
      <c r="L126" s="44"/>
      <c r="O126" s="44"/>
      <c r="R126" s="44"/>
      <c r="S126" s="44"/>
      <c r="T126" s="44"/>
      <c r="U126" s="44"/>
      <c r="AJ126" s="44"/>
    </row>
    <row r="127" ht="15.75" customHeight="1">
      <c r="L127" s="44"/>
      <c r="O127" s="44"/>
      <c r="R127" s="44"/>
      <c r="S127" s="44"/>
      <c r="T127" s="44"/>
      <c r="U127" s="44"/>
      <c r="AJ127" s="44"/>
    </row>
    <row r="128" ht="15.75" customHeight="1">
      <c r="L128" s="44"/>
      <c r="O128" s="44"/>
      <c r="R128" s="44"/>
      <c r="S128" s="44"/>
      <c r="T128" s="44"/>
      <c r="U128" s="44"/>
      <c r="AJ128" s="44"/>
    </row>
    <row r="129" ht="15.75" customHeight="1">
      <c r="L129" s="44"/>
      <c r="O129" s="44"/>
      <c r="R129" s="44"/>
      <c r="S129" s="44"/>
      <c r="T129" s="44"/>
      <c r="U129" s="44"/>
      <c r="AJ129" s="44"/>
    </row>
    <row r="130" ht="15.75" customHeight="1">
      <c r="L130" s="44"/>
      <c r="O130" s="44"/>
      <c r="R130" s="44"/>
      <c r="S130" s="44"/>
      <c r="T130" s="44"/>
      <c r="U130" s="44"/>
      <c r="AJ130" s="44"/>
    </row>
    <row r="131" ht="15.75" customHeight="1">
      <c r="L131" s="44"/>
      <c r="O131" s="44"/>
      <c r="R131" s="44"/>
      <c r="S131" s="44"/>
      <c r="T131" s="44"/>
      <c r="U131" s="44"/>
      <c r="AJ131" s="44"/>
    </row>
    <row r="132" ht="15.75" customHeight="1">
      <c r="L132" s="44"/>
      <c r="O132" s="44"/>
      <c r="R132" s="44"/>
      <c r="S132" s="44"/>
      <c r="T132" s="44"/>
      <c r="U132" s="44"/>
      <c r="AJ132" s="44"/>
    </row>
    <row r="133" ht="15.75" customHeight="1">
      <c r="L133" s="44"/>
      <c r="O133" s="44"/>
      <c r="R133" s="44"/>
      <c r="S133" s="44"/>
      <c r="T133" s="44"/>
      <c r="U133" s="44"/>
      <c r="AJ133" s="44"/>
    </row>
    <row r="134" ht="15.75" customHeight="1">
      <c r="L134" s="44"/>
      <c r="O134" s="44"/>
      <c r="R134" s="44"/>
      <c r="S134" s="44"/>
      <c r="T134" s="44"/>
      <c r="U134" s="44"/>
      <c r="AJ134" s="44"/>
    </row>
    <row r="135" ht="15.75" customHeight="1">
      <c r="L135" s="44"/>
      <c r="O135" s="44"/>
      <c r="R135" s="44"/>
      <c r="S135" s="44"/>
      <c r="T135" s="44"/>
      <c r="U135" s="44"/>
      <c r="AJ135" s="44"/>
    </row>
    <row r="136" ht="15.75" customHeight="1">
      <c r="L136" s="44"/>
      <c r="O136" s="44"/>
      <c r="R136" s="44"/>
      <c r="S136" s="44"/>
      <c r="T136" s="44"/>
      <c r="U136" s="44"/>
      <c r="AJ136" s="44"/>
    </row>
    <row r="137" ht="15.75" customHeight="1">
      <c r="L137" s="44"/>
      <c r="O137" s="44"/>
      <c r="R137" s="44"/>
      <c r="S137" s="44"/>
      <c r="T137" s="44"/>
      <c r="U137" s="44"/>
      <c r="AJ137" s="44"/>
    </row>
    <row r="138" ht="15.75" customHeight="1">
      <c r="L138" s="44"/>
      <c r="O138" s="44"/>
      <c r="R138" s="44"/>
      <c r="S138" s="44"/>
      <c r="T138" s="44"/>
      <c r="U138" s="44"/>
      <c r="AJ138" s="44"/>
    </row>
    <row r="139" ht="15.75" customHeight="1">
      <c r="L139" s="44"/>
      <c r="O139" s="44"/>
      <c r="R139" s="44"/>
      <c r="S139" s="44"/>
      <c r="T139" s="44"/>
      <c r="U139" s="44"/>
      <c r="AJ139" s="44"/>
    </row>
    <row r="140" ht="15.75" customHeight="1">
      <c r="L140" s="44"/>
      <c r="O140" s="44"/>
      <c r="R140" s="44"/>
      <c r="S140" s="44"/>
      <c r="T140" s="44"/>
      <c r="U140" s="44"/>
      <c r="AJ140" s="44"/>
    </row>
    <row r="141" ht="15.75" customHeight="1">
      <c r="L141" s="44"/>
      <c r="O141" s="44"/>
      <c r="R141" s="44"/>
      <c r="S141" s="44"/>
      <c r="T141" s="44"/>
      <c r="U141" s="44"/>
      <c r="AJ141" s="44"/>
    </row>
    <row r="142" ht="15.75" customHeight="1">
      <c r="L142" s="44"/>
      <c r="O142" s="44"/>
      <c r="R142" s="44"/>
      <c r="S142" s="44"/>
      <c r="T142" s="44"/>
      <c r="U142" s="44"/>
      <c r="AJ142" s="44"/>
    </row>
    <row r="143" ht="15.75" customHeight="1">
      <c r="L143" s="44"/>
      <c r="O143" s="44"/>
      <c r="R143" s="44"/>
      <c r="S143" s="44"/>
      <c r="T143" s="44"/>
      <c r="U143" s="44"/>
      <c r="AJ143" s="44"/>
    </row>
    <row r="144" ht="15.75" customHeight="1">
      <c r="L144" s="44"/>
      <c r="O144" s="44"/>
      <c r="R144" s="44"/>
      <c r="S144" s="44"/>
      <c r="T144" s="44"/>
      <c r="U144" s="44"/>
      <c r="AJ144" s="44"/>
    </row>
    <row r="145" ht="15.75" customHeight="1">
      <c r="L145" s="44"/>
      <c r="O145" s="44"/>
      <c r="R145" s="44"/>
      <c r="S145" s="44"/>
      <c r="T145" s="44"/>
      <c r="U145" s="44"/>
      <c r="AJ145" s="44"/>
    </row>
    <row r="146" ht="15.75" customHeight="1">
      <c r="L146" s="44"/>
      <c r="O146" s="44"/>
      <c r="R146" s="44"/>
      <c r="S146" s="44"/>
      <c r="T146" s="44"/>
      <c r="U146" s="44"/>
      <c r="AJ146" s="44"/>
    </row>
    <row r="147" ht="15.75" customHeight="1">
      <c r="L147" s="44"/>
      <c r="O147" s="44"/>
      <c r="R147" s="44"/>
      <c r="S147" s="44"/>
      <c r="T147" s="44"/>
      <c r="U147" s="44"/>
      <c r="AJ147" s="44"/>
    </row>
    <row r="148" ht="15.75" customHeight="1">
      <c r="L148" s="44"/>
      <c r="O148" s="44"/>
      <c r="R148" s="44"/>
      <c r="S148" s="44"/>
      <c r="T148" s="44"/>
      <c r="U148" s="44"/>
      <c r="AJ148" s="44"/>
    </row>
    <row r="149" ht="15.75" customHeight="1">
      <c r="L149" s="44"/>
      <c r="O149" s="44"/>
      <c r="R149" s="44"/>
      <c r="S149" s="44"/>
      <c r="T149" s="44"/>
      <c r="U149" s="44"/>
      <c r="AJ149" s="44"/>
    </row>
    <row r="150" ht="15.75" customHeight="1">
      <c r="L150" s="44"/>
      <c r="O150" s="44"/>
      <c r="R150" s="44"/>
      <c r="S150" s="44"/>
      <c r="T150" s="44"/>
      <c r="U150" s="44"/>
      <c r="AJ150" s="44"/>
    </row>
    <row r="151" ht="15.75" customHeight="1">
      <c r="L151" s="44"/>
      <c r="O151" s="44"/>
      <c r="R151" s="44"/>
      <c r="S151" s="44"/>
      <c r="T151" s="44"/>
      <c r="U151" s="44"/>
      <c r="AJ151" s="44"/>
    </row>
    <row r="152" ht="15.75" customHeight="1">
      <c r="L152" s="44"/>
      <c r="O152" s="44"/>
      <c r="R152" s="44"/>
      <c r="S152" s="44"/>
      <c r="T152" s="44"/>
      <c r="U152" s="44"/>
      <c r="AJ152" s="44"/>
    </row>
    <row r="153" ht="15.75" customHeight="1">
      <c r="L153" s="44"/>
      <c r="O153" s="44"/>
      <c r="R153" s="44"/>
      <c r="S153" s="44"/>
      <c r="T153" s="44"/>
      <c r="U153" s="44"/>
      <c r="AJ153" s="44"/>
    </row>
    <row r="154" ht="15.75" customHeight="1">
      <c r="L154" s="44"/>
      <c r="O154" s="44"/>
      <c r="R154" s="44"/>
      <c r="S154" s="44"/>
      <c r="T154" s="44"/>
      <c r="U154" s="44"/>
      <c r="AJ154" s="44"/>
    </row>
    <row r="155" ht="15.75" customHeight="1">
      <c r="L155" s="44"/>
      <c r="O155" s="44"/>
      <c r="R155" s="44"/>
      <c r="S155" s="44"/>
      <c r="T155" s="44"/>
      <c r="U155" s="44"/>
      <c r="AJ155" s="44"/>
    </row>
    <row r="156" ht="15.75" customHeight="1">
      <c r="L156" s="44"/>
      <c r="O156" s="44"/>
      <c r="R156" s="44"/>
      <c r="S156" s="44"/>
      <c r="T156" s="44"/>
      <c r="U156" s="44"/>
      <c r="AJ156" s="44"/>
    </row>
    <row r="157" ht="15.75" customHeight="1">
      <c r="L157" s="44"/>
      <c r="O157" s="44"/>
      <c r="R157" s="44"/>
      <c r="S157" s="44"/>
      <c r="T157" s="44"/>
      <c r="U157" s="44"/>
      <c r="AJ157" s="44"/>
    </row>
    <row r="158" ht="15.75" customHeight="1">
      <c r="L158" s="44"/>
      <c r="O158" s="44"/>
      <c r="R158" s="44"/>
      <c r="S158" s="44"/>
      <c r="T158" s="44"/>
      <c r="U158" s="44"/>
      <c r="AJ158" s="44"/>
    </row>
    <row r="159" ht="15.75" customHeight="1">
      <c r="L159" s="44"/>
      <c r="O159" s="44"/>
      <c r="R159" s="44"/>
      <c r="S159" s="44"/>
      <c r="T159" s="44"/>
      <c r="U159" s="44"/>
      <c r="AJ159" s="44"/>
    </row>
    <row r="160" ht="15.75" customHeight="1">
      <c r="L160" s="44"/>
      <c r="O160" s="44"/>
      <c r="R160" s="44"/>
      <c r="S160" s="44"/>
      <c r="T160" s="44"/>
      <c r="U160" s="44"/>
      <c r="AJ160" s="44"/>
    </row>
    <row r="161" ht="15.75" customHeight="1">
      <c r="L161" s="44"/>
      <c r="O161" s="44"/>
      <c r="R161" s="44"/>
      <c r="S161" s="44"/>
      <c r="T161" s="44"/>
      <c r="U161" s="44"/>
      <c r="AJ161" s="44"/>
    </row>
    <row r="162" ht="15.75" customHeight="1">
      <c r="L162" s="44"/>
      <c r="O162" s="44"/>
      <c r="R162" s="44"/>
      <c r="S162" s="44"/>
      <c r="T162" s="44"/>
      <c r="U162" s="44"/>
      <c r="AJ162" s="44"/>
    </row>
    <row r="163" ht="15.75" customHeight="1">
      <c r="L163" s="44"/>
      <c r="O163" s="44"/>
      <c r="R163" s="44"/>
      <c r="S163" s="44"/>
      <c r="T163" s="44"/>
      <c r="U163" s="44"/>
      <c r="AJ163" s="44"/>
    </row>
    <row r="164" ht="15.75" customHeight="1">
      <c r="L164" s="44"/>
      <c r="O164" s="44"/>
      <c r="R164" s="44"/>
      <c r="S164" s="44"/>
      <c r="T164" s="44"/>
      <c r="U164" s="44"/>
      <c r="AJ164" s="44"/>
    </row>
    <row r="165" ht="15.75" customHeight="1">
      <c r="L165" s="44"/>
      <c r="O165" s="44"/>
      <c r="R165" s="44"/>
      <c r="S165" s="44"/>
      <c r="T165" s="44"/>
      <c r="U165" s="44"/>
      <c r="AJ165" s="44"/>
    </row>
    <row r="166" ht="15.75" customHeight="1">
      <c r="L166" s="44"/>
      <c r="O166" s="44"/>
      <c r="R166" s="44"/>
      <c r="S166" s="44"/>
      <c r="T166" s="44"/>
      <c r="U166" s="44"/>
      <c r="AJ166" s="44"/>
    </row>
    <row r="167" ht="15.75" customHeight="1">
      <c r="L167" s="44"/>
      <c r="O167" s="44"/>
      <c r="R167" s="44"/>
      <c r="S167" s="44"/>
      <c r="T167" s="44"/>
      <c r="U167" s="44"/>
      <c r="AJ167" s="44"/>
    </row>
    <row r="168" ht="15.75" customHeight="1">
      <c r="L168" s="44"/>
      <c r="O168" s="44"/>
      <c r="R168" s="44"/>
      <c r="S168" s="44"/>
      <c r="T168" s="44"/>
      <c r="U168" s="44"/>
      <c r="AJ168" s="44"/>
    </row>
    <row r="169" ht="15.75" customHeight="1">
      <c r="L169" s="44"/>
      <c r="O169" s="44"/>
      <c r="R169" s="44"/>
      <c r="S169" s="44"/>
      <c r="T169" s="44"/>
      <c r="U169" s="44"/>
      <c r="AJ169" s="44"/>
    </row>
    <row r="170" ht="15.75" customHeight="1">
      <c r="L170" s="44"/>
      <c r="O170" s="44"/>
      <c r="R170" s="44"/>
      <c r="S170" s="44"/>
      <c r="T170" s="44"/>
      <c r="U170" s="44"/>
      <c r="AJ170" s="44"/>
    </row>
    <row r="171" ht="15.75" customHeight="1">
      <c r="L171" s="44"/>
      <c r="O171" s="44"/>
      <c r="R171" s="44"/>
      <c r="S171" s="44"/>
      <c r="T171" s="44"/>
      <c r="U171" s="44"/>
      <c r="AJ171" s="44"/>
    </row>
    <row r="172" ht="15.75" customHeight="1">
      <c r="L172" s="44"/>
      <c r="O172" s="44"/>
      <c r="R172" s="44"/>
      <c r="S172" s="44"/>
      <c r="T172" s="44"/>
      <c r="U172" s="44"/>
      <c r="AJ172" s="44"/>
    </row>
    <row r="173" ht="15.75" customHeight="1">
      <c r="L173" s="44"/>
      <c r="O173" s="44"/>
      <c r="R173" s="44"/>
      <c r="S173" s="44"/>
      <c r="T173" s="44"/>
      <c r="U173" s="44"/>
      <c r="AJ173" s="44"/>
    </row>
    <row r="174" ht="15.75" customHeight="1">
      <c r="L174" s="44"/>
      <c r="O174" s="44"/>
      <c r="R174" s="44"/>
      <c r="S174" s="44"/>
      <c r="T174" s="44"/>
      <c r="U174" s="44"/>
      <c r="AJ174" s="44"/>
    </row>
    <row r="175" ht="15.75" customHeight="1">
      <c r="L175" s="44"/>
      <c r="O175" s="44"/>
      <c r="R175" s="44"/>
      <c r="S175" s="44"/>
      <c r="T175" s="44"/>
      <c r="U175" s="44"/>
      <c r="AJ175" s="44"/>
    </row>
    <row r="176" ht="15.75" customHeight="1">
      <c r="L176" s="44"/>
      <c r="O176" s="44"/>
      <c r="R176" s="44"/>
      <c r="S176" s="44"/>
      <c r="T176" s="44"/>
      <c r="U176" s="44"/>
      <c r="AJ176" s="44"/>
    </row>
    <row r="177" ht="15.75" customHeight="1">
      <c r="L177" s="44"/>
      <c r="O177" s="44"/>
      <c r="R177" s="44"/>
      <c r="S177" s="44"/>
      <c r="T177" s="44"/>
      <c r="U177" s="44"/>
      <c r="AJ177" s="44"/>
    </row>
    <row r="178" ht="15.75" customHeight="1">
      <c r="L178" s="44"/>
      <c r="O178" s="44"/>
      <c r="R178" s="44"/>
      <c r="S178" s="44"/>
      <c r="T178" s="44"/>
      <c r="U178" s="44"/>
      <c r="AJ178" s="44"/>
    </row>
    <row r="179" ht="15.75" customHeight="1">
      <c r="L179" s="44"/>
      <c r="O179" s="44"/>
      <c r="R179" s="44"/>
      <c r="S179" s="44"/>
      <c r="T179" s="44"/>
      <c r="U179" s="44"/>
      <c r="AJ179" s="44"/>
    </row>
    <row r="180" ht="15.75" customHeight="1">
      <c r="L180" s="44"/>
      <c r="O180" s="44"/>
      <c r="R180" s="44"/>
      <c r="S180" s="44"/>
      <c r="T180" s="44"/>
      <c r="U180" s="44"/>
      <c r="AJ180" s="44"/>
    </row>
    <row r="181" ht="15.75" customHeight="1">
      <c r="L181" s="44"/>
      <c r="O181" s="44"/>
      <c r="R181" s="44"/>
      <c r="S181" s="44"/>
      <c r="T181" s="44"/>
      <c r="U181" s="44"/>
      <c r="AJ181" s="44"/>
    </row>
    <row r="182" ht="15.75" customHeight="1">
      <c r="L182" s="44"/>
      <c r="O182" s="44"/>
      <c r="R182" s="44"/>
      <c r="S182" s="44"/>
      <c r="T182" s="44"/>
      <c r="U182" s="44"/>
      <c r="AJ182" s="44"/>
    </row>
    <row r="183" ht="15.75" customHeight="1">
      <c r="L183" s="44"/>
      <c r="O183" s="44"/>
      <c r="R183" s="44"/>
      <c r="S183" s="44"/>
      <c r="T183" s="44"/>
      <c r="U183" s="44"/>
      <c r="AJ183" s="44"/>
    </row>
    <row r="184" ht="15.75" customHeight="1">
      <c r="L184" s="44"/>
      <c r="O184" s="44"/>
      <c r="R184" s="44"/>
      <c r="S184" s="44"/>
      <c r="T184" s="44"/>
      <c r="U184" s="44"/>
      <c r="AJ184" s="44"/>
    </row>
    <row r="185" ht="15.75" customHeight="1">
      <c r="L185" s="44"/>
      <c r="O185" s="44"/>
      <c r="R185" s="44"/>
      <c r="S185" s="44"/>
      <c r="T185" s="44"/>
      <c r="U185" s="44"/>
      <c r="AJ185" s="44"/>
    </row>
    <row r="186" ht="15.75" customHeight="1">
      <c r="L186" s="44"/>
      <c r="O186" s="44"/>
      <c r="R186" s="44"/>
      <c r="S186" s="44"/>
      <c r="T186" s="44"/>
      <c r="U186" s="44"/>
      <c r="AJ186" s="44"/>
    </row>
    <row r="187" ht="15.75" customHeight="1">
      <c r="L187" s="44"/>
      <c r="O187" s="44"/>
      <c r="R187" s="44"/>
      <c r="S187" s="44"/>
      <c r="T187" s="44"/>
      <c r="U187" s="44"/>
      <c r="AJ187" s="44"/>
    </row>
    <row r="188" ht="15.75" customHeight="1">
      <c r="L188" s="44"/>
      <c r="O188" s="44"/>
      <c r="R188" s="44"/>
      <c r="S188" s="44"/>
      <c r="T188" s="44"/>
      <c r="U188" s="44"/>
      <c r="AJ188" s="44"/>
    </row>
    <row r="189" ht="15.75" customHeight="1">
      <c r="L189" s="44"/>
      <c r="O189" s="44"/>
      <c r="R189" s="44"/>
      <c r="S189" s="44"/>
      <c r="T189" s="44"/>
      <c r="U189" s="44"/>
      <c r="AJ189" s="44"/>
    </row>
    <row r="190" ht="15.75" customHeight="1">
      <c r="L190" s="44"/>
      <c r="O190" s="44"/>
      <c r="R190" s="44"/>
      <c r="S190" s="44"/>
      <c r="T190" s="44"/>
      <c r="U190" s="44"/>
      <c r="AJ190" s="44"/>
    </row>
    <row r="191" ht="15.75" customHeight="1">
      <c r="L191" s="44"/>
      <c r="O191" s="44"/>
      <c r="R191" s="44"/>
      <c r="S191" s="44"/>
      <c r="T191" s="44"/>
      <c r="U191" s="44"/>
      <c r="AJ191" s="44"/>
    </row>
    <row r="192" ht="15.75" customHeight="1">
      <c r="L192" s="44"/>
      <c r="O192" s="44"/>
      <c r="R192" s="44"/>
      <c r="S192" s="44"/>
      <c r="T192" s="44"/>
      <c r="U192" s="44"/>
      <c r="AJ192" s="44"/>
    </row>
    <row r="193" ht="15.75" customHeight="1">
      <c r="L193" s="44"/>
      <c r="O193" s="44"/>
      <c r="R193" s="44"/>
      <c r="S193" s="44"/>
      <c r="T193" s="44"/>
      <c r="U193" s="44"/>
      <c r="AJ193" s="44"/>
    </row>
    <row r="194" ht="15.75" customHeight="1">
      <c r="L194" s="44"/>
      <c r="O194" s="44"/>
      <c r="R194" s="44"/>
      <c r="S194" s="44"/>
      <c r="T194" s="44"/>
      <c r="U194" s="44"/>
      <c r="AJ194" s="44"/>
    </row>
    <row r="195" ht="15.75" customHeight="1">
      <c r="L195" s="44"/>
      <c r="O195" s="44"/>
      <c r="R195" s="44"/>
      <c r="S195" s="44"/>
      <c r="T195" s="44"/>
      <c r="U195" s="44"/>
      <c r="AJ195" s="44"/>
    </row>
    <row r="196" ht="15.75" customHeight="1">
      <c r="L196" s="44"/>
      <c r="O196" s="44"/>
      <c r="R196" s="44"/>
      <c r="S196" s="44"/>
      <c r="T196" s="44"/>
      <c r="U196" s="44"/>
      <c r="AJ196" s="44"/>
    </row>
    <row r="197" ht="15.75" customHeight="1">
      <c r="L197" s="44"/>
      <c r="O197" s="44"/>
      <c r="R197" s="44"/>
      <c r="S197" s="44"/>
      <c r="T197" s="44"/>
      <c r="U197" s="44"/>
      <c r="AJ197" s="44"/>
    </row>
    <row r="198" ht="15.75" customHeight="1">
      <c r="L198" s="44"/>
      <c r="O198" s="44"/>
      <c r="R198" s="44"/>
      <c r="S198" s="44"/>
      <c r="T198" s="44"/>
      <c r="U198" s="44"/>
      <c r="AJ198" s="44"/>
    </row>
    <row r="199" ht="15.75" customHeight="1">
      <c r="L199" s="44"/>
      <c r="O199" s="44"/>
      <c r="R199" s="44"/>
      <c r="S199" s="44"/>
      <c r="T199" s="44"/>
      <c r="U199" s="44"/>
      <c r="AJ199" s="44"/>
    </row>
    <row r="200" ht="15.75" customHeight="1">
      <c r="L200" s="44"/>
      <c r="O200" s="44"/>
      <c r="R200" s="44"/>
      <c r="S200" s="44"/>
      <c r="T200" s="44"/>
      <c r="U200" s="44"/>
      <c r="AJ200" s="44"/>
    </row>
    <row r="201" ht="15.75" customHeight="1">
      <c r="L201" s="44"/>
      <c r="O201" s="44"/>
      <c r="R201" s="44"/>
      <c r="S201" s="44"/>
      <c r="T201" s="44"/>
      <c r="U201" s="44"/>
      <c r="AJ201" s="44"/>
    </row>
    <row r="202" ht="15.75" customHeight="1">
      <c r="L202" s="44"/>
      <c r="O202" s="44"/>
      <c r="R202" s="44"/>
      <c r="S202" s="44"/>
      <c r="T202" s="44"/>
      <c r="U202" s="44"/>
      <c r="AJ202" s="44"/>
    </row>
    <row r="203" ht="15.75" customHeight="1">
      <c r="L203" s="44"/>
      <c r="O203" s="44"/>
      <c r="R203" s="44"/>
      <c r="S203" s="44"/>
      <c r="T203" s="44"/>
      <c r="U203" s="44"/>
      <c r="AJ203" s="44"/>
    </row>
    <row r="204" ht="15.75" customHeight="1">
      <c r="L204" s="44"/>
      <c r="O204" s="44"/>
      <c r="R204" s="44"/>
      <c r="S204" s="44"/>
      <c r="T204" s="44"/>
      <c r="U204" s="44"/>
      <c r="AJ204" s="44"/>
    </row>
    <row r="205" ht="15.75" customHeight="1">
      <c r="L205" s="44"/>
      <c r="O205" s="44"/>
      <c r="R205" s="44"/>
      <c r="S205" s="44"/>
      <c r="T205" s="44"/>
      <c r="U205" s="44"/>
      <c r="AJ205" s="44"/>
    </row>
    <row r="206" ht="15.75" customHeight="1">
      <c r="L206" s="44"/>
      <c r="O206" s="44"/>
      <c r="R206" s="44"/>
      <c r="S206" s="44"/>
      <c r="T206" s="44"/>
      <c r="U206" s="44"/>
      <c r="AJ206" s="44"/>
    </row>
    <row r="207" ht="15.75" customHeight="1">
      <c r="L207" s="44"/>
      <c r="O207" s="44"/>
      <c r="R207" s="44"/>
      <c r="S207" s="44"/>
      <c r="T207" s="44"/>
      <c r="U207" s="44"/>
      <c r="AJ207" s="44"/>
    </row>
    <row r="208" ht="15.75" customHeight="1">
      <c r="L208" s="44"/>
      <c r="O208" s="44"/>
      <c r="R208" s="44"/>
      <c r="S208" s="44"/>
      <c r="T208" s="44"/>
      <c r="U208" s="44"/>
      <c r="AJ208" s="44"/>
    </row>
    <row r="209" ht="15.75" customHeight="1">
      <c r="L209" s="44"/>
      <c r="O209" s="44"/>
      <c r="R209" s="44"/>
      <c r="S209" s="44"/>
      <c r="T209" s="44"/>
      <c r="U209" s="44"/>
      <c r="AJ209" s="44"/>
    </row>
    <row r="210" ht="15.75" customHeight="1">
      <c r="L210" s="44"/>
      <c r="O210" s="44"/>
      <c r="R210" s="44"/>
      <c r="S210" s="44"/>
      <c r="T210" s="44"/>
      <c r="U210" s="44"/>
      <c r="AJ210" s="44"/>
    </row>
    <row r="211" ht="15.75" customHeight="1">
      <c r="L211" s="44"/>
      <c r="O211" s="44"/>
      <c r="R211" s="44"/>
      <c r="S211" s="44"/>
      <c r="T211" s="44"/>
      <c r="U211" s="44"/>
      <c r="AJ211" s="44"/>
    </row>
    <row r="212" ht="15.75" customHeight="1">
      <c r="L212" s="44"/>
      <c r="O212" s="44"/>
      <c r="R212" s="44"/>
      <c r="S212" s="44"/>
      <c r="T212" s="44"/>
      <c r="U212" s="44"/>
      <c r="AJ212" s="44"/>
    </row>
    <row r="213" ht="15.75" customHeight="1">
      <c r="L213" s="44"/>
      <c r="O213" s="44"/>
      <c r="R213" s="44"/>
      <c r="S213" s="44"/>
      <c r="T213" s="44"/>
      <c r="U213" s="44"/>
      <c r="AJ213" s="44"/>
    </row>
    <row r="214" ht="15.75" customHeight="1">
      <c r="L214" s="44"/>
      <c r="O214" s="44"/>
      <c r="R214" s="44"/>
      <c r="S214" s="44"/>
      <c r="T214" s="44"/>
      <c r="U214" s="44"/>
      <c r="AJ214" s="44"/>
    </row>
    <row r="215" ht="15.75" customHeight="1">
      <c r="L215" s="44"/>
      <c r="O215" s="44"/>
      <c r="R215" s="44"/>
      <c r="S215" s="44"/>
      <c r="T215" s="44"/>
      <c r="U215" s="44"/>
      <c r="AJ215" s="44"/>
    </row>
    <row r="216" ht="15.75" customHeight="1">
      <c r="L216" s="44"/>
      <c r="O216" s="44"/>
      <c r="R216" s="44"/>
      <c r="S216" s="44"/>
      <c r="T216" s="44"/>
      <c r="U216" s="44"/>
      <c r="AJ216" s="44"/>
    </row>
    <row r="217" ht="15.75" customHeight="1">
      <c r="L217" s="44"/>
      <c r="O217" s="44"/>
      <c r="R217" s="44"/>
      <c r="S217" s="44"/>
      <c r="T217" s="44"/>
      <c r="U217" s="44"/>
      <c r="AJ217" s="44"/>
    </row>
    <row r="218" ht="15.75" customHeight="1">
      <c r="L218" s="44"/>
      <c r="O218" s="44"/>
      <c r="R218" s="44"/>
      <c r="S218" s="44"/>
      <c r="T218" s="44"/>
      <c r="U218" s="44"/>
      <c r="AJ218" s="44"/>
    </row>
    <row r="219" ht="15.75" customHeight="1">
      <c r="L219" s="44"/>
      <c r="O219" s="44"/>
      <c r="R219" s="44"/>
      <c r="S219" s="44"/>
      <c r="T219" s="44"/>
      <c r="U219" s="44"/>
      <c r="AJ219" s="44"/>
    </row>
    <row r="220" ht="15.75" customHeight="1">
      <c r="L220" s="44"/>
      <c r="O220" s="44"/>
      <c r="R220" s="44"/>
      <c r="S220" s="44"/>
      <c r="T220" s="44"/>
      <c r="U220" s="44"/>
      <c r="AJ220" s="44"/>
    </row>
    <row r="221" ht="15.75" customHeight="1">
      <c r="L221" s="44"/>
      <c r="O221" s="44"/>
      <c r="R221" s="44"/>
      <c r="S221" s="44"/>
      <c r="T221" s="44"/>
      <c r="U221" s="44"/>
      <c r="AJ221" s="44"/>
    </row>
    <row r="222" ht="15.75" customHeight="1">
      <c r="L222" s="44"/>
      <c r="O222" s="44"/>
      <c r="R222" s="44"/>
      <c r="S222" s="44"/>
      <c r="T222" s="44"/>
      <c r="U222" s="44"/>
      <c r="AJ222" s="44"/>
    </row>
    <row r="223" ht="15.75" customHeight="1">
      <c r="L223" s="44"/>
      <c r="O223" s="44"/>
      <c r="R223" s="44"/>
      <c r="S223" s="44"/>
      <c r="T223" s="44"/>
      <c r="U223" s="44"/>
      <c r="AJ223" s="44"/>
    </row>
    <row r="224" ht="15.75" customHeight="1">
      <c r="L224" s="44"/>
      <c r="O224" s="44"/>
      <c r="R224" s="44"/>
      <c r="S224" s="44"/>
      <c r="T224" s="44"/>
      <c r="U224" s="44"/>
      <c r="AJ224" s="44"/>
    </row>
    <row r="225" ht="15.75" customHeight="1">
      <c r="L225" s="44"/>
      <c r="O225" s="44"/>
      <c r="R225" s="44"/>
      <c r="S225" s="44"/>
      <c r="T225" s="44"/>
      <c r="U225" s="44"/>
      <c r="AJ225" s="44"/>
    </row>
    <row r="226" ht="15.75" customHeight="1">
      <c r="L226" s="44"/>
      <c r="O226" s="44"/>
      <c r="R226" s="44"/>
      <c r="S226" s="44"/>
      <c r="T226" s="44"/>
      <c r="U226" s="44"/>
      <c r="AJ226" s="44"/>
    </row>
    <row r="227" ht="15.75" customHeight="1">
      <c r="L227" s="44"/>
      <c r="O227" s="44"/>
      <c r="R227" s="44"/>
      <c r="S227" s="44"/>
      <c r="T227" s="44"/>
      <c r="U227" s="44"/>
      <c r="AJ227" s="44"/>
    </row>
    <row r="228" ht="15.75" customHeight="1">
      <c r="L228" s="44"/>
      <c r="O228" s="44"/>
      <c r="R228" s="44"/>
      <c r="S228" s="44"/>
      <c r="T228" s="44"/>
      <c r="U228" s="44"/>
      <c r="AJ228" s="44"/>
    </row>
    <row r="229" ht="15.75" customHeight="1">
      <c r="L229" s="44"/>
      <c r="O229" s="44"/>
      <c r="R229" s="44"/>
      <c r="S229" s="44"/>
      <c r="T229" s="44"/>
      <c r="U229" s="44"/>
      <c r="AJ229" s="44"/>
    </row>
    <row r="230" ht="15.75" customHeight="1">
      <c r="L230" s="44"/>
      <c r="O230" s="44"/>
      <c r="R230" s="44"/>
      <c r="S230" s="44"/>
      <c r="T230" s="44"/>
      <c r="U230" s="44"/>
      <c r="AJ230" s="44"/>
    </row>
    <row r="231" ht="15.75" customHeight="1">
      <c r="L231" s="44"/>
      <c r="O231" s="44"/>
      <c r="R231" s="44"/>
      <c r="S231" s="44"/>
      <c r="T231" s="44"/>
      <c r="U231" s="44"/>
      <c r="AJ231" s="44"/>
    </row>
    <row r="232" ht="15.75" customHeight="1">
      <c r="L232" s="44"/>
      <c r="O232" s="44"/>
      <c r="R232" s="44"/>
      <c r="S232" s="44"/>
      <c r="T232" s="44"/>
      <c r="U232" s="44"/>
      <c r="AJ232" s="44"/>
    </row>
    <row r="233" ht="15.75" customHeight="1">
      <c r="L233" s="44"/>
      <c r="O233" s="44"/>
      <c r="R233" s="44"/>
      <c r="S233" s="44"/>
      <c r="T233" s="44"/>
      <c r="U233" s="44"/>
      <c r="AJ233" s="44"/>
    </row>
    <row r="234" ht="15.75" customHeight="1">
      <c r="L234" s="44"/>
      <c r="O234" s="44"/>
      <c r="R234" s="44"/>
      <c r="S234" s="44"/>
      <c r="T234" s="44"/>
      <c r="U234" s="44"/>
      <c r="AJ234" s="44"/>
    </row>
    <row r="235" ht="15.75" customHeight="1">
      <c r="L235" s="44"/>
      <c r="O235" s="44"/>
      <c r="R235" s="44"/>
      <c r="S235" s="44"/>
      <c r="T235" s="44"/>
      <c r="U235" s="44"/>
      <c r="AJ235" s="44"/>
    </row>
    <row r="236" ht="15.75" customHeight="1">
      <c r="L236" s="44"/>
      <c r="O236" s="44"/>
      <c r="R236" s="44"/>
      <c r="S236" s="44"/>
      <c r="T236" s="44"/>
      <c r="U236" s="44"/>
      <c r="AJ236" s="44"/>
    </row>
    <row r="237" ht="15.75" customHeight="1">
      <c r="L237" s="44"/>
      <c r="O237" s="44"/>
      <c r="R237" s="44"/>
      <c r="S237" s="44"/>
      <c r="T237" s="44"/>
      <c r="U237" s="44"/>
      <c r="AJ237" s="44"/>
    </row>
    <row r="238" ht="15.75" customHeight="1">
      <c r="L238" s="44"/>
      <c r="O238" s="44"/>
      <c r="R238" s="44"/>
      <c r="S238" s="44"/>
      <c r="T238" s="44"/>
      <c r="U238" s="44"/>
      <c r="AJ238" s="44"/>
    </row>
    <row r="239" ht="15.75" customHeight="1">
      <c r="L239" s="44"/>
      <c r="O239" s="44"/>
      <c r="R239" s="44"/>
      <c r="S239" s="44"/>
      <c r="T239" s="44"/>
      <c r="U239" s="44"/>
      <c r="AJ239" s="44"/>
    </row>
    <row r="240" ht="15.75" customHeight="1">
      <c r="L240" s="44"/>
      <c r="O240" s="44"/>
      <c r="R240" s="44"/>
      <c r="S240" s="44"/>
      <c r="T240" s="44"/>
      <c r="U240" s="44"/>
      <c r="AJ240" s="44"/>
    </row>
    <row r="241" ht="15.75" customHeight="1">
      <c r="L241" s="44"/>
      <c r="O241" s="44"/>
      <c r="R241" s="44"/>
      <c r="S241" s="44"/>
      <c r="T241" s="44"/>
      <c r="U241" s="44"/>
      <c r="AJ241" s="44"/>
    </row>
    <row r="242" ht="15.75" customHeight="1">
      <c r="L242" s="44"/>
      <c r="O242" s="44"/>
      <c r="R242" s="44"/>
      <c r="S242" s="44"/>
      <c r="T242" s="44"/>
      <c r="U242" s="44"/>
      <c r="AJ242" s="44"/>
    </row>
    <row r="243" ht="15.75" customHeight="1">
      <c r="L243" s="44"/>
      <c r="O243" s="44"/>
      <c r="R243" s="44"/>
      <c r="S243" s="44"/>
      <c r="T243" s="44"/>
      <c r="U243" s="44"/>
      <c r="AJ243" s="44"/>
    </row>
    <row r="244" ht="15.75" customHeight="1">
      <c r="L244" s="44"/>
      <c r="O244" s="44"/>
      <c r="R244" s="44"/>
      <c r="S244" s="44"/>
      <c r="T244" s="44"/>
      <c r="U244" s="44"/>
      <c r="AJ244" s="44"/>
    </row>
    <row r="245" ht="15.75" customHeight="1">
      <c r="L245" s="44"/>
      <c r="O245" s="44"/>
      <c r="R245" s="44"/>
      <c r="S245" s="44"/>
      <c r="T245" s="44"/>
      <c r="U245" s="44"/>
      <c r="AJ245" s="44"/>
    </row>
    <row r="246" ht="15.75" customHeight="1">
      <c r="L246" s="44"/>
      <c r="O246" s="44"/>
      <c r="R246" s="44"/>
      <c r="S246" s="44"/>
      <c r="T246" s="44"/>
      <c r="U246" s="44"/>
      <c r="AJ246" s="44"/>
    </row>
    <row r="247" ht="15.75" customHeight="1">
      <c r="L247" s="44"/>
      <c r="O247" s="44"/>
      <c r="R247" s="44"/>
      <c r="S247" s="44"/>
      <c r="T247" s="44"/>
      <c r="U247" s="44"/>
      <c r="AJ247" s="44"/>
    </row>
    <row r="248" ht="15.75" customHeight="1">
      <c r="L248" s="44"/>
      <c r="O248" s="44"/>
      <c r="R248" s="44"/>
      <c r="S248" s="44"/>
      <c r="T248" s="44"/>
      <c r="U248" s="44"/>
      <c r="AJ248" s="44"/>
    </row>
    <row r="249" ht="15.75" customHeight="1">
      <c r="L249" s="44"/>
      <c r="O249" s="44"/>
      <c r="R249" s="44"/>
      <c r="S249" s="44"/>
      <c r="T249" s="44"/>
      <c r="U249" s="44"/>
      <c r="AJ249" s="44"/>
    </row>
    <row r="250" ht="15.75" customHeight="1">
      <c r="L250" s="44"/>
      <c r="O250" s="44"/>
      <c r="R250" s="44"/>
      <c r="S250" s="44"/>
      <c r="T250" s="44"/>
      <c r="U250" s="44"/>
      <c r="AJ250" s="44"/>
    </row>
    <row r="251" ht="15.75" customHeight="1">
      <c r="L251" s="44"/>
      <c r="O251" s="44"/>
      <c r="R251" s="44"/>
      <c r="S251" s="44"/>
      <c r="T251" s="44"/>
      <c r="U251" s="44"/>
      <c r="AJ251" s="44"/>
    </row>
    <row r="252" ht="15.75" customHeight="1">
      <c r="L252" s="44"/>
      <c r="O252" s="44"/>
      <c r="R252" s="44"/>
      <c r="S252" s="44"/>
      <c r="T252" s="44"/>
      <c r="U252" s="44"/>
      <c r="AJ252" s="44"/>
    </row>
    <row r="253" ht="15.75" customHeight="1">
      <c r="L253" s="44"/>
      <c r="O253" s="44"/>
      <c r="R253" s="44"/>
      <c r="S253" s="44"/>
      <c r="T253" s="44"/>
      <c r="U253" s="44"/>
      <c r="AJ253" s="44"/>
    </row>
    <row r="254" ht="15.75" customHeight="1">
      <c r="L254" s="44"/>
      <c r="O254" s="44"/>
      <c r="R254" s="44"/>
      <c r="S254" s="44"/>
      <c r="T254" s="44"/>
      <c r="U254" s="44"/>
      <c r="AJ254" s="44"/>
    </row>
    <row r="255" ht="15.75" customHeight="1">
      <c r="L255" s="44"/>
      <c r="O255" s="44"/>
      <c r="R255" s="44"/>
      <c r="S255" s="44"/>
      <c r="T255" s="44"/>
      <c r="U255" s="44"/>
      <c r="AJ255" s="44"/>
    </row>
    <row r="256" ht="15.75" customHeight="1">
      <c r="L256" s="44"/>
      <c r="O256" s="44"/>
      <c r="R256" s="44"/>
      <c r="S256" s="44"/>
      <c r="T256" s="44"/>
      <c r="U256" s="44"/>
      <c r="AJ256" s="44"/>
    </row>
    <row r="257" ht="15.75" customHeight="1">
      <c r="L257" s="44"/>
      <c r="O257" s="44"/>
      <c r="R257" s="44"/>
      <c r="S257" s="44"/>
      <c r="T257" s="44"/>
      <c r="U257" s="44"/>
      <c r="AJ257" s="44"/>
    </row>
    <row r="258" ht="15.75" customHeight="1">
      <c r="L258" s="44"/>
      <c r="O258" s="44"/>
      <c r="R258" s="44"/>
      <c r="S258" s="44"/>
      <c r="T258" s="44"/>
      <c r="U258" s="44"/>
      <c r="AJ258" s="44"/>
    </row>
    <row r="259" ht="15.75" customHeight="1">
      <c r="L259" s="44"/>
      <c r="O259" s="44"/>
      <c r="R259" s="44"/>
      <c r="S259" s="44"/>
      <c r="T259" s="44"/>
      <c r="U259" s="44"/>
      <c r="AJ259" s="44"/>
    </row>
    <row r="260" ht="15.75" customHeight="1">
      <c r="L260" s="44"/>
      <c r="O260" s="44"/>
      <c r="R260" s="44"/>
      <c r="S260" s="44"/>
      <c r="T260" s="44"/>
      <c r="U260" s="44"/>
      <c r="AJ260" s="44"/>
    </row>
    <row r="261" ht="15.75" customHeight="1">
      <c r="L261" s="44"/>
      <c r="O261" s="44"/>
      <c r="R261" s="44"/>
      <c r="S261" s="44"/>
      <c r="T261" s="44"/>
      <c r="U261" s="44"/>
      <c r="AJ261" s="44"/>
    </row>
    <row r="262" ht="15.75" customHeight="1">
      <c r="L262" s="44"/>
      <c r="O262" s="44"/>
      <c r="R262" s="44"/>
      <c r="S262" s="44"/>
      <c r="T262" s="44"/>
      <c r="U262" s="44"/>
      <c r="AJ262" s="44"/>
    </row>
    <row r="263" ht="15.75" customHeight="1">
      <c r="L263" s="44"/>
      <c r="O263" s="44"/>
      <c r="R263" s="44"/>
      <c r="S263" s="44"/>
      <c r="T263" s="44"/>
      <c r="U263" s="44"/>
      <c r="AJ263" s="44"/>
    </row>
    <row r="264" ht="15.75" customHeight="1">
      <c r="L264" s="44"/>
      <c r="O264" s="44"/>
      <c r="R264" s="44"/>
      <c r="S264" s="44"/>
      <c r="T264" s="44"/>
      <c r="U264" s="44"/>
      <c r="AJ264" s="44"/>
    </row>
    <row r="265" ht="15.75" customHeight="1">
      <c r="L265" s="44"/>
      <c r="O265" s="44"/>
      <c r="R265" s="44"/>
      <c r="S265" s="44"/>
      <c r="T265" s="44"/>
      <c r="U265" s="44"/>
      <c r="AJ265" s="44"/>
    </row>
    <row r="266" ht="15.75" customHeight="1">
      <c r="L266" s="44"/>
      <c r="O266" s="44"/>
      <c r="R266" s="44"/>
      <c r="S266" s="44"/>
      <c r="T266" s="44"/>
      <c r="U266" s="44"/>
      <c r="AJ266" s="44"/>
    </row>
    <row r="267" ht="15.75" customHeight="1">
      <c r="L267" s="44"/>
      <c r="O267" s="44"/>
      <c r="R267" s="44"/>
      <c r="S267" s="44"/>
      <c r="T267" s="44"/>
      <c r="U267" s="44"/>
      <c r="AJ267" s="44"/>
    </row>
    <row r="268" ht="15.75" customHeight="1">
      <c r="L268" s="44"/>
      <c r="O268" s="44"/>
      <c r="R268" s="44"/>
      <c r="S268" s="44"/>
      <c r="T268" s="44"/>
      <c r="U268" s="44"/>
      <c r="AJ268" s="44"/>
    </row>
    <row r="269" ht="15.75" customHeight="1">
      <c r="L269" s="44"/>
      <c r="O269" s="44"/>
      <c r="R269" s="44"/>
      <c r="S269" s="44"/>
      <c r="T269" s="44"/>
      <c r="U269" s="44"/>
      <c r="AJ269" s="44"/>
    </row>
    <row r="270" ht="15.75" customHeight="1">
      <c r="L270" s="44"/>
      <c r="O270" s="44"/>
      <c r="R270" s="44"/>
      <c r="S270" s="44"/>
      <c r="T270" s="44"/>
      <c r="U270" s="44"/>
      <c r="AJ270" s="44"/>
    </row>
    <row r="271" ht="15.75" customHeight="1">
      <c r="L271" s="44"/>
      <c r="O271" s="44"/>
      <c r="R271" s="44"/>
      <c r="S271" s="44"/>
      <c r="T271" s="44"/>
      <c r="U271" s="44"/>
      <c r="AJ271" s="44"/>
    </row>
    <row r="272" ht="15.75" customHeight="1">
      <c r="L272" s="44"/>
      <c r="O272" s="44"/>
      <c r="R272" s="44"/>
      <c r="S272" s="44"/>
      <c r="T272" s="44"/>
      <c r="U272" s="44"/>
      <c r="AJ272" s="44"/>
    </row>
    <row r="273" ht="15.75" customHeight="1">
      <c r="L273" s="44"/>
      <c r="O273" s="44"/>
      <c r="R273" s="44"/>
      <c r="S273" s="44"/>
      <c r="T273" s="44"/>
      <c r="U273" s="44"/>
      <c r="AJ273" s="44"/>
    </row>
    <row r="274" ht="15.75" customHeight="1">
      <c r="L274" s="44"/>
      <c r="O274" s="44"/>
      <c r="R274" s="44"/>
      <c r="S274" s="44"/>
      <c r="T274" s="44"/>
      <c r="U274" s="44"/>
      <c r="AJ274" s="44"/>
    </row>
    <row r="275" ht="15.75" customHeight="1">
      <c r="L275" s="44"/>
      <c r="O275" s="44"/>
      <c r="R275" s="44"/>
      <c r="S275" s="44"/>
      <c r="T275" s="44"/>
      <c r="U275" s="44"/>
      <c r="AJ275" s="44"/>
    </row>
    <row r="276" ht="15.75" customHeight="1">
      <c r="L276" s="44"/>
      <c r="O276" s="44"/>
      <c r="R276" s="44"/>
      <c r="S276" s="44"/>
      <c r="T276" s="44"/>
      <c r="U276" s="44"/>
      <c r="AJ276" s="44"/>
    </row>
    <row r="277" ht="15.75" customHeight="1">
      <c r="L277" s="44"/>
      <c r="O277" s="44"/>
      <c r="R277" s="44"/>
      <c r="S277" s="44"/>
      <c r="T277" s="44"/>
      <c r="U277" s="44"/>
      <c r="AJ277" s="44"/>
    </row>
    <row r="278" ht="15.75" customHeight="1">
      <c r="L278" s="44"/>
      <c r="O278" s="44"/>
      <c r="R278" s="44"/>
      <c r="S278" s="44"/>
      <c r="T278" s="44"/>
      <c r="U278" s="44"/>
      <c r="AJ278" s="44"/>
    </row>
    <row r="279" ht="15.75" customHeight="1">
      <c r="L279" s="44"/>
      <c r="O279" s="44"/>
      <c r="R279" s="44"/>
      <c r="S279" s="44"/>
      <c r="T279" s="44"/>
      <c r="U279" s="44"/>
      <c r="AJ279" s="44"/>
    </row>
    <row r="280" ht="15.75" customHeight="1">
      <c r="L280" s="44"/>
      <c r="O280" s="44"/>
      <c r="R280" s="44"/>
      <c r="S280" s="44"/>
      <c r="T280" s="44"/>
      <c r="U280" s="44"/>
      <c r="AJ280" s="44"/>
    </row>
    <row r="281" ht="15.75" customHeight="1">
      <c r="L281" s="44"/>
      <c r="O281" s="44"/>
      <c r="R281" s="44"/>
      <c r="S281" s="44"/>
      <c r="T281" s="44"/>
      <c r="U281" s="44"/>
      <c r="AJ281" s="44"/>
    </row>
    <row r="282" ht="15.75" customHeight="1">
      <c r="L282" s="44"/>
      <c r="O282" s="44"/>
      <c r="R282" s="44"/>
      <c r="S282" s="44"/>
      <c r="T282" s="44"/>
      <c r="U282" s="44"/>
      <c r="AJ282" s="44"/>
    </row>
    <row r="283" ht="15.75" customHeight="1">
      <c r="L283" s="44"/>
      <c r="O283" s="44"/>
      <c r="R283" s="44"/>
      <c r="S283" s="44"/>
      <c r="T283" s="44"/>
      <c r="U283" s="44"/>
      <c r="AJ283" s="44"/>
    </row>
    <row r="284" ht="15.75" customHeight="1">
      <c r="L284" s="44"/>
      <c r="O284" s="44"/>
      <c r="R284" s="44"/>
      <c r="S284" s="44"/>
      <c r="T284" s="44"/>
      <c r="U284" s="44"/>
      <c r="AJ284" s="44"/>
    </row>
    <row r="285" ht="15.75" customHeight="1">
      <c r="L285" s="44"/>
      <c r="O285" s="44"/>
      <c r="R285" s="44"/>
      <c r="S285" s="44"/>
      <c r="T285" s="44"/>
      <c r="U285" s="44"/>
      <c r="AJ285" s="44"/>
    </row>
    <row r="286" ht="15.75" customHeight="1">
      <c r="L286" s="44"/>
      <c r="O286" s="44"/>
      <c r="R286" s="44"/>
      <c r="S286" s="44"/>
      <c r="T286" s="44"/>
      <c r="U286" s="44"/>
      <c r="AJ286" s="44"/>
    </row>
    <row r="287" ht="15.75" customHeight="1">
      <c r="L287" s="44"/>
      <c r="O287" s="44"/>
      <c r="R287" s="44"/>
      <c r="S287" s="44"/>
      <c r="T287" s="44"/>
      <c r="U287" s="44"/>
      <c r="AJ287" s="44"/>
    </row>
    <row r="288" ht="15.75" customHeight="1">
      <c r="L288" s="44"/>
      <c r="O288" s="44"/>
      <c r="R288" s="44"/>
      <c r="S288" s="44"/>
      <c r="T288" s="44"/>
      <c r="U288" s="44"/>
      <c r="AJ288" s="44"/>
    </row>
    <row r="289" ht="15.75" customHeight="1">
      <c r="L289" s="44"/>
      <c r="O289" s="44"/>
      <c r="R289" s="44"/>
      <c r="S289" s="44"/>
      <c r="T289" s="44"/>
      <c r="U289" s="44"/>
      <c r="AJ289" s="44"/>
    </row>
    <row r="290" ht="15.75" customHeight="1">
      <c r="L290" s="44"/>
      <c r="O290" s="44"/>
      <c r="R290" s="44"/>
      <c r="S290" s="44"/>
      <c r="T290" s="44"/>
      <c r="U290" s="44"/>
      <c r="AJ290" s="44"/>
    </row>
    <row r="291" ht="15.75" customHeight="1">
      <c r="L291" s="44"/>
      <c r="O291" s="44"/>
      <c r="R291" s="44"/>
      <c r="S291" s="44"/>
      <c r="T291" s="44"/>
      <c r="U291" s="44"/>
      <c r="AJ291" s="44"/>
    </row>
    <row r="292" ht="15.75" customHeight="1">
      <c r="L292" s="44"/>
      <c r="O292" s="44"/>
      <c r="R292" s="44"/>
      <c r="S292" s="44"/>
      <c r="T292" s="44"/>
      <c r="U292" s="44"/>
      <c r="AJ292" s="44"/>
    </row>
    <row r="293" ht="15.75" customHeight="1">
      <c r="L293" s="44"/>
      <c r="O293" s="44"/>
      <c r="R293" s="44"/>
      <c r="S293" s="44"/>
      <c r="T293" s="44"/>
      <c r="U293" s="44"/>
      <c r="AJ293" s="44"/>
    </row>
    <row r="294" ht="15.75" customHeight="1">
      <c r="L294" s="44"/>
      <c r="O294" s="44"/>
      <c r="R294" s="44"/>
      <c r="S294" s="44"/>
      <c r="T294" s="44"/>
      <c r="U294" s="44"/>
      <c r="AJ294" s="44"/>
    </row>
    <row r="295" ht="15.75" customHeight="1">
      <c r="L295" s="44"/>
      <c r="O295" s="44"/>
      <c r="R295" s="44"/>
      <c r="S295" s="44"/>
      <c r="T295" s="44"/>
      <c r="U295" s="44"/>
      <c r="AJ295" s="44"/>
    </row>
    <row r="296" ht="15.75" customHeight="1">
      <c r="L296" s="44"/>
      <c r="O296" s="44"/>
      <c r="R296" s="44"/>
      <c r="S296" s="44"/>
      <c r="T296" s="44"/>
      <c r="U296" s="44"/>
      <c r="AJ296" s="44"/>
    </row>
    <row r="297" ht="15.75" customHeight="1">
      <c r="L297" s="44"/>
      <c r="O297" s="44"/>
      <c r="R297" s="44"/>
      <c r="S297" s="44"/>
      <c r="T297" s="44"/>
      <c r="U297" s="44"/>
      <c r="AJ297" s="44"/>
    </row>
    <row r="298" ht="15.75" customHeight="1">
      <c r="L298" s="44"/>
      <c r="O298" s="44"/>
      <c r="R298" s="44"/>
      <c r="S298" s="44"/>
      <c r="T298" s="44"/>
      <c r="U298" s="44"/>
      <c r="AJ298" s="44"/>
    </row>
    <row r="299" ht="15.75" customHeight="1">
      <c r="L299" s="44"/>
      <c r="O299" s="44"/>
      <c r="R299" s="44"/>
      <c r="S299" s="44"/>
      <c r="T299" s="44"/>
      <c r="U299" s="44"/>
      <c r="AJ299" s="44"/>
    </row>
    <row r="300" ht="15.75" customHeight="1">
      <c r="L300" s="44"/>
      <c r="O300" s="44"/>
      <c r="R300" s="44"/>
      <c r="S300" s="44"/>
      <c r="T300" s="44"/>
      <c r="U300" s="44"/>
      <c r="AJ300" s="44"/>
    </row>
    <row r="301" ht="15.75" customHeight="1">
      <c r="L301" s="44"/>
      <c r="O301" s="44"/>
      <c r="R301" s="44"/>
      <c r="S301" s="44"/>
      <c r="T301" s="44"/>
      <c r="U301" s="44"/>
      <c r="AJ301" s="44"/>
    </row>
    <row r="302" ht="15.75" customHeight="1">
      <c r="L302" s="44"/>
      <c r="O302" s="44"/>
      <c r="R302" s="44"/>
      <c r="S302" s="44"/>
      <c r="T302" s="44"/>
      <c r="U302" s="44"/>
      <c r="AJ302" s="44"/>
    </row>
    <row r="303" ht="15.75" customHeight="1">
      <c r="L303" s="44"/>
      <c r="O303" s="44"/>
      <c r="R303" s="44"/>
      <c r="S303" s="44"/>
      <c r="T303" s="44"/>
      <c r="U303" s="44"/>
      <c r="AJ303" s="44"/>
    </row>
    <row r="304" ht="15.75" customHeight="1">
      <c r="L304" s="44"/>
      <c r="O304" s="44"/>
      <c r="R304" s="44"/>
      <c r="S304" s="44"/>
      <c r="T304" s="44"/>
      <c r="U304" s="44"/>
      <c r="AJ304" s="44"/>
    </row>
    <row r="305" ht="15.75" customHeight="1">
      <c r="L305" s="44"/>
      <c r="O305" s="44"/>
      <c r="R305" s="44"/>
      <c r="S305" s="44"/>
      <c r="T305" s="44"/>
      <c r="U305" s="44"/>
      <c r="AJ305" s="44"/>
    </row>
    <row r="306" ht="15.75" customHeight="1">
      <c r="L306" s="44"/>
      <c r="O306" s="44"/>
      <c r="R306" s="44"/>
      <c r="S306" s="44"/>
      <c r="T306" s="44"/>
      <c r="U306" s="44"/>
      <c r="AJ306" s="44"/>
    </row>
    <row r="307" ht="15.75" customHeight="1">
      <c r="L307" s="44"/>
      <c r="O307" s="44"/>
      <c r="R307" s="44"/>
      <c r="S307" s="44"/>
      <c r="T307" s="44"/>
      <c r="U307" s="44"/>
      <c r="AJ307" s="44"/>
    </row>
    <row r="308" ht="15.75" customHeight="1">
      <c r="L308" s="44"/>
      <c r="O308" s="44"/>
      <c r="R308" s="44"/>
      <c r="S308" s="44"/>
      <c r="T308" s="44"/>
      <c r="U308" s="44"/>
      <c r="AJ308" s="44"/>
    </row>
    <row r="309" ht="15.75" customHeight="1">
      <c r="L309" s="44"/>
      <c r="O309" s="44"/>
      <c r="R309" s="44"/>
      <c r="S309" s="44"/>
      <c r="T309" s="44"/>
      <c r="U309" s="44"/>
      <c r="AJ309" s="44"/>
    </row>
    <row r="310" ht="15.75" customHeight="1">
      <c r="L310" s="44"/>
      <c r="O310" s="44"/>
      <c r="R310" s="44"/>
      <c r="S310" s="44"/>
      <c r="T310" s="44"/>
      <c r="U310" s="44"/>
      <c r="AJ310" s="44"/>
    </row>
    <row r="311" ht="15.75" customHeight="1">
      <c r="L311" s="44"/>
      <c r="O311" s="44"/>
      <c r="R311" s="44"/>
      <c r="S311" s="44"/>
      <c r="T311" s="44"/>
      <c r="U311" s="44"/>
      <c r="AJ311" s="44"/>
    </row>
    <row r="312" ht="15.75" customHeight="1">
      <c r="L312" s="44"/>
      <c r="O312" s="44"/>
      <c r="R312" s="44"/>
      <c r="S312" s="44"/>
      <c r="T312" s="44"/>
      <c r="U312" s="44"/>
      <c r="AJ312" s="44"/>
    </row>
    <row r="313" ht="15.75" customHeight="1">
      <c r="L313" s="44"/>
      <c r="O313" s="44"/>
      <c r="R313" s="44"/>
      <c r="S313" s="44"/>
      <c r="T313" s="44"/>
      <c r="U313" s="44"/>
      <c r="AJ313" s="44"/>
    </row>
    <row r="314" ht="15.75" customHeight="1">
      <c r="L314" s="44"/>
      <c r="O314" s="44"/>
      <c r="R314" s="44"/>
      <c r="S314" s="44"/>
      <c r="T314" s="44"/>
      <c r="U314" s="44"/>
      <c r="AJ314" s="44"/>
    </row>
    <row r="315" ht="15.75" customHeight="1">
      <c r="L315" s="44"/>
      <c r="O315" s="44"/>
      <c r="R315" s="44"/>
      <c r="S315" s="44"/>
      <c r="T315" s="44"/>
      <c r="U315" s="44"/>
      <c r="AJ315" s="44"/>
    </row>
    <row r="316" ht="15.75" customHeight="1">
      <c r="L316" s="44"/>
      <c r="O316" s="44"/>
      <c r="R316" s="44"/>
      <c r="S316" s="44"/>
      <c r="T316" s="44"/>
      <c r="U316" s="44"/>
      <c r="AJ316" s="44"/>
    </row>
    <row r="317" ht="15.75" customHeight="1">
      <c r="L317" s="44"/>
      <c r="O317" s="44"/>
      <c r="R317" s="44"/>
      <c r="S317" s="44"/>
      <c r="T317" s="44"/>
      <c r="U317" s="44"/>
      <c r="AJ317" s="44"/>
    </row>
    <row r="318" ht="15.75" customHeight="1">
      <c r="L318" s="44"/>
      <c r="O318" s="44"/>
      <c r="R318" s="44"/>
      <c r="S318" s="44"/>
      <c r="T318" s="44"/>
      <c r="U318" s="44"/>
      <c r="AJ318" s="44"/>
    </row>
    <row r="319" ht="15.75" customHeight="1">
      <c r="L319" s="44"/>
      <c r="O319" s="44"/>
      <c r="R319" s="44"/>
      <c r="S319" s="44"/>
      <c r="T319" s="44"/>
      <c r="U319" s="44"/>
      <c r="AJ319" s="44"/>
    </row>
    <row r="320" ht="15.75" customHeight="1">
      <c r="L320" s="44"/>
      <c r="O320" s="44"/>
      <c r="R320" s="44"/>
      <c r="S320" s="44"/>
      <c r="T320" s="44"/>
      <c r="U320" s="44"/>
      <c r="AJ320" s="44"/>
    </row>
    <row r="321" ht="15.75" customHeight="1">
      <c r="L321" s="44"/>
      <c r="O321" s="44"/>
      <c r="R321" s="44"/>
      <c r="S321" s="44"/>
      <c r="T321" s="44"/>
      <c r="U321" s="44"/>
      <c r="AJ321" s="44"/>
    </row>
    <row r="322" ht="15.75" customHeight="1">
      <c r="L322" s="44"/>
      <c r="O322" s="44"/>
      <c r="R322" s="44"/>
      <c r="S322" s="44"/>
      <c r="T322" s="44"/>
      <c r="U322" s="44"/>
      <c r="AJ322" s="44"/>
    </row>
    <row r="323" ht="15.75" customHeight="1">
      <c r="L323" s="44"/>
      <c r="O323" s="44"/>
      <c r="R323" s="44"/>
      <c r="S323" s="44"/>
      <c r="T323" s="44"/>
      <c r="U323" s="44"/>
      <c r="AJ323" s="44"/>
    </row>
    <row r="324" ht="15.75" customHeight="1">
      <c r="L324" s="44"/>
      <c r="O324" s="44"/>
      <c r="R324" s="44"/>
      <c r="S324" s="44"/>
      <c r="T324" s="44"/>
      <c r="U324" s="44"/>
      <c r="AJ324" s="44"/>
    </row>
    <row r="325" ht="15.75" customHeight="1">
      <c r="L325" s="44"/>
      <c r="O325" s="44"/>
      <c r="R325" s="44"/>
      <c r="S325" s="44"/>
      <c r="T325" s="44"/>
      <c r="U325" s="44"/>
      <c r="AJ325" s="44"/>
    </row>
    <row r="326" ht="15.75" customHeight="1">
      <c r="L326" s="44"/>
      <c r="O326" s="44"/>
      <c r="R326" s="44"/>
      <c r="S326" s="44"/>
      <c r="T326" s="44"/>
      <c r="U326" s="44"/>
      <c r="AJ326" s="44"/>
    </row>
    <row r="327" ht="15.75" customHeight="1">
      <c r="L327" s="44"/>
      <c r="O327" s="44"/>
      <c r="R327" s="44"/>
      <c r="S327" s="44"/>
      <c r="T327" s="44"/>
      <c r="U327" s="44"/>
      <c r="AJ327" s="44"/>
    </row>
    <row r="328" ht="15.75" customHeight="1">
      <c r="L328" s="44"/>
      <c r="O328" s="44"/>
      <c r="R328" s="44"/>
      <c r="S328" s="44"/>
      <c r="T328" s="44"/>
      <c r="U328" s="44"/>
      <c r="AJ328" s="44"/>
    </row>
    <row r="329" ht="15.75" customHeight="1">
      <c r="L329" s="44"/>
      <c r="O329" s="44"/>
      <c r="R329" s="44"/>
      <c r="S329" s="44"/>
      <c r="T329" s="44"/>
      <c r="U329" s="44"/>
      <c r="AJ329" s="44"/>
    </row>
    <row r="330" ht="15.75" customHeight="1">
      <c r="L330" s="44"/>
      <c r="O330" s="44"/>
      <c r="R330" s="44"/>
      <c r="S330" s="44"/>
      <c r="T330" s="44"/>
      <c r="U330" s="44"/>
      <c r="AJ330" s="44"/>
    </row>
    <row r="331" ht="15.75" customHeight="1">
      <c r="L331" s="44"/>
      <c r="O331" s="44"/>
      <c r="R331" s="44"/>
      <c r="S331" s="44"/>
      <c r="T331" s="44"/>
      <c r="U331" s="44"/>
      <c r="AJ331" s="44"/>
    </row>
    <row r="332" ht="15.75" customHeight="1">
      <c r="L332" s="44"/>
      <c r="O332" s="44"/>
      <c r="R332" s="44"/>
      <c r="S332" s="44"/>
      <c r="T332" s="44"/>
      <c r="U332" s="44"/>
      <c r="AJ332" s="44"/>
    </row>
    <row r="333" ht="15.75" customHeight="1">
      <c r="L333" s="44"/>
      <c r="O333" s="44"/>
      <c r="R333" s="44"/>
      <c r="S333" s="44"/>
      <c r="T333" s="44"/>
      <c r="U333" s="44"/>
      <c r="AJ333" s="44"/>
    </row>
    <row r="334" ht="15.75" customHeight="1">
      <c r="L334" s="44"/>
      <c r="O334" s="44"/>
      <c r="R334" s="44"/>
      <c r="S334" s="44"/>
      <c r="T334" s="44"/>
      <c r="U334" s="44"/>
      <c r="AJ334" s="44"/>
    </row>
    <row r="335" ht="15.75" customHeight="1">
      <c r="L335" s="44"/>
      <c r="O335" s="44"/>
      <c r="R335" s="44"/>
      <c r="S335" s="44"/>
      <c r="T335" s="44"/>
      <c r="U335" s="44"/>
      <c r="AJ335" s="44"/>
    </row>
    <row r="336" ht="15.75" customHeight="1">
      <c r="L336" s="44"/>
      <c r="O336" s="44"/>
      <c r="R336" s="44"/>
      <c r="S336" s="44"/>
      <c r="T336" s="44"/>
      <c r="U336" s="44"/>
      <c r="AJ336" s="44"/>
    </row>
    <row r="337" ht="15.75" customHeight="1">
      <c r="L337" s="44"/>
      <c r="O337" s="44"/>
      <c r="R337" s="44"/>
      <c r="S337" s="44"/>
      <c r="T337" s="44"/>
      <c r="U337" s="44"/>
      <c r="AJ337" s="44"/>
    </row>
    <row r="338" ht="15.75" customHeight="1">
      <c r="L338" s="44"/>
      <c r="O338" s="44"/>
      <c r="R338" s="44"/>
      <c r="S338" s="44"/>
      <c r="T338" s="44"/>
      <c r="U338" s="44"/>
      <c r="AJ338" s="44"/>
    </row>
    <row r="339" ht="15.75" customHeight="1">
      <c r="L339" s="44"/>
      <c r="O339" s="44"/>
      <c r="R339" s="44"/>
      <c r="S339" s="44"/>
      <c r="T339" s="44"/>
      <c r="U339" s="44"/>
      <c r="AJ339" s="44"/>
    </row>
    <row r="340" ht="15.75" customHeight="1">
      <c r="L340" s="44"/>
      <c r="O340" s="44"/>
      <c r="R340" s="44"/>
      <c r="S340" s="44"/>
      <c r="T340" s="44"/>
      <c r="U340" s="44"/>
      <c r="AJ340" s="44"/>
    </row>
    <row r="341" ht="15.75" customHeight="1">
      <c r="L341" s="44"/>
      <c r="O341" s="44"/>
      <c r="R341" s="44"/>
      <c r="S341" s="44"/>
      <c r="T341" s="44"/>
      <c r="U341" s="44"/>
      <c r="AJ341" s="44"/>
    </row>
    <row r="342" ht="15.75" customHeight="1">
      <c r="L342" s="44"/>
      <c r="O342" s="44"/>
      <c r="R342" s="44"/>
      <c r="S342" s="44"/>
      <c r="T342" s="44"/>
      <c r="U342" s="44"/>
      <c r="AJ342" s="44"/>
    </row>
    <row r="343" ht="15.75" customHeight="1">
      <c r="L343" s="44"/>
      <c r="O343" s="44"/>
      <c r="R343" s="44"/>
      <c r="S343" s="44"/>
      <c r="T343" s="44"/>
      <c r="U343" s="44"/>
      <c r="AJ343" s="44"/>
    </row>
    <row r="344" ht="15.75" customHeight="1">
      <c r="L344" s="44"/>
      <c r="O344" s="44"/>
      <c r="R344" s="44"/>
      <c r="S344" s="44"/>
      <c r="T344" s="44"/>
      <c r="U344" s="44"/>
      <c r="AJ344" s="44"/>
    </row>
    <row r="345" ht="15.75" customHeight="1">
      <c r="L345" s="44"/>
      <c r="O345" s="44"/>
      <c r="R345" s="44"/>
      <c r="S345" s="44"/>
      <c r="T345" s="44"/>
      <c r="U345" s="44"/>
      <c r="AJ345" s="44"/>
    </row>
    <row r="346" ht="15.75" customHeight="1">
      <c r="L346" s="44"/>
      <c r="O346" s="44"/>
      <c r="R346" s="44"/>
      <c r="S346" s="44"/>
      <c r="T346" s="44"/>
      <c r="U346" s="44"/>
      <c r="AJ346" s="44"/>
    </row>
    <row r="347" ht="15.75" customHeight="1">
      <c r="L347" s="44"/>
      <c r="O347" s="44"/>
      <c r="R347" s="44"/>
      <c r="S347" s="44"/>
      <c r="T347" s="44"/>
      <c r="U347" s="44"/>
      <c r="AJ347" s="44"/>
    </row>
    <row r="348" ht="15.75" customHeight="1">
      <c r="L348" s="44"/>
      <c r="O348" s="44"/>
      <c r="R348" s="44"/>
      <c r="S348" s="44"/>
      <c r="T348" s="44"/>
      <c r="U348" s="44"/>
      <c r="AJ348" s="44"/>
    </row>
    <row r="349" ht="15.75" customHeight="1">
      <c r="L349" s="44"/>
      <c r="O349" s="44"/>
      <c r="R349" s="44"/>
      <c r="S349" s="44"/>
      <c r="T349" s="44"/>
      <c r="U349" s="44"/>
      <c r="AJ349" s="44"/>
    </row>
    <row r="350" ht="15.75" customHeight="1">
      <c r="L350" s="44"/>
      <c r="O350" s="44"/>
      <c r="R350" s="44"/>
      <c r="S350" s="44"/>
      <c r="T350" s="44"/>
      <c r="U350" s="44"/>
      <c r="AJ350" s="44"/>
    </row>
    <row r="351" ht="15.75" customHeight="1">
      <c r="L351" s="44"/>
      <c r="O351" s="44"/>
      <c r="R351" s="44"/>
      <c r="S351" s="44"/>
      <c r="T351" s="44"/>
      <c r="U351" s="44"/>
      <c r="AJ351" s="44"/>
    </row>
    <row r="352" ht="15.75" customHeight="1">
      <c r="L352" s="44"/>
      <c r="O352" s="44"/>
      <c r="R352" s="44"/>
      <c r="S352" s="44"/>
      <c r="T352" s="44"/>
      <c r="U352" s="44"/>
      <c r="AJ352" s="44"/>
    </row>
    <row r="353" ht="15.75" customHeight="1">
      <c r="L353" s="44"/>
      <c r="O353" s="44"/>
      <c r="R353" s="44"/>
      <c r="S353" s="44"/>
      <c r="T353" s="44"/>
      <c r="U353" s="44"/>
      <c r="AJ353" s="44"/>
    </row>
    <row r="354" ht="15.75" customHeight="1">
      <c r="L354" s="44"/>
      <c r="O354" s="44"/>
      <c r="R354" s="44"/>
      <c r="S354" s="44"/>
      <c r="T354" s="44"/>
      <c r="U354" s="44"/>
      <c r="AJ354" s="44"/>
    </row>
    <row r="355" ht="15.75" customHeight="1">
      <c r="L355" s="44"/>
      <c r="O355" s="44"/>
      <c r="R355" s="44"/>
      <c r="S355" s="44"/>
      <c r="T355" s="44"/>
      <c r="U355" s="44"/>
      <c r="AJ355" s="44"/>
    </row>
    <row r="356" ht="15.75" customHeight="1">
      <c r="L356" s="44"/>
      <c r="O356" s="44"/>
      <c r="R356" s="44"/>
      <c r="S356" s="44"/>
      <c r="T356" s="44"/>
      <c r="U356" s="44"/>
      <c r="AJ356" s="44"/>
    </row>
    <row r="357" ht="15.75" customHeight="1">
      <c r="L357" s="44"/>
      <c r="O357" s="44"/>
      <c r="R357" s="44"/>
      <c r="S357" s="44"/>
      <c r="T357" s="44"/>
      <c r="U357" s="44"/>
      <c r="AJ357" s="44"/>
    </row>
    <row r="358" ht="15.75" customHeight="1">
      <c r="L358" s="44"/>
      <c r="O358" s="44"/>
      <c r="R358" s="44"/>
      <c r="S358" s="44"/>
      <c r="T358" s="44"/>
      <c r="U358" s="44"/>
      <c r="AJ358" s="44"/>
    </row>
    <row r="359" ht="15.75" customHeight="1">
      <c r="L359" s="44"/>
      <c r="O359" s="44"/>
      <c r="R359" s="44"/>
      <c r="S359" s="44"/>
      <c r="T359" s="44"/>
      <c r="U359" s="44"/>
      <c r="AJ359" s="44"/>
    </row>
    <row r="360" ht="15.75" customHeight="1">
      <c r="L360" s="44"/>
      <c r="O360" s="44"/>
      <c r="R360" s="44"/>
      <c r="S360" s="44"/>
      <c r="T360" s="44"/>
      <c r="U360" s="44"/>
      <c r="AJ360" s="44"/>
    </row>
    <row r="361" ht="15.75" customHeight="1">
      <c r="L361" s="44"/>
      <c r="O361" s="44"/>
      <c r="R361" s="44"/>
      <c r="S361" s="44"/>
      <c r="T361" s="44"/>
      <c r="U361" s="44"/>
      <c r="AJ361" s="44"/>
    </row>
    <row r="362" ht="15.75" customHeight="1">
      <c r="L362" s="44"/>
      <c r="O362" s="44"/>
      <c r="R362" s="44"/>
      <c r="S362" s="44"/>
      <c r="T362" s="44"/>
      <c r="U362" s="44"/>
      <c r="AJ362" s="44"/>
    </row>
    <row r="363" ht="15.75" customHeight="1">
      <c r="L363" s="44"/>
      <c r="O363" s="44"/>
      <c r="R363" s="44"/>
      <c r="S363" s="44"/>
      <c r="T363" s="44"/>
      <c r="U363" s="44"/>
      <c r="AJ363" s="44"/>
    </row>
    <row r="364" ht="15.75" customHeight="1">
      <c r="L364" s="44"/>
      <c r="O364" s="44"/>
      <c r="R364" s="44"/>
      <c r="S364" s="44"/>
      <c r="T364" s="44"/>
      <c r="U364" s="44"/>
      <c r="AJ364" s="44"/>
    </row>
    <row r="365" ht="15.75" customHeight="1">
      <c r="L365" s="44"/>
      <c r="O365" s="44"/>
      <c r="R365" s="44"/>
      <c r="S365" s="44"/>
      <c r="T365" s="44"/>
      <c r="U365" s="44"/>
      <c r="AJ365" s="44"/>
    </row>
    <row r="366" ht="15.75" customHeight="1">
      <c r="L366" s="44"/>
      <c r="O366" s="44"/>
      <c r="R366" s="44"/>
      <c r="S366" s="44"/>
      <c r="T366" s="44"/>
      <c r="U366" s="44"/>
      <c r="AJ366" s="44"/>
    </row>
    <row r="367" ht="15.75" customHeight="1">
      <c r="L367" s="44"/>
      <c r="O367" s="44"/>
      <c r="R367" s="44"/>
      <c r="S367" s="44"/>
      <c r="T367" s="44"/>
      <c r="U367" s="44"/>
      <c r="AJ367" s="44"/>
    </row>
    <row r="368" ht="15.75" customHeight="1">
      <c r="L368" s="44"/>
      <c r="O368" s="44"/>
      <c r="R368" s="44"/>
      <c r="S368" s="44"/>
      <c r="T368" s="44"/>
      <c r="U368" s="44"/>
      <c r="AJ368" s="44"/>
    </row>
    <row r="369" ht="15.75" customHeight="1">
      <c r="L369" s="44"/>
      <c r="O369" s="44"/>
      <c r="R369" s="44"/>
      <c r="S369" s="44"/>
      <c r="T369" s="44"/>
      <c r="U369" s="44"/>
      <c r="AJ369" s="44"/>
    </row>
    <row r="370" ht="15.75" customHeight="1">
      <c r="L370" s="44"/>
      <c r="O370" s="44"/>
      <c r="R370" s="44"/>
      <c r="S370" s="44"/>
      <c r="T370" s="44"/>
      <c r="U370" s="44"/>
      <c r="AJ370" s="44"/>
    </row>
    <row r="371" ht="15.75" customHeight="1">
      <c r="L371" s="44"/>
      <c r="O371" s="44"/>
      <c r="R371" s="44"/>
      <c r="S371" s="44"/>
      <c r="T371" s="44"/>
      <c r="U371" s="44"/>
      <c r="AJ371" s="44"/>
    </row>
    <row r="372" ht="15.75" customHeight="1">
      <c r="L372" s="44"/>
      <c r="O372" s="44"/>
      <c r="R372" s="44"/>
      <c r="S372" s="44"/>
      <c r="T372" s="44"/>
      <c r="U372" s="44"/>
      <c r="AJ372" s="44"/>
    </row>
    <row r="373" ht="15.75" customHeight="1">
      <c r="L373" s="44"/>
      <c r="O373" s="44"/>
      <c r="R373" s="44"/>
      <c r="S373" s="44"/>
      <c r="T373" s="44"/>
      <c r="U373" s="44"/>
      <c r="AJ373" s="44"/>
    </row>
    <row r="374" ht="15.75" customHeight="1">
      <c r="L374" s="44"/>
      <c r="O374" s="44"/>
      <c r="R374" s="44"/>
      <c r="S374" s="44"/>
      <c r="T374" s="44"/>
      <c r="U374" s="44"/>
      <c r="AJ374" s="44"/>
    </row>
    <row r="375" ht="15.75" customHeight="1">
      <c r="L375" s="44"/>
      <c r="O375" s="44"/>
      <c r="R375" s="44"/>
      <c r="S375" s="44"/>
      <c r="T375" s="44"/>
      <c r="U375" s="44"/>
      <c r="AJ375" s="44"/>
    </row>
    <row r="376" ht="15.75" customHeight="1">
      <c r="L376" s="44"/>
      <c r="O376" s="44"/>
      <c r="R376" s="44"/>
      <c r="S376" s="44"/>
      <c r="T376" s="44"/>
      <c r="U376" s="44"/>
      <c r="AJ376" s="44"/>
    </row>
    <row r="377" ht="15.75" customHeight="1">
      <c r="L377" s="44"/>
      <c r="O377" s="44"/>
      <c r="R377" s="44"/>
      <c r="S377" s="44"/>
      <c r="T377" s="44"/>
      <c r="U377" s="44"/>
      <c r="AJ377" s="44"/>
    </row>
    <row r="378" ht="15.75" customHeight="1">
      <c r="L378" s="44"/>
      <c r="O378" s="44"/>
      <c r="R378" s="44"/>
      <c r="S378" s="44"/>
      <c r="T378" s="44"/>
      <c r="U378" s="44"/>
      <c r="AJ378" s="44"/>
    </row>
    <row r="379" ht="15.75" customHeight="1">
      <c r="L379" s="44"/>
      <c r="O379" s="44"/>
      <c r="R379" s="44"/>
      <c r="S379" s="44"/>
      <c r="T379" s="44"/>
      <c r="U379" s="44"/>
      <c r="AJ379" s="44"/>
    </row>
    <row r="380" ht="15.75" customHeight="1">
      <c r="L380" s="44"/>
      <c r="O380" s="44"/>
      <c r="R380" s="44"/>
      <c r="S380" s="44"/>
      <c r="T380" s="44"/>
      <c r="U380" s="44"/>
      <c r="AJ380" s="44"/>
    </row>
    <row r="381" ht="15.75" customHeight="1">
      <c r="L381" s="44"/>
      <c r="O381" s="44"/>
      <c r="R381" s="44"/>
      <c r="S381" s="44"/>
      <c r="T381" s="44"/>
      <c r="U381" s="44"/>
      <c r="AJ381" s="44"/>
    </row>
    <row r="382" ht="15.75" customHeight="1">
      <c r="L382" s="44"/>
      <c r="O382" s="44"/>
      <c r="R382" s="44"/>
      <c r="S382" s="44"/>
      <c r="T382" s="44"/>
      <c r="U382" s="44"/>
      <c r="AJ382" s="44"/>
    </row>
    <row r="383" ht="15.75" customHeight="1">
      <c r="L383" s="44"/>
      <c r="O383" s="44"/>
      <c r="R383" s="44"/>
      <c r="S383" s="44"/>
      <c r="T383" s="44"/>
      <c r="U383" s="44"/>
      <c r="AJ383" s="44"/>
    </row>
    <row r="384" ht="15.75" customHeight="1">
      <c r="L384" s="44"/>
      <c r="O384" s="44"/>
      <c r="R384" s="44"/>
      <c r="S384" s="44"/>
      <c r="T384" s="44"/>
      <c r="U384" s="44"/>
      <c r="AJ384" s="44"/>
    </row>
    <row r="385" ht="15.75" customHeight="1">
      <c r="L385" s="44"/>
      <c r="O385" s="44"/>
      <c r="R385" s="44"/>
      <c r="S385" s="44"/>
      <c r="T385" s="44"/>
      <c r="U385" s="44"/>
      <c r="AJ385" s="44"/>
    </row>
    <row r="386" ht="15.75" customHeight="1">
      <c r="L386" s="44"/>
      <c r="O386" s="44"/>
      <c r="R386" s="44"/>
      <c r="S386" s="44"/>
      <c r="T386" s="44"/>
      <c r="U386" s="44"/>
      <c r="AJ386" s="44"/>
    </row>
    <row r="387" ht="15.75" customHeight="1">
      <c r="L387" s="44"/>
      <c r="O387" s="44"/>
      <c r="R387" s="44"/>
      <c r="S387" s="44"/>
      <c r="T387" s="44"/>
      <c r="U387" s="44"/>
      <c r="AJ387" s="44"/>
    </row>
    <row r="388" ht="15.75" customHeight="1">
      <c r="L388" s="44"/>
      <c r="O388" s="44"/>
      <c r="R388" s="44"/>
      <c r="S388" s="44"/>
      <c r="T388" s="44"/>
      <c r="U388" s="44"/>
      <c r="AJ388" s="44"/>
    </row>
    <row r="389" ht="15.75" customHeight="1">
      <c r="L389" s="44"/>
      <c r="O389" s="44"/>
      <c r="R389" s="44"/>
      <c r="S389" s="44"/>
      <c r="T389" s="44"/>
      <c r="U389" s="44"/>
      <c r="AJ389" s="44"/>
    </row>
    <row r="390" ht="15.75" customHeight="1">
      <c r="L390" s="44"/>
      <c r="O390" s="44"/>
      <c r="R390" s="44"/>
      <c r="S390" s="44"/>
      <c r="T390" s="44"/>
      <c r="U390" s="44"/>
      <c r="AJ390" s="44"/>
    </row>
    <row r="391" ht="15.75" customHeight="1">
      <c r="L391" s="44"/>
      <c r="O391" s="44"/>
      <c r="R391" s="44"/>
      <c r="S391" s="44"/>
      <c r="T391" s="44"/>
      <c r="U391" s="44"/>
      <c r="AJ391" s="44"/>
    </row>
    <row r="392" ht="15.75" customHeight="1">
      <c r="L392" s="44"/>
      <c r="O392" s="44"/>
      <c r="R392" s="44"/>
      <c r="S392" s="44"/>
      <c r="T392" s="44"/>
      <c r="U392" s="44"/>
      <c r="AJ392" s="44"/>
    </row>
    <row r="393" ht="15.75" customHeight="1">
      <c r="L393" s="44"/>
      <c r="O393" s="44"/>
      <c r="R393" s="44"/>
      <c r="S393" s="44"/>
      <c r="T393" s="44"/>
      <c r="U393" s="44"/>
      <c r="AJ393" s="44"/>
    </row>
    <row r="394" ht="15.75" customHeight="1">
      <c r="L394" s="44"/>
      <c r="O394" s="44"/>
      <c r="R394" s="44"/>
      <c r="S394" s="44"/>
      <c r="T394" s="44"/>
      <c r="U394" s="44"/>
      <c r="AJ394" s="44"/>
    </row>
    <row r="395" ht="15.75" customHeight="1">
      <c r="L395" s="44"/>
      <c r="O395" s="44"/>
      <c r="R395" s="44"/>
      <c r="S395" s="44"/>
      <c r="T395" s="44"/>
      <c r="U395" s="44"/>
      <c r="AJ395" s="44"/>
    </row>
    <row r="396" ht="15.75" customHeight="1">
      <c r="L396" s="44"/>
      <c r="O396" s="44"/>
      <c r="R396" s="44"/>
      <c r="S396" s="44"/>
      <c r="T396" s="44"/>
      <c r="U396" s="44"/>
      <c r="AJ396" s="44"/>
    </row>
    <row r="397" ht="15.75" customHeight="1">
      <c r="L397" s="44"/>
      <c r="O397" s="44"/>
      <c r="R397" s="44"/>
      <c r="S397" s="44"/>
      <c r="T397" s="44"/>
      <c r="U397" s="44"/>
      <c r="AJ397" s="44"/>
    </row>
    <row r="398" ht="15.75" customHeight="1">
      <c r="L398" s="44"/>
      <c r="O398" s="44"/>
      <c r="R398" s="44"/>
      <c r="S398" s="44"/>
      <c r="T398" s="44"/>
      <c r="U398" s="44"/>
      <c r="AJ398" s="44"/>
    </row>
    <row r="399" ht="15.75" customHeight="1">
      <c r="L399" s="44"/>
      <c r="O399" s="44"/>
      <c r="R399" s="44"/>
      <c r="S399" s="44"/>
      <c r="T399" s="44"/>
      <c r="U399" s="44"/>
      <c r="AJ399" s="44"/>
    </row>
    <row r="400" ht="15.75" customHeight="1">
      <c r="L400" s="44"/>
      <c r="O400" s="44"/>
      <c r="R400" s="44"/>
      <c r="S400" s="44"/>
      <c r="T400" s="44"/>
      <c r="U400" s="44"/>
      <c r="AJ400" s="44"/>
    </row>
    <row r="401" ht="15.75" customHeight="1">
      <c r="L401" s="44"/>
      <c r="O401" s="44"/>
      <c r="R401" s="44"/>
      <c r="S401" s="44"/>
      <c r="T401" s="44"/>
      <c r="U401" s="44"/>
      <c r="AJ401" s="44"/>
    </row>
    <row r="402" ht="15.75" customHeight="1">
      <c r="L402" s="44"/>
      <c r="O402" s="44"/>
      <c r="R402" s="44"/>
      <c r="S402" s="44"/>
      <c r="T402" s="44"/>
      <c r="U402" s="44"/>
      <c r="AJ402" s="44"/>
    </row>
    <row r="403" ht="15.75" customHeight="1">
      <c r="L403" s="44"/>
      <c r="O403" s="44"/>
      <c r="R403" s="44"/>
      <c r="S403" s="44"/>
      <c r="T403" s="44"/>
      <c r="U403" s="44"/>
      <c r="AJ403" s="44"/>
    </row>
    <row r="404" ht="15.75" customHeight="1">
      <c r="L404" s="44"/>
      <c r="O404" s="44"/>
      <c r="R404" s="44"/>
      <c r="S404" s="44"/>
      <c r="T404" s="44"/>
      <c r="U404" s="44"/>
      <c r="AJ404" s="44"/>
    </row>
    <row r="405" ht="15.75" customHeight="1">
      <c r="L405" s="44"/>
      <c r="O405" s="44"/>
      <c r="R405" s="44"/>
      <c r="S405" s="44"/>
      <c r="T405" s="44"/>
      <c r="U405" s="44"/>
      <c r="AJ405" s="44"/>
    </row>
    <row r="406" ht="15.75" customHeight="1">
      <c r="L406" s="44"/>
      <c r="O406" s="44"/>
      <c r="R406" s="44"/>
      <c r="S406" s="44"/>
      <c r="T406" s="44"/>
      <c r="U406" s="44"/>
      <c r="AJ406" s="44"/>
    </row>
    <row r="407" ht="15.75" customHeight="1">
      <c r="L407" s="44"/>
      <c r="O407" s="44"/>
      <c r="R407" s="44"/>
      <c r="S407" s="44"/>
      <c r="T407" s="44"/>
      <c r="U407" s="44"/>
      <c r="AJ407" s="44"/>
    </row>
    <row r="408" ht="15.75" customHeight="1">
      <c r="L408" s="44"/>
      <c r="O408" s="44"/>
      <c r="R408" s="44"/>
      <c r="S408" s="44"/>
      <c r="T408" s="44"/>
      <c r="U408" s="44"/>
      <c r="AJ408" s="44"/>
    </row>
    <row r="409" ht="15.75" customHeight="1">
      <c r="L409" s="44"/>
      <c r="O409" s="44"/>
      <c r="R409" s="44"/>
      <c r="S409" s="44"/>
      <c r="T409" s="44"/>
      <c r="U409" s="44"/>
      <c r="AJ409" s="44"/>
    </row>
    <row r="410" ht="15.75" customHeight="1">
      <c r="L410" s="44"/>
      <c r="O410" s="44"/>
      <c r="R410" s="44"/>
      <c r="S410" s="44"/>
      <c r="T410" s="44"/>
      <c r="U410" s="44"/>
      <c r="AJ410" s="44"/>
    </row>
    <row r="411" ht="15.75" customHeight="1">
      <c r="L411" s="44"/>
      <c r="O411" s="44"/>
      <c r="R411" s="44"/>
      <c r="S411" s="44"/>
      <c r="T411" s="44"/>
      <c r="U411" s="44"/>
      <c r="AJ411" s="44"/>
    </row>
    <row r="412" ht="15.75" customHeight="1">
      <c r="L412" s="44"/>
      <c r="O412" s="44"/>
      <c r="R412" s="44"/>
      <c r="S412" s="44"/>
      <c r="T412" s="44"/>
      <c r="U412" s="44"/>
      <c r="AJ412" s="44"/>
    </row>
    <row r="413" ht="15.75" customHeight="1">
      <c r="L413" s="44"/>
      <c r="O413" s="44"/>
      <c r="R413" s="44"/>
      <c r="S413" s="44"/>
      <c r="T413" s="44"/>
      <c r="U413" s="44"/>
      <c r="AJ413" s="44"/>
    </row>
    <row r="414" ht="15.75" customHeight="1">
      <c r="L414" s="44"/>
      <c r="O414" s="44"/>
      <c r="R414" s="44"/>
      <c r="S414" s="44"/>
      <c r="T414" s="44"/>
      <c r="U414" s="44"/>
      <c r="AJ414" s="44"/>
    </row>
    <row r="415" ht="15.75" customHeight="1">
      <c r="L415" s="44"/>
      <c r="O415" s="44"/>
      <c r="R415" s="44"/>
      <c r="S415" s="44"/>
      <c r="T415" s="44"/>
      <c r="U415" s="44"/>
      <c r="AJ415" s="44"/>
    </row>
    <row r="416" ht="15.75" customHeight="1">
      <c r="L416" s="44"/>
      <c r="O416" s="44"/>
      <c r="R416" s="44"/>
      <c r="S416" s="44"/>
      <c r="T416" s="44"/>
      <c r="U416" s="44"/>
      <c r="AJ416" s="44"/>
    </row>
    <row r="417" ht="15.75" customHeight="1">
      <c r="L417" s="44"/>
      <c r="O417" s="44"/>
      <c r="R417" s="44"/>
      <c r="S417" s="44"/>
      <c r="T417" s="44"/>
      <c r="U417" s="44"/>
      <c r="AJ417" s="44"/>
    </row>
    <row r="418" ht="15.75" customHeight="1">
      <c r="L418" s="44"/>
      <c r="O418" s="44"/>
      <c r="R418" s="44"/>
      <c r="S418" s="44"/>
      <c r="T418" s="44"/>
      <c r="U418" s="44"/>
      <c r="AJ418" s="44"/>
    </row>
    <row r="419" ht="15.75" customHeight="1">
      <c r="L419" s="44"/>
      <c r="O419" s="44"/>
      <c r="R419" s="44"/>
      <c r="S419" s="44"/>
      <c r="T419" s="44"/>
      <c r="U419" s="44"/>
      <c r="AJ419" s="44"/>
    </row>
    <row r="420" ht="15.75" customHeight="1">
      <c r="L420" s="44"/>
      <c r="O420" s="44"/>
      <c r="R420" s="44"/>
      <c r="S420" s="44"/>
      <c r="T420" s="44"/>
      <c r="U420" s="44"/>
      <c r="AJ420" s="44"/>
    </row>
    <row r="421" ht="15.75" customHeight="1">
      <c r="L421" s="44"/>
      <c r="O421" s="44"/>
      <c r="R421" s="44"/>
      <c r="S421" s="44"/>
      <c r="T421" s="44"/>
      <c r="U421" s="44"/>
      <c r="AJ421" s="44"/>
    </row>
    <row r="422" ht="15.75" customHeight="1">
      <c r="L422" s="44"/>
      <c r="O422" s="44"/>
      <c r="R422" s="44"/>
      <c r="S422" s="44"/>
      <c r="T422" s="44"/>
      <c r="U422" s="44"/>
      <c r="AJ422" s="44"/>
    </row>
    <row r="423" ht="15.75" customHeight="1">
      <c r="L423" s="44"/>
      <c r="O423" s="44"/>
      <c r="R423" s="44"/>
      <c r="S423" s="44"/>
      <c r="T423" s="44"/>
      <c r="U423" s="44"/>
      <c r="AJ423" s="44"/>
    </row>
    <row r="424" ht="15.75" customHeight="1">
      <c r="L424" s="44"/>
      <c r="O424" s="44"/>
      <c r="R424" s="44"/>
      <c r="S424" s="44"/>
      <c r="T424" s="44"/>
      <c r="U424" s="44"/>
      <c r="AJ424" s="44"/>
    </row>
    <row r="425" ht="15.75" customHeight="1">
      <c r="L425" s="44"/>
      <c r="O425" s="44"/>
      <c r="R425" s="44"/>
      <c r="S425" s="44"/>
      <c r="T425" s="44"/>
      <c r="U425" s="44"/>
      <c r="AJ425" s="44"/>
    </row>
    <row r="426" ht="15.75" customHeight="1">
      <c r="L426" s="44"/>
      <c r="O426" s="44"/>
      <c r="R426" s="44"/>
      <c r="S426" s="44"/>
      <c r="T426" s="44"/>
      <c r="U426" s="44"/>
      <c r="AJ426" s="44"/>
    </row>
    <row r="427" ht="15.75" customHeight="1">
      <c r="L427" s="44"/>
      <c r="O427" s="44"/>
      <c r="R427" s="44"/>
      <c r="S427" s="44"/>
      <c r="T427" s="44"/>
      <c r="U427" s="44"/>
      <c r="AJ427" s="44"/>
    </row>
    <row r="428" ht="15.75" customHeight="1">
      <c r="L428" s="44"/>
      <c r="O428" s="44"/>
      <c r="R428" s="44"/>
      <c r="S428" s="44"/>
      <c r="T428" s="44"/>
      <c r="U428" s="44"/>
      <c r="AJ428" s="44"/>
    </row>
    <row r="429" ht="15.75" customHeight="1">
      <c r="L429" s="44"/>
      <c r="O429" s="44"/>
      <c r="R429" s="44"/>
      <c r="S429" s="44"/>
      <c r="T429" s="44"/>
      <c r="U429" s="44"/>
      <c r="AJ429" s="44"/>
    </row>
    <row r="430" ht="15.75" customHeight="1">
      <c r="L430" s="44"/>
      <c r="O430" s="44"/>
      <c r="R430" s="44"/>
      <c r="S430" s="44"/>
      <c r="T430" s="44"/>
      <c r="U430" s="44"/>
      <c r="AJ430" s="44"/>
    </row>
    <row r="431" ht="15.75" customHeight="1">
      <c r="L431" s="44"/>
      <c r="O431" s="44"/>
      <c r="R431" s="44"/>
      <c r="S431" s="44"/>
      <c r="T431" s="44"/>
      <c r="U431" s="44"/>
      <c r="AJ431" s="44"/>
    </row>
    <row r="432" ht="15.75" customHeight="1">
      <c r="L432" s="44"/>
      <c r="O432" s="44"/>
      <c r="R432" s="44"/>
      <c r="S432" s="44"/>
      <c r="T432" s="44"/>
      <c r="U432" s="44"/>
      <c r="AJ432" s="44"/>
    </row>
    <row r="433" ht="15.75" customHeight="1">
      <c r="L433" s="44"/>
      <c r="O433" s="44"/>
      <c r="R433" s="44"/>
      <c r="S433" s="44"/>
      <c r="T433" s="44"/>
      <c r="U433" s="44"/>
      <c r="AJ433" s="44"/>
    </row>
    <row r="434" ht="15.75" customHeight="1">
      <c r="L434" s="44"/>
      <c r="O434" s="44"/>
      <c r="R434" s="44"/>
      <c r="S434" s="44"/>
      <c r="T434" s="44"/>
      <c r="U434" s="44"/>
      <c r="AJ434" s="44"/>
    </row>
    <row r="435" ht="15.75" customHeight="1">
      <c r="L435" s="44"/>
      <c r="O435" s="44"/>
      <c r="R435" s="44"/>
      <c r="S435" s="44"/>
      <c r="T435" s="44"/>
      <c r="U435" s="44"/>
      <c r="AJ435" s="44"/>
    </row>
    <row r="436" ht="15.75" customHeight="1">
      <c r="L436" s="44"/>
      <c r="O436" s="44"/>
      <c r="R436" s="44"/>
      <c r="S436" s="44"/>
      <c r="T436" s="44"/>
      <c r="U436" s="44"/>
      <c r="AJ436" s="44"/>
    </row>
    <row r="437" ht="15.75" customHeight="1">
      <c r="L437" s="44"/>
      <c r="O437" s="44"/>
      <c r="R437" s="44"/>
      <c r="S437" s="44"/>
      <c r="T437" s="44"/>
      <c r="U437" s="44"/>
      <c r="AJ437" s="44"/>
    </row>
    <row r="438" ht="15.75" customHeight="1">
      <c r="L438" s="44"/>
      <c r="O438" s="44"/>
      <c r="R438" s="44"/>
      <c r="S438" s="44"/>
      <c r="T438" s="44"/>
      <c r="U438" s="44"/>
      <c r="AJ438" s="44"/>
    </row>
    <row r="439" ht="15.75" customHeight="1">
      <c r="L439" s="44"/>
      <c r="O439" s="44"/>
      <c r="R439" s="44"/>
      <c r="S439" s="44"/>
      <c r="T439" s="44"/>
      <c r="U439" s="44"/>
      <c r="AJ439" s="44"/>
    </row>
    <row r="440" ht="15.75" customHeight="1">
      <c r="L440" s="44"/>
      <c r="O440" s="44"/>
      <c r="R440" s="44"/>
      <c r="S440" s="44"/>
      <c r="T440" s="44"/>
      <c r="U440" s="44"/>
      <c r="AJ440" s="44"/>
    </row>
    <row r="441" ht="15.75" customHeight="1">
      <c r="L441" s="44"/>
      <c r="O441" s="44"/>
      <c r="R441" s="44"/>
      <c r="S441" s="44"/>
      <c r="T441" s="44"/>
      <c r="U441" s="44"/>
      <c r="AJ441" s="44"/>
    </row>
    <row r="442" ht="15.75" customHeight="1">
      <c r="L442" s="44"/>
      <c r="O442" s="44"/>
      <c r="R442" s="44"/>
      <c r="S442" s="44"/>
      <c r="T442" s="44"/>
      <c r="U442" s="44"/>
      <c r="AJ442" s="44"/>
    </row>
    <row r="443" ht="15.75" customHeight="1">
      <c r="L443" s="44"/>
      <c r="O443" s="44"/>
      <c r="R443" s="44"/>
      <c r="S443" s="44"/>
      <c r="T443" s="44"/>
      <c r="U443" s="44"/>
      <c r="AJ443" s="44"/>
    </row>
    <row r="444" ht="15.75" customHeight="1">
      <c r="L444" s="44"/>
      <c r="O444" s="44"/>
      <c r="R444" s="44"/>
      <c r="S444" s="44"/>
      <c r="T444" s="44"/>
      <c r="U444" s="44"/>
      <c r="AJ444" s="44"/>
    </row>
    <row r="445" ht="15.75" customHeight="1">
      <c r="L445" s="44"/>
      <c r="O445" s="44"/>
      <c r="R445" s="44"/>
      <c r="S445" s="44"/>
      <c r="T445" s="44"/>
      <c r="U445" s="44"/>
      <c r="AJ445" s="44"/>
    </row>
    <row r="446" ht="15.75" customHeight="1">
      <c r="L446" s="44"/>
      <c r="O446" s="44"/>
      <c r="R446" s="44"/>
      <c r="S446" s="44"/>
      <c r="T446" s="44"/>
      <c r="U446" s="44"/>
      <c r="AJ446" s="44"/>
    </row>
    <row r="447" ht="15.75" customHeight="1">
      <c r="L447" s="44"/>
      <c r="O447" s="44"/>
      <c r="R447" s="44"/>
      <c r="S447" s="44"/>
      <c r="T447" s="44"/>
      <c r="U447" s="44"/>
      <c r="AJ447" s="44"/>
    </row>
    <row r="448" ht="15.75" customHeight="1">
      <c r="L448" s="44"/>
      <c r="O448" s="44"/>
      <c r="R448" s="44"/>
      <c r="S448" s="44"/>
      <c r="T448" s="44"/>
      <c r="U448" s="44"/>
      <c r="AJ448" s="44"/>
    </row>
    <row r="449" ht="15.75" customHeight="1">
      <c r="L449" s="44"/>
      <c r="O449" s="44"/>
      <c r="R449" s="44"/>
      <c r="S449" s="44"/>
      <c r="T449" s="44"/>
      <c r="U449" s="44"/>
      <c r="AJ449" s="44"/>
    </row>
    <row r="450" ht="15.75" customHeight="1">
      <c r="L450" s="44"/>
      <c r="O450" s="44"/>
      <c r="R450" s="44"/>
      <c r="S450" s="44"/>
      <c r="T450" s="44"/>
      <c r="U450" s="44"/>
      <c r="AJ450" s="44"/>
    </row>
    <row r="451" ht="15.75" customHeight="1">
      <c r="L451" s="44"/>
      <c r="O451" s="44"/>
      <c r="R451" s="44"/>
      <c r="S451" s="44"/>
      <c r="T451" s="44"/>
      <c r="U451" s="44"/>
      <c r="AJ451" s="44"/>
    </row>
    <row r="452" ht="15.75" customHeight="1">
      <c r="L452" s="44"/>
      <c r="O452" s="44"/>
      <c r="R452" s="44"/>
      <c r="S452" s="44"/>
      <c r="T452" s="44"/>
      <c r="U452" s="44"/>
      <c r="AJ452" s="44"/>
    </row>
    <row r="453" ht="15.75" customHeight="1">
      <c r="L453" s="44"/>
      <c r="O453" s="44"/>
      <c r="R453" s="44"/>
      <c r="S453" s="44"/>
      <c r="T453" s="44"/>
      <c r="U453" s="44"/>
      <c r="AJ453" s="44"/>
    </row>
    <row r="454" ht="15.75" customHeight="1">
      <c r="L454" s="44"/>
      <c r="O454" s="44"/>
      <c r="R454" s="44"/>
      <c r="S454" s="44"/>
      <c r="T454" s="44"/>
      <c r="U454" s="44"/>
      <c r="AJ454" s="44"/>
    </row>
    <row r="455" ht="15.75" customHeight="1">
      <c r="L455" s="44"/>
      <c r="O455" s="44"/>
      <c r="R455" s="44"/>
      <c r="S455" s="44"/>
      <c r="T455" s="44"/>
      <c r="U455" s="44"/>
      <c r="AJ455" s="44"/>
    </row>
    <row r="456" ht="15.75" customHeight="1">
      <c r="L456" s="44"/>
      <c r="O456" s="44"/>
      <c r="R456" s="44"/>
      <c r="S456" s="44"/>
      <c r="T456" s="44"/>
      <c r="U456" s="44"/>
      <c r="AJ456" s="44"/>
    </row>
    <row r="457" ht="15.75" customHeight="1">
      <c r="L457" s="44"/>
      <c r="O457" s="44"/>
      <c r="R457" s="44"/>
      <c r="S457" s="44"/>
      <c r="T457" s="44"/>
      <c r="U457" s="44"/>
      <c r="AJ457" s="44"/>
    </row>
    <row r="458" ht="15.75" customHeight="1">
      <c r="L458" s="44"/>
      <c r="O458" s="44"/>
      <c r="R458" s="44"/>
      <c r="S458" s="44"/>
      <c r="T458" s="44"/>
      <c r="U458" s="44"/>
      <c r="AJ458" s="44"/>
    </row>
    <row r="459" ht="15.75" customHeight="1">
      <c r="L459" s="44"/>
      <c r="O459" s="44"/>
      <c r="R459" s="44"/>
      <c r="S459" s="44"/>
      <c r="T459" s="44"/>
      <c r="U459" s="44"/>
      <c r="AJ459" s="44"/>
    </row>
    <row r="460" ht="15.75" customHeight="1">
      <c r="L460" s="44"/>
      <c r="O460" s="44"/>
      <c r="R460" s="44"/>
      <c r="S460" s="44"/>
      <c r="T460" s="44"/>
      <c r="U460" s="44"/>
      <c r="AJ460" s="44"/>
    </row>
    <row r="461" ht="15.75" customHeight="1">
      <c r="L461" s="44"/>
      <c r="O461" s="44"/>
      <c r="R461" s="44"/>
      <c r="S461" s="44"/>
      <c r="T461" s="44"/>
      <c r="U461" s="44"/>
      <c r="AJ461" s="44"/>
    </row>
    <row r="462" ht="15.75" customHeight="1">
      <c r="L462" s="44"/>
      <c r="O462" s="44"/>
      <c r="R462" s="44"/>
      <c r="S462" s="44"/>
      <c r="T462" s="44"/>
      <c r="U462" s="44"/>
      <c r="AJ462" s="44"/>
    </row>
    <row r="463" ht="15.75" customHeight="1">
      <c r="L463" s="44"/>
      <c r="O463" s="44"/>
      <c r="R463" s="44"/>
      <c r="S463" s="44"/>
      <c r="T463" s="44"/>
      <c r="U463" s="44"/>
      <c r="AJ463" s="44"/>
    </row>
    <row r="464" ht="15.75" customHeight="1">
      <c r="L464" s="44"/>
      <c r="O464" s="44"/>
      <c r="R464" s="44"/>
      <c r="S464" s="44"/>
      <c r="T464" s="44"/>
      <c r="U464" s="44"/>
      <c r="AJ464" s="44"/>
    </row>
    <row r="465" ht="15.75" customHeight="1">
      <c r="L465" s="44"/>
      <c r="O465" s="44"/>
      <c r="R465" s="44"/>
      <c r="S465" s="44"/>
      <c r="T465" s="44"/>
      <c r="U465" s="44"/>
      <c r="AJ465" s="44"/>
    </row>
    <row r="466" ht="15.75" customHeight="1">
      <c r="L466" s="44"/>
      <c r="O466" s="44"/>
      <c r="R466" s="44"/>
      <c r="S466" s="44"/>
      <c r="T466" s="44"/>
      <c r="U466" s="44"/>
      <c r="AJ466" s="44"/>
    </row>
    <row r="467" ht="15.75" customHeight="1">
      <c r="L467" s="44"/>
      <c r="O467" s="44"/>
      <c r="R467" s="44"/>
      <c r="S467" s="44"/>
      <c r="T467" s="44"/>
      <c r="U467" s="44"/>
      <c r="AJ467" s="44"/>
    </row>
    <row r="468" ht="15.75" customHeight="1">
      <c r="L468" s="44"/>
      <c r="O468" s="44"/>
      <c r="R468" s="44"/>
      <c r="S468" s="44"/>
      <c r="T468" s="44"/>
      <c r="U468" s="44"/>
      <c r="AJ468" s="44"/>
    </row>
    <row r="469" ht="15.75" customHeight="1">
      <c r="L469" s="44"/>
      <c r="O469" s="44"/>
      <c r="R469" s="44"/>
      <c r="S469" s="44"/>
      <c r="T469" s="44"/>
      <c r="U469" s="44"/>
      <c r="AJ469" s="44"/>
    </row>
    <row r="470" ht="15.75" customHeight="1">
      <c r="L470" s="44"/>
      <c r="O470" s="44"/>
      <c r="R470" s="44"/>
      <c r="S470" s="44"/>
      <c r="T470" s="44"/>
      <c r="U470" s="44"/>
      <c r="AJ470" s="44"/>
    </row>
    <row r="471" ht="15.75" customHeight="1">
      <c r="L471" s="44"/>
      <c r="O471" s="44"/>
      <c r="R471" s="44"/>
      <c r="S471" s="44"/>
      <c r="T471" s="44"/>
      <c r="U471" s="44"/>
      <c r="AJ471" s="44"/>
    </row>
    <row r="472" ht="15.75" customHeight="1">
      <c r="L472" s="44"/>
      <c r="O472" s="44"/>
      <c r="R472" s="44"/>
      <c r="S472" s="44"/>
      <c r="T472" s="44"/>
      <c r="U472" s="44"/>
      <c r="AJ472" s="44"/>
    </row>
    <row r="473" ht="15.75" customHeight="1">
      <c r="L473" s="44"/>
      <c r="O473" s="44"/>
      <c r="R473" s="44"/>
      <c r="S473" s="44"/>
      <c r="T473" s="44"/>
      <c r="U473" s="44"/>
      <c r="AJ473" s="44"/>
    </row>
    <row r="474" ht="15.75" customHeight="1">
      <c r="L474" s="44"/>
      <c r="O474" s="44"/>
      <c r="R474" s="44"/>
      <c r="S474" s="44"/>
      <c r="T474" s="44"/>
      <c r="U474" s="44"/>
      <c r="AJ474" s="44"/>
    </row>
    <row r="475" ht="15.75" customHeight="1">
      <c r="L475" s="44"/>
      <c r="O475" s="44"/>
      <c r="R475" s="44"/>
      <c r="S475" s="44"/>
      <c r="T475" s="44"/>
      <c r="U475" s="44"/>
      <c r="AJ475" s="44"/>
    </row>
    <row r="476" ht="15.75" customHeight="1">
      <c r="L476" s="44"/>
      <c r="O476" s="44"/>
      <c r="R476" s="44"/>
      <c r="S476" s="44"/>
      <c r="T476" s="44"/>
      <c r="U476" s="44"/>
      <c r="AJ476" s="44"/>
    </row>
    <row r="477" ht="15.75" customHeight="1">
      <c r="L477" s="44"/>
      <c r="O477" s="44"/>
      <c r="R477" s="44"/>
      <c r="S477" s="44"/>
      <c r="T477" s="44"/>
      <c r="U477" s="44"/>
      <c r="AJ477" s="44"/>
    </row>
    <row r="478" ht="15.75" customHeight="1">
      <c r="L478" s="44"/>
      <c r="O478" s="44"/>
      <c r="R478" s="44"/>
      <c r="S478" s="44"/>
      <c r="T478" s="44"/>
      <c r="U478" s="44"/>
      <c r="AJ478" s="44"/>
    </row>
    <row r="479" ht="15.75" customHeight="1">
      <c r="L479" s="44"/>
      <c r="O479" s="44"/>
      <c r="R479" s="44"/>
      <c r="S479" s="44"/>
      <c r="T479" s="44"/>
      <c r="U479" s="44"/>
      <c r="AJ479" s="44"/>
    </row>
    <row r="480" ht="15.75" customHeight="1">
      <c r="L480" s="44"/>
      <c r="O480" s="44"/>
      <c r="R480" s="44"/>
      <c r="S480" s="44"/>
      <c r="T480" s="44"/>
      <c r="U480" s="44"/>
      <c r="AJ480" s="44"/>
    </row>
    <row r="481" ht="15.75" customHeight="1">
      <c r="L481" s="44"/>
      <c r="O481" s="44"/>
      <c r="R481" s="44"/>
      <c r="S481" s="44"/>
      <c r="T481" s="44"/>
      <c r="U481" s="44"/>
      <c r="AJ481" s="44"/>
    </row>
    <row r="482" ht="15.75" customHeight="1">
      <c r="L482" s="44"/>
      <c r="O482" s="44"/>
      <c r="R482" s="44"/>
      <c r="S482" s="44"/>
      <c r="T482" s="44"/>
      <c r="U482" s="44"/>
      <c r="AJ482" s="44"/>
    </row>
    <row r="483" ht="15.75" customHeight="1">
      <c r="L483" s="44"/>
      <c r="O483" s="44"/>
      <c r="R483" s="44"/>
      <c r="S483" s="44"/>
      <c r="T483" s="44"/>
      <c r="U483" s="44"/>
      <c r="AJ483" s="44"/>
    </row>
    <row r="484" ht="15.75" customHeight="1">
      <c r="L484" s="44"/>
      <c r="O484" s="44"/>
      <c r="R484" s="44"/>
      <c r="S484" s="44"/>
      <c r="T484" s="44"/>
      <c r="U484" s="44"/>
      <c r="AJ484" s="44"/>
    </row>
    <row r="485" ht="15.75" customHeight="1">
      <c r="L485" s="44"/>
      <c r="O485" s="44"/>
      <c r="R485" s="44"/>
      <c r="S485" s="44"/>
      <c r="T485" s="44"/>
      <c r="U485" s="44"/>
      <c r="AJ485" s="44"/>
    </row>
    <row r="486" ht="15.75" customHeight="1">
      <c r="L486" s="44"/>
      <c r="O486" s="44"/>
      <c r="R486" s="44"/>
      <c r="S486" s="44"/>
      <c r="T486" s="44"/>
      <c r="U486" s="44"/>
      <c r="AJ486" s="44"/>
    </row>
    <row r="487" ht="15.75" customHeight="1">
      <c r="L487" s="44"/>
      <c r="O487" s="44"/>
      <c r="R487" s="44"/>
      <c r="S487" s="44"/>
      <c r="T487" s="44"/>
      <c r="U487" s="44"/>
      <c r="AJ487" s="44"/>
    </row>
    <row r="488" ht="15.75" customHeight="1">
      <c r="L488" s="44"/>
      <c r="O488" s="44"/>
      <c r="R488" s="44"/>
      <c r="S488" s="44"/>
      <c r="T488" s="44"/>
      <c r="U488" s="44"/>
      <c r="AJ488" s="44"/>
    </row>
    <row r="489" ht="15.75" customHeight="1">
      <c r="L489" s="44"/>
      <c r="O489" s="44"/>
      <c r="R489" s="44"/>
      <c r="S489" s="44"/>
      <c r="T489" s="44"/>
      <c r="U489" s="44"/>
      <c r="AJ489" s="44"/>
    </row>
    <row r="490" ht="15.75" customHeight="1">
      <c r="L490" s="44"/>
      <c r="O490" s="44"/>
      <c r="R490" s="44"/>
      <c r="S490" s="44"/>
      <c r="T490" s="44"/>
      <c r="U490" s="44"/>
      <c r="AJ490" s="44"/>
    </row>
    <row r="491" ht="15.75" customHeight="1">
      <c r="L491" s="44"/>
      <c r="O491" s="44"/>
      <c r="R491" s="44"/>
      <c r="S491" s="44"/>
      <c r="T491" s="44"/>
      <c r="U491" s="44"/>
      <c r="AJ491" s="44"/>
    </row>
    <row r="492" ht="15.75" customHeight="1">
      <c r="L492" s="44"/>
      <c r="O492" s="44"/>
      <c r="R492" s="44"/>
      <c r="S492" s="44"/>
      <c r="T492" s="44"/>
      <c r="U492" s="44"/>
      <c r="AJ492" s="44"/>
    </row>
    <row r="493" ht="15.75" customHeight="1">
      <c r="L493" s="44"/>
      <c r="O493" s="44"/>
      <c r="R493" s="44"/>
      <c r="S493" s="44"/>
      <c r="T493" s="44"/>
      <c r="U493" s="44"/>
      <c r="AJ493" s="44"/>
    </row>
    <row r="494" ht="15.75" customHeight="1">
      <c r="L494" s="44"/>
      <c r="O494" s="44"/>
      <c r="R494" s="44"/>
      <c r="S494" s="44"/>
      <c r="T494" s="44"/>
      <c r="U494" s="44"/>
      <c r="AJ494" s="44"/>
    </row>
    <row r="495" ht="15.75" customHeight="1">
      <c r="L495" s="44"/>
      <c r="O495" s="44"/>
      <c r="R495" s="44"/>
      <c r="S495" s="44"/>
      <c r="T495" s="44"/>
      <c r="U495" s="44"/>
      <c r="AJ495" s="44"/>
    </row>
    <row r="496" ht="15.75" customHeight="1">
      <c r="L496" s="44"/>
      <c r="O496" s="44"/>
      <c r="R496" s="44"/>
      <c r="S496" s="44"/>
      <c r="T496" s="44"/>
      <c r="U496" s="44"/>
      <c r="AJ496" s="44"/>
    </row>
    <row r="497" ht="15.75" customHeight="1">
      <c r="L497" s="44"/>
      <c r="O497" s="44"/>
      <c r="R497" s="44"/>
      <c r="S497" s="44"/>
      <c r="T497" s="44"/>
      <c r="U497" s="44"/>
      <c r="AJ497" s="44"/>
    </row>
    <row r="498" ht="15.75" customHeight="1">
      <c r="L498" s="44"/>
      <c r="O498" s="44"/>
      <c r="R498" s="44"/>
      <c r="S498" s="44"/>
      <c r="T498" s="44"/>
      <c r="U498" s="44"/>
      <c r="AJ498" s="44"/>
    </row>
    <row r="499" ht="15.75" customHeight="1">
      <c r="L499" s="44"/>
      <c r="O499" s="44"/>
      <c r="R499" s="44"/>
      <c r="S499" s="44"/>
      <c r="T499" s="44"/>
      <c r="U499" s="44"/>
      <c r="AJ499" s="44"/>
    </row>
    <row r="500" ht="15.75" customHeight="1">
      <c r="L500" s="44"/>
      <c r="O500" s="44"/>
      <c r="R500" s="44"/>
      <c r="S500" s="44"/>
      <c r="T500" s="44"/>
      <c r="U500" s="44"/>
      <c r="AJ500" s="44"/>
    </row>
    <row r="501" ht="15.75" customHeight="1">
      <c r="L501" s="44"/>
      <c r="O501" s="44"/>
      <c r="R501" s="44"/>
      <c r="S501" s="44"/>
      <c r="T501" s="44"/>
      <c r="U501" s="44"/>
      <c r="AJ501" s="44"/>
    </row>
    <row r="502" ht="15.75" customHeight="1">
      <c r="L502" s="44"/>
      <c r="O502" s="44"/>
      <c r="R502" s="44"/>
      <c r="S502" s="44"/>
      <c r="T502" s="44"/>
      <c r="U502" s="44"/>
      <c r="AJ502" s="44"/>
    </row>
    <row r="503" ht="15.75" customHeight="1">
      <c r="L503" s="44"/>
      <c r="O503" s="44"/>
      <c r="R503" s="44"/>
      <c r="S503" s="44"/>
      <c r="T503" s="44"/>
      <c r="U503" s="44"/>
      <c r="AJ503" s="44"/>
    </row>
    <row r="504" ht="15.75" customHeight="1">
      <c r="L504" s="44"/>
      <c r="O504" s="44"/>
      <c r="R504" s="44"/>
      <c r="S504" s="44"/>
      <c r="T504" s="44"/>
      <c r="U504" s="44"/>
      <c r="AJ504" s="44"/>
    </row>
    <row r="505" ht="15.75" customHeight="1">
      <c r="L505" s="44"/>
      <c r="O505" s="44"/>
      <c r="R505" s="44"/>
      <c r="S505" s="44"/>
      <c r="T505" s="44"/>
      <c r="U505" s="44"/>
      <c r="AJ505" s="44"/>
    </row>
    <row r="506" ht="15.75" customHeight="1">
      <c r="L506" s="44"/>
      <c r="O506" s="44"/>
      <c r="R506" s="44"/>
      <c r="S506" s="44"/>
      <c r="T506" s="44"/>
      <c r="U506" s="44"/>
      <c r="AJ506" s="44"/>
    </row>
    <row r="507" ht="15.75" customHeight="1">
      <c r="L507" s="44"/>
      <c r="O507" s="44"/>
      <c r="R507" s="44"/>
      <c r="S507" s="44"/>
      <c r="T507" s="44"/>
      <c r="U507" s="44"/>
      <c r="AJ507" s="44"/>
    </row>
    <row r="508" ht="15.75" customHeight="1">
      <c r="L508" s="44"/>
      <c r="O508" s="44"/>
      <c r="R508" s="44"/>
      <c r="S508" s="44"/>
      <c r="T508" s="44"/>
      <c r="U508" s="44"/>
      <c r="AJ508" s="44"/>
    </row>
    <row r="509" ht="15.75" customHeight="1">
      <c r="L509" s="44"/>
      <c r="O509" s="44"/>
      <c r="R509" s="44"/>
      <c r="S509" s="44"/>
      <c r="T509" s="44"/>
      <c r="U509" s="44"/>
      <c r="AJ509" s="44"/>
    </row>
    <row r="510" ht="15.75" customHeight="1">
      <c r="L510" s="44"/>
      <c r="O510" s="44"/>
      <c r="R510" s="44"/>
      <c r="S510" s="44"/>
      <c r="T510" s="44"/>
      <c r="U510" s="44"/>
      <c r="AJ510" s="44"/>
    </row>
    <row r="511" ht="15.75" customHeight="1">
      <c r="L511" s="44"/>
      <c r="O511" s="44"/>
      <c r="R511" s="44"/>
      <c r="S511" s="44"/>
      <c r="T511" s="44"/>
      <c r="U511" s="44"/>
      <c r="AJ511" s="44"/>
    </row>
    <row r="512" ht="15.75" customHeight="1">
      <c r="L512" s="44"/>
      <c r="O512" s="44"/>
      <c r="R512" s="44"/>
      <c r="S512" s="44"/>
      <c r="T512" s="44"/>
      <c r="U512" s="44"/>
      <c r="AJ512" s="44"/>
    </row>
    <row r="513" ht="15.75" customHeight="1">
      <c r="L513" s="44"/>
      <c r="O513" s="44"/>
      <c r="R513" s="44"/>
      <c r="S513" s="44"/>
      <c r="T513" s="44"/>
      <c r="U513" s="44"/>
      <c r="AJ513" s="44"/>
    </row>
    <row r="514" ht="15.75" customHeight="1">
      <c r="L514" s="44"/>
      <c r="O514" s="44"/>
      <c r="R514" s="44"/>
      <c r="S514" s="44"/>
      <c r="T514" s="44"/>
      <c r="U514" s="44"/>
      <c r="AJ514" s="44"/>
    </row>
    <row r="515" ht="15.75" customHeight="1">
      <c r="L515" s="44"/>
      <c r="O515" s="44"/>
      <c r="R515" s="44"/>
      <c r="S515" s="44"/>
      <c r="T515" s="44"/>
      <c r="U515" s="44"/>
      <c r="AJ515" s="44"/>
    </row>
    <row r="516" ht="15.75" customHeight="1">
      <c r="L516" s="44"/>
      <c r="O516" s="44"/>
      <c r="R516" s="44"/>
      <c r="S516" s="44"/>
      <c r="T516" s="44"/>
      <c r="U516" s="44"/>
      <c r="AJ516" s="44"/>
    </row>
    <row r="517" ht="15.75" customHeight="1">
      <c r="L517" s="44"/>
      <c r="O517" s="44"/>
      <c r="R517" s="44"/>
      <c r="S517" s="44"/>
      <c r="T517" s="44"/>
      <c r="U517" s="44"/>
      <c r="AJ517" s="44"/>
    </row>
    <row r="518" ht="15.75" customHeight="1">
      <c r="L518" s="44"/>
      <c r="O518" s="44"/>
      <c r="R518" s="44"/>
      <c r="S518" s="44"/>
      <c r="T518" s="44"/>
      <c r="U518" s="44"/>
      <c r="AJ518" s="44"/>
    </row>
    <row r="519" ht="15.75" customHeight="1">
      <c r="L519" s="44"/>
      <c r="O519" s="44"/>
      <c r="R519" s="44"/>
      <c r="S519" s="44"/>
      <c r="T519" s="44"/>
      <c r="U519" s="44"/>
      <c r="AJ519" s="44"/>
    </row>
    <row r="520" ht="15.75" customHeight="1">
      <c r="L520" s="44"/>
      <c r="O520" s="44"/>
      <c r="R520" s="44"/>
      <c r="S520" s="44"/>
      <c r="T520" s="44"/>
      <c r="U520" s="44"/>
      <c r="AJ520" s="44"/>
    </row>
    <row r="521" ht="15.75" customHeight="1">
      <c r="L521" s="44"/>
      <c r="O521" s="44"/>
      <c r="R521" s="44"/>
      <c r="S521" s="44"/>
      <c r="T521" s="44"/>
      <c r="U521" s="44"/>
      <c r="AJ521" s="44"/>
    </row>
    <row r="522" ht="15.75" customHeight="1">
      <c r="L522" s="44"/>
      <c r="O522" s="44"/>
      <c r="R522" s="44"/>
      <c r="S522" s="44"/>
      <c r="T522" s="44"/>
      <c r="U522" s="44"/>
      <c r="AJ522" s="44"/>
    </row>
    <row r="523" ht="15.75" customHeight="1">
      <c r="L523" s="44"/>
      <c r="O523" s="44"/>
      <c r="R523" s="44"/>
      <c r="S523" s="44"/>
      <c r="T523" s="44"/>
      <c r="U523" s="44"/>
      <c r="AJ523" s="44"/>
    </row>
    <row r="524" ht="15.75" customHeight="1">
      <c r="L524" s="44"/>
      <c r="O524" s="44"/>
      <c r="R524" s="44"/>
      <c r="S524" s="44"/>
      <c r="T524" s="44"/>
      <c r="U524" s="44"/>
      <c r="AJ524" s="44"/>
    </row>
    <row r="525" ht="15.75" customHeight="1">
      <c r="L525" s="44"/>
      <c r="O525" s="44"/>
      <c r="R525" s="44"/>
      <c r="S525" s="44"/>
      <c r="T525" s="44"/>
      <c r="U525" s="44"/>
      <c r="AJ525" s="44"/>
    </row>
    <row r="526" ht="15.75" customHeight="1">
      <c r="L526" s="44"/>
      <c r="O526" s="44"/>
      <c r="R526" s="44"/>
      <c r="S526" s="44"/>
      <c r="T526" s="44"/>
      <c r="U526" s="44"/>
      <c r="AJ526" s="44"/>
    </row>
    <row r="527" ht="15.75" customHeight="1">
      <c r="L527" s="44"/>
      <c r="O527" s="44"/>
      <c r="R527" s="44"/>
      <c r="S527" s="44"/>
      <c r="T527" s="44"/>
      <c r="U527" s="44"/>
      <c r="AJ527" s="44"/>
    </row>
    <row r="528" ht="15.75" customHeight="1">
      <c r="L528" s="44"/>
      <c r="O528" s="44"/>
      <c r="R528" s="44"/>
      <c r="S528" s="44"/>
      <c r="T528" s="44"/>
      <c r="U528" s="44"/>
      <c r="AJ528" s="44"/>
    </row>
    <row r="529" ht="15.75" customHeight="1">
      <c r="L529" s="44"/>
      <c r="O529" s="44"/>
      <c r="R529" s="44"/>
      <c r="S529" s="44"/>
      <c r="T529" s="44"/>
      <c r="U529" s="44"/>
      <c r="AJ529" s="44"/>
    </row>
    <row r="530" ht="15.75" customHeight="1">
      <c r="L530" s="44"/>
      <c r="O530" s="44"/>
      <c r="R530" s="44"/>
      <c r="S530" s="44"/>
      <c r="T530" s="44"/>
      <c r="U530" s="44"/>
      <c r="AJ530" s="44"/>
    </row>
    <row r="531" ht="15.75" customHeight="1">
      <c r="L531" s="44"/>
      <c r="O531" s="44"/>
      <c r="R531" s="44"/>
      <c r="S531" s="44"/>
      <c r="T531" s="44"/>
      <c r="U531" s="44"/>
      <c r="AJ531" s="44"/>
    </row>
    <row r="532" ht="15.75" customHeight="1">
      <c r="L532" s="44"/>
      <c r="O532" s="44"/>
      <c r="R532" s="44"/>
      <c r="S532" s="44"/>
      <c r="T532" s="44"/>
      <c r="U532" s="44"/>
      <c r="AJ532" s="44"/>
    </row>
    <row r="533" ht="15.75" customHeight="1">
      <c r="L533" s="44"/>
      <c r="O533" s="44"/>
      <c r="R533" s="44"/>
      <c r="S533" s="44"/>
      <c r="T533" s="44"/>
      <c r="U533" s="44"/>
      <c r="AJ533" s="44"/>
    </row>
    <row r="534" ht="15.75" customHeight="1">
      <c r="L534" s="44"/>
      <c r="O534" s="44"/>
      <c r="R534" s="44"/>
      <c r="S534" s="44"/>
      <c r="T534" s="44"/>
      <c r="U534" s="44"/>
      <c r="AJ534" s="44"/>
    </row>
    <row r="535" ht="15.75" customHeight="1">
      <c r="L535" s="44"/>
      <c r="O535" s="44"/>
      <c r="R535" s="44"/>
      <c r="S535" s="44"/>
      <c r="T535" s="44"/>
      <c r="U535" s="44"/>
      <c r="AJ535" s="44"/>
    </row>
    <row r="536" ht="15.75" customHeight="1">
      <c r="L536" s="44"/>
      <c r="O536" s="44"/>
      <c r="R536" s="44"/>
      <c r="S536" s="44"/>
      <c r="T536" s="44"/>
      <c r="U536" s="44"/>
      <c r="AJ536" s="44"/>
    </row>
    <row r="537" ht="15.75" customHeight="1">
      <c r="L537" s="44"/>
      <c r="O537" s="44"/>
      <c r="R537" s="44"/>
      <c r="S537" s="44"/>
      <c r="T537" s="44"/>
      <c r="U537" s="44"/>
      <c r="AJ537" s="44"/>
    </row>
    <row r="538" ht="15.75" customHeight="1">
      <c r="L538" s="44"/>
      <c r="O538" s="44"/>
      <c r="R538" s="44"/>
      <c r="S538" s="44"/>
      <c r="T538" s="44"/>
      <c r="U538" s="44"/>
      <c r="AJ538" s="44"/>
    </row>
    <row r="539" ht="15.75" customHeight="1">
      <c r="L539" s="44"/>
      <c r="O539" s="44"/>
      <c r="R539" s="44"/>
      <c r="S539" s="44"/>
      <c r="T539" s="44"/>
      <c r="U539" s="44"/>
      <c r="AJ539" s="44"/>
    </row>
    <row r="540" ht="15.75" customHeight="1">
      <c r="L540" s="44"/>
      <c r="O540" s="44"/>
      <c r="R540" s="44"/>
      <c r="S540" s="44"/>
      <c r="T540" s="44"/>
      <c r="U540" s="44"/>
      <c r="AJ540" s="44"/>
    </row>
    <row r="541" ht="15.75" customHeight="1">
      <c r="L541" s="44"/>
      <c r="O541" s="44"/>
      <c r="R541" s="44"/>
      <c r="S541" s="44"/>
      <c r="T541" s="44"/>
      <c r="U541" s="44"/>
      <c r="AJ541" s="44"/>
    </row>
    <row r="542" ht="15.75" customHeight="1">
      <c r="L542" s="44"/>
      <c r="O542" s="44"/>
      <c r="R542" s="44"/>
      <c r="S542" s="44"/>
      <c r="T542" s="44"/>
      <c r="U542" s="44"/>
      <c r="AJ542" s="44"/>
    </row>
    <row r="543" ht="15.75" customHeight="1">
      <c r="L543" s="44"/>
      <c r="O543" s="44"/>
      <c r="R543" s="44"/>
      <c r="S543" s="44"/>
      <c r="T543" s="44"/>
      <c r="U543" s="44"/>
      <c r="AJ543" s="44"/>
    </row>
    <row r="544" ht="15.75" customHeight="1">
      <c r="L544" s="44"/>
      <c r="O544" s="44"/>
      <c r="R544" s="44"/>
      <c r="S544" s="44"/>
      <c r="T544" s="44"/>
      <c r="U544" s="44"/>
      <c r="AJ544" s="44"/>
    </row>
    <row r="545" ht="15.75" customHeight="1">
      <c r="L545" s="44"/>
      <c r="O545" s="44"/>
      <c r="R545" s="44"/>
      <c r="S545" s="44"/>
      <c r="T545" s="44"/>
      <c r="U545" s="44"/>
      <c r="AJ545" s="44"/>
    </row>
    <row r="546" ht="15.75" customHeight="1">
      <c r="L546" s="44"/>
      <c r="O546" s="44"/>
      <c r="R546" s="44"/>
      <c r="S546" s="44"/>
      <c r="T546" s="44"/>
      <c r="U546" s="44"/>
      <c r="AJ546" s="44"/>
    </row>
    <row r="547" ht="15.75" customHeight="1">
      <c r="L547" s="44"/>
      <c r="O547" s="44"/>
      <c r="R547" s="44"/>
      <c r="S547" s="44"/>
      <c r="T547" s="44"/>
      <c r="U547" s="44"/>
      <c r="AJ547" s="44"/>
    </row>
    <row r="548" ht="15.75" customHeight="1">
      <c r="L548" s="44"/>
      <c r="O548" s="44"/>
      <c r="R548" s="44"/>
      <c r="S548" s="44"/>
      <c r="T548" s="44"/>
      <c r="U548" s="44"/>
      <c r="AJ548" s="44"/>
    </row>
    <row r="549" ht="15.75" customHeight="1">
      <c r="L549" s="44"/>
      <c r="O549" s="44"/>
      <c r="R549" s="44"/>
      <c r="S549" s="44"/>
      <c r="T549" s="44"/>
      <c r="U549" s="44"/>
      <c r="AJ549" s="44"/>
    </row>
    <row r="550" ht="15.75" customHeight="1">
      <c r="L550" s="44"/>
      <c r="O550" s="44"/>
      <c r="R550" s="44"/>
      <c r="S550" s="44"/>
      <c r="T550" s="44"/>
      <c r="U550" s="44"/>
      <c r="AJ550" s="44"/>
    </row>
    <row r="551" ht="15.75" customHeight="1">
      <c r="L551" s="44"/>
      <c r="O551" s="44"/>
      <c r="R551" s="44"/>
      <c r="S551" s="44"/>
      <c r="T551" s="44"/>
      <c r="U551" s="44"/>
      <c r="AJ551" s="44"/>
    </row>
    <row r="552" ht="15.75" customHeight="1">
      <c r="L552" s="44"/>
      <c r="O552" s="44"/>
      <c r="R552" s="44"/>
      <c r="S552" s="44"/>
      <c r="T552" s="44"/>
      <c r="U552" s="44"/>
      <c r="AJ552" s="44"/>
    </row>
    <row r="553" ht="15.75" customHeight="1">
      <c r="L553" s="44"/>
      <c r="O553" s="44"/>
      <c r="R553" s="44"/>
      <c r="S553" s="44"/>
      <c r="T553" s="44"/>
      <c r="U553" s="44"/>
      <c r="AJ553" s="44"/>
    </row>
    <row r="554" ht="15.75" customHeight="1">
      <c r="L554" s="44"/>
      <c r="O554" s="44"/>
      <c r="R554" s="44"/>
      <c r="S554" s="44"/>
      <c r="T554" s="44"/>
      <c r="U554" s="44"/>
      <c r="AJ554" s="44"/>
    </row>
    <row r="555" ht="15.75" customHeight="1">
      <c r="L555" s="44"/>
      <c r="O555" s="44"/>
      <c r="R555" s="44"/>
      <c r="S555" s="44"/>
      <c r="T555" s="44"/>
      <c r="U555" s="44"/>
      <c r="AJ555" s="44"/>
    </row>
    <row r="556" ht="15.75" customHeight="1">
      <c r="L556" s="44"/>
      <c r="O556" s="44"/>
      <c r="R556" s="44"/>
      <c r="S556" s="44"/>
      <c r="T556" s="44"/>
      <c r="U556" s="44"/>
      <c r="AJ556" s="44"/>
    </row>
    <row r="557" ht="15.75" customHeight="1">
      <c r="L557" s="44"/>
      <c r="O557" s="44"/>
      <c r="R557" s="44"/>
      <c r="S557" s="44"/>
      <c r="T557" s="44"/>
      <c r="U557" s="44"/>
      <c r="AJ557" s="44"/>
    </row>
    <row r="558" ht="15.75" customHeight="1">
      <c r="L558" s="44"/>
      <c r="O558" s="44"/>
      <c r="R558" s="44"/>
      <c r="S558" s="44"/>
      <c r="T558" s="44"/>
      <c r="U558" s="44"/>
      <c r="AJ558" s="44"/>
    </row>
    <row r="559" ht="15.75" customHeight="1">
      <c r="L559" s="44"/>
      <c r="O559" s="44"/>
      <c r="R559" s="44"/>
      <c r="S559" s="44"/>
      <c r="T559" s="44"/>
      <c r="U559" s="44"/>
      <c r="AJ559" s="44"/>
    </row>
    <row r="560" ht="15.75" customHeight="1">
      <c r="L560" s="44"/>
      <c r="O560" s="44"/>
      <c r="R560" s="44"/>
      <c r="S560" s="44"/>
      <c r="T560" s="44"/>
      <c r="U560" s="44"/>
      <c r="AJ560" s="44"/>
    </row>
    <row r="561" ht="15.75" customHeight="1">
      <c r="L561" s="44"/>
      <c r="O561" s="44"/>
      <c r="R561" s="44"/>
      <c r="S561" s="44"/>
      <c r="T561" s="44"/>
      <c r="U561" s="44"/>
      <c r="AJ561" s="44"/>
    </row>
    <row r="562" ht="15.75" customHeight="1">
      <c r="L562" s="44"/>
      <c r="O562" s="44"/>
      <c r="R562" s="44"/>
      <c r="S562" s="44"/>
      <c r="T562" s="44"/>
      <c r="U562" s="44"/>
      <c r="AJ562" s="44"/>
    </row>
    <row r="563" ht="15.75" customHeight="1">
      <c r="L563" s="44"/>
      <c r="O563" s="44"/>
      <c r="R563" s="44"/>
      <c r="S563" s="44"/>
      <c r="T563" s="44"/>
      <c r="U563" s="44"/>
      <c r="AJ563" s="44"/>
    </row>
    <row r="564" ht="15.75" customHeight="1">
      <c r="L564" s="44"/>
      <c r="O564" s="44"/>
      <c r="R564" s="44"/>
      <c r="S564" s="44"/>
      <c r="T564" s="44"/>
      <c r="U564" s="44"/>
      <c r="AJ564" s="44"/>
    </row>
    <row r="565" ht="15.75" customHeight="1">
      <c r="L565" s="44"/>
      <c r="O565" s="44"/>
      <c r="R565" s="44"/>
      <c r="S565" s="44"/>
      <c r="T565" s="44"/>
      <c r="U565" s="44"/>
      <c r="AJ565" s="44"/>
    </row>
    <row r="566" ht="15.75" customHeight="1">
      <c r="L566" s="44"/>
      <c r="O566" s="44"/>
      <c r="R566" s="44"/>
      <c r="S566" s="44"/>
      <c r="T566" s="44"/>
      <c r="U566" s="44"/>
      <c r="AJ566" s="44"/>
    </row>
    <row r="567" ht="15.75" customHeight="1">
      <c r="L567" s="44"/>
      <c r="O567" s="44"/>
      <c r="R567" s="44"/>
      <c r="S567" s="44"/>
      <c r="T567" s="44"/>
      <c r="U567" s="44"/>
      <c r="AJ567" s="44"/>
    </row>
    <row r="568" ht="15.75" customHeight="1">
      <c r="L568" s="44"/>
      <c r="O568" s="44"/>
      <c r="R568" s="44"/>
      <c r="S568" s="44"/>
      <c r="T568" s="44"/>
      <c r="U568" s="44"/>
      <c r="AJ568" s="44"/>
    </row>
    <row r="569" ht="15.75" customHeight="1">
      <c r="L569" s="44"/>
      <c r="O569" s="44"/>
      <c r="R569" s="44"/>
      <c r="S569" s="44"/>
      <c r="T569" s="44"/>
      <c r="U569" s="44"/>
      <c r="AJ569" s="44"/>
    </row>
    <row r="570" ht="15.75" customHeight="1">
      <c r="L570" s="44"/>
      <c r="O570" s="44"/>
      <c r="R570" s="44"/>
      <c r="S570" s="44"/>
      <c r="T570" s="44"/>
      <c r="U570" s="44"/>
      <c r="AJ570" s="44"/>
    </row>
    <row r="571" ht="15.75" customHeight="1">
      <c r="L571" s="44"/>
      <c r="O571" s="44"/>
      <c r="R571" s="44"/>
      <c r="S571" s="44"/>
      <c r="T571" s="44"/>
      <c r="U571" s="44"/>
      <c r="AJ571" s="44"/>
    </row>
    <row r="572" ht="15.75" customHeight="1">
      <c r="L572" s="44"/>
      <c r="O572" s="44"/>
      <c r="R572" s="44"/>
      <c r="S572" s="44"/>
      <c r="T572" s="44"/>
      <c r="U572" s="44"/>
      <c r="AJ572" s="44"/>
    </row>
    <row r="573" ht="15.75" customHeight="1">
      <c r="L573" s="44"/>
      <c r="O573" s="44"/>
      <c r="R573" s="44"/>
      <c r="S573" s="44"/>
      <c r="T573" s="44"/>
      <c r="U573" s="44"/>
      <c r="AJ573" s="44"/>
    </row>
    <row r="574" ht="15.75" customHeight="1">
      <c r="L574" s="44"/>
      <c r="O574" s="44"/>
      <c r="R574" s="44"/>
      <c r="S574" s="44"/>
      <c r="T574" s="44"/>
      <c r="U574" s="44"/>
      <c r="AJ574" s="44"/>
    </row>
    <row r="575" ht="15.75" customHeight="1">
      <c r="L575" s="44"/>
      <c r="O575" s="44"/>
      <c r="R575" s="44"/>
      <c r="S575" s="44"/>
      <c r="T575" s="44"/>
      <c r="U575" s="44"/>
      <c r="AJ575" s="44"/>
    </row>
    <row r="576" ht="15.75" customHeight="1">
      <c r="L576" s="44"/>
      <c r="O576" s="44"/>
      <c r="R576" s="44"/>
      <c r="S576" s="44"/>
      <c r="T576" s="44"/>
      <c r="U576" s="44"/>
      <c r="AJ576" s="44"/>
    </row>
    <row r="577" ht="15.75" customHeight="1">
      <c r="L577" s="44"/>
      <c r="O577" s="44"/>
      <c r="R577" s="44"/>
      <c r="S577" s="44"/>
      <c r="T577" s="44"/>
      <c r="U577" s="44"/>
      <c r="AJ577" s="44"/>
    </row>
    <row r="578" ht="15.75" customHeight="1">
      <c r="L578" s="44"/>
      <c r="O578" s="44"/>
      <c r="R578" s="44"/>
      <c r="S578" s="44"/>
      <c r="T578" s="44"/>
      <c r="U578" s="44"/>
      <c r="AJ578" s="44"/>
    </row>
    <row r="579" ht="15.75" customHeight="1">
      <c r="L579" s="44"/>
      <c r="O579" s="44"/>
      <c r="R579" s="44"/>
      <c r="S579" s="44"/>
      <c r="T579" s="44"/>
      <c r="U579" s="44"/>
      <c r="AJ579" s="44"/>
    </row>
    <row r="580" ht="15.75" customHeight="1">
      <c r="L580" s="44"/>
      <c r="O580" s="44"/>
      <c r="R580" s="44"/>
      <c r="S580" s="44"/>
      <c r="T580" s="44"/>
      <c r="U580" s="44"/>
      <c r="AJ580" s="44"/>
    </row>
    <row r="581" ht="15.75" customHeight="1">
      <c r="L581" s="44"/>
      <c r="O581" s="44"/>
      <c r="R581" s="44"/>
      <c r="S581" s="44"/>
      <c r="T581" s="44"/>
      <c r="U581" s="44"/>
      <c r="AJ581" s="44"/>
    </row>
    <row r="582" ht="15.75" customHeight="1">
      <c r="L582" s="44"/>
      <c r="O582" s="44"/>
      <c r="R582" s="44"/>
      <c r="S582" s="44"/>
      <c r="T582" s="44"/>
      <c r="U582" s="44"/>
      <c r="AJ582" s="44"/>
    </row>
    <row r="583" ht="15.75" customHeight="1">
      <c r="L583" s="44"/>
      <c r="O583" s="44"/>
      <c r="R583" s="44"/>
      <c r="S583" s="44"/>
      <c r="T583" s="44"/>
      <c r="U583" s="44"/>
      <c r="AJ583" s="44"/>
    </row>
    <row r="584" ht="15.75" customHeight="1">
      <c r="L584" s="44"/>
      <c r="O584" s="44"/>
      <c r="R584" s="44"/>
      <c r="S584" s="44"/>
      <c r="T584" s="44"/>
      <c r="U584" s="44"/>
      <c r="AJ584" s="44"/>
    </row>
    <row r="585" ht="15.75" customHeight="1">
      <c r="L585" s="44"/>
      <c r="O585" s="44"/>
      <c r="R585" s="44"/>
      <c r="S585" s="44"/>
      <c r="T585" s="44"/>
      <c r="U585" s="44"/>
      <c r="AJ585" s="44"/>
    </row>
    <row r="586" ht="15.75" customHeight="1">
      <c r="L586" s="44"/>
      <c r="O586" s="44"/>
      <c r="R586" s="44"/>
      <c r="S586" s="44"/>
      <c r="T586" s="44"/>
      <c r="U586" s="44"/>
      <c r="AJ586" s="44"/>
    </row>
    <row r="587" ht="15.75" customHeight="1">
      <c r="L587" s="44"/>
      <c r="O587" s="44"/>
      <c r="R587" s="44"/>
      <c r="S587" s="44"/>
      <c r="T587" s="44"/>
      <c r="U587" s="44"/>
      <c r="AJ587" s="44"/>
    </row>
    <row r="588" ht="15.75" customHeight="1">
      <c r="L588" s="44"/>
      <c r="O588" s="44"/>
      <c r="R588" s="44"/>
      <c r="S588" s="44"/>
      <c r="T588" s="44"/>
      <c r="U588" s="44"/>
      <c r="AJ588" s="44"/>
    </row>
    <row r="589" ht="15.75" customHeight="1">
      <c r="L589" s="44"/>
      <c r="O589" s="44"/>
      <c r="R589" s="44"/>
      <c r="S589" s="44"/>
      <c r="T589" s="44"/>
      <c r="U589" s="44"/>
      <c r="AJ589" s="44"/>
    </row>
    <row r="590" ht="15.75" customHeight="1">
      <c r="L590" s="44"/>
      <c r="O590" s="44"/>
      <c r="R590" s="44"/>
      <c r="S590" s="44"/>
      <c r="T590" s="44"/>
      <c r="U590" s="44"/>
      <c r="AJ590" s="44"/>
    </row>
    <row r="591" ht="15.75" customHeight="1">
      <c r="L591" s="44"/>
      <c r="O591" s="44"/>
      <c r="R591" s="44"/>
      <c r="S591" s="44"/>
      <c r="T591" s="44"/>
      <c r="U591" s="44"/>
      <c r="AJ591" s="44"/>
    </row>
    <row r="592" ht="15.75" customHeight="1">
      <c r="L592" s="44"/>
      <c r="O592" s="44"/>
      <c r="R592" s="44"/>
      <c r="S592" s="44"/>
      <c r="T592" s="44"/>
      <c r="U592" s="44"/>
      <c r="AJ592" s="44"/>
    </row>
    <row r="593" ht="15.75" customHeight="1">
      <c r="L593" s="44"/>
      <c r="O593" s="44"/>
      <c r="R593" s="44"/>
      <c r="S593" s="44"/>
      <c r="T593" s="44"/>
      <c r="U593" s="44"/>
      <c r="AJ593" s="44"/>
    </row>
    <row r="594" ht="15.75" customHeight="1">
      <c r="L594" s="44"/>
      <c r="O594" s="44"/>
      <c r="R594" s="44"/>
      <c r="S594" s="44"/>
      <c r="T594" s="44"/>
      <c r="U594" s="44"/>
      <c r="AJ594" s="44"/>
    </row>
    <row r="595" ht="15.75" customHeight="1">
      <c r="L595" s="44"/>
      <c r="O595" s="44"/>
      <c r="R595" s="44"/>
      <c r="S595" s="44"/>
      <c r="T595" s="44"/>
      <c r="U595" s="44"/>
      <c r="AJ595" s="44"/>
    </row>
    <row r="596" ht="15.75" customHeight="1">
      <c r="L596" s="44"/>
      <c r="O596" s="44"/>
      <c r="R596" s="44"/>
      <c r="S596" s="44"/>
      <c r="T596" s="44"/>
      <c r="U596" s="44"/>
      <c r="AJ596" s="44"/>
    </row>
    <row r="597" ht="15.75" customHeight="1">
      <c r="L597" s="44"/>
      <c r="O597" s="44"/>
      <c r="R597" s="44"/>
      <c r="S597" s="44"/>
      <c r="T597" s="44"/>
      <c r="U597" s="44"/>
      <c r="AJ597" s="44"/>
    </row>
    <row r="598" ht="15.75" customHeight="1">
      <c r="L598" s="44"/>
      <c r="O598" s="44"/>
      <c r="R598" s="44"/>
      <c r="S598" s="44"/>
      <c r="T598" s="44"/>
      <c r="U598" s="44"/>
      <c r="AJ598" s="44"/>
    </row>
    <row r="599" ht="15.75" customHeight="1">
      <c r="L599" s="44"/>
      <c r="O599" s="44"/>
      <c r="R599" s="44"/>
      <c r="S599" s="44"/>
      <c r="T599" s="44"/>
      <c r="U599" s="44"/>
      <c r="AJ599" s="44"/>
    </row>
    <row r="600" ht="15.75" customHeight="1">
      <c r="L600" s="44"/>
      <c r="O600" s="44"/>
      <c r="R600" s="44"/>
      <c r="S600" s="44"/>
      <c r="T600" s="44"/>
      <c r="U600" s="44"/>
      <c r="AJ600" s="44"/>
    </row>
    <row r="601" ht="15.75" customHeight="1">
      <c r="L601" s="44"/>
      <c r="O601" s="44"/>
      <c r="R601" s="44"/>
      <c r="S601" s="44"/>
      <c r="T601" s="44"/>
      <c r="U601" s="44"/>
      <c r="AJ601" s="44"/>
    </row>
    <row r="602" ht="15.75" customHeight="1">
      <c r="L602" s="44"/>
      <c r="O602" s="44"/>
      <c r="R602" s="44"/>
      <c r="S602" s="44"/>
      <c r="T602" s="44"/>
      <c r="U602" s="44"/>
      <c r="AJ602" s="44"/>
    </row>
    <row r="603" ht="15.75" customHeight="1">
      <c r="L603" s="44"/>
      <c r="O603" s="44"/>
      <c r="R603" s="44"/>
      <c r="S603" s="44"/>
      <c r="T603" s="44"/>
      <c r="U603" s="44"/>
      <c r="AJ603" s="44"/>
    </row>
    <row r="604" ht="15.75" customHeight="1">
      <c r="L604" s="44"/>
      <c r="O604" s="44"/>
      <c r="R604" s="44"/>
      <c r="S604" s="44"/>
      <c r="T604" s="44"/>
      <c r="U604" s="44"/>
      <c r="AJ604" s="44"/>
    </row>
    <row r="605" ht="15.75" customHeight="1">
      <c r="L605" s="44"/>
      <c r="O605" s="44"/>
      <c r="R605" s="44"/>
      <c r="S605" s="44"/>
      <c r="T605" s="44"/>
      <c r="U605" s="44"/>
      <c r="AJ605" s="44"/>
    </row>
    <row r="606" ht="15.75" customHeight="1">
      <c r="L606" s="44"/>
      <c r="O606" s="44"/>
      <c r="R606" s="44"/>
      <c r="S606" s="44"/>
      <c r="T606" s="44"/>
      <c r="U606" s="44"/>
      <c r="AJ606" s="44"/>
    </row>
    <row r="607" ht="15.75" customHeight="1">
      <c r="L607" s="44"/>
      <c r="O607" s="44"/>
      <c r="R607" s="44"/>
      <c r="S607" s="44"/>
      <c r="T607" s="44"/>
      <c r="U607" s="44"/>
      <c r="AJ607" s="44"/>
    </row>
    <row r="608" ht="15.75" customHeight="1">
      <c r="L608" s="44"/>
      <c r="O608" s="44"/>
      <c r="R608" s="44"/>
      <c r="S608" s="44"/>
      <c r="T608" s="44"/>
      <c r="U608" s="44"/>
      <c r="AJ608" s="44"/>
    </row>
    <row r="609" ht="15.75" customHeight="1">
      <c r="L609" s="44"/>
      <c r="O609" s="44"/>
      <c r="R609" s="44"/>
      <c r="S609" s="44"/>
      <c r="T609" s="44"/>
      <c r="U609" s="44"/>
      <c r="AJ609" s="44"/>
    </row>
    <row r="610" ht="15.75" customHeight="1">
      <c r="L610" s="44"/>
      <c r="O610" s="44"/>
      <c r="R610" s="44"/>
      <c r="S610" s="44"/>
      <c r="T610" s="44"/>
      <c r="U610" s="44"/>
      <c r="AJ610" s="44"/>
    </row>
    <row r="611" ht="15.75" customHeight="1">
      <c r="L611" s="44"/>
      <c r="O611" s="44"/>
      <c r="R611" s="44"/>
      <c r="S611" s="44"/>
      <c r="T611" s="44"/>
      <c r="U611" s="44"/>
      <c r="AJ611" s="44"/>
    </row>
    <row r="612" ht="15.75" customHeight="1">
      <c r="L612" s="44"/>
      <c r="O612" s="44"/>
      <c r="R612" s="44"/>
      <c r="S612" s="44"/>
      <c r="T612" s="44"/>
      <c r="U612" s="44"/>
      <c r="AJ612" s="44"/>
    </row>
    <row r="613" ht="15.75" customHeight="1">
      <c r="L613" s="44"/>
      <c r="O613" s="44"/>
      <c r="R613" s="44"/>
      <c r="S613" s="44"/>
      <c r="T613" s="44"/>
      <c r="U613" s="44"/>
      <c r="AJ613" s="44"/>
    </row>
    <row r="614" ht="15.75" customHeight="1">
      <c r="L614" s="44"/>
      <c r="O614" s="44"/>
      <c r="R614" s="44"/>
      <c r="S614" s="44"/>
      <c r="T614" s="44"/>
      <c r="U614" s="44"/>
      <c r="AJ614" s="44"/>
    </row>
    <row r="615" ht="15.75" customHeight="1">
      <c r="L615" s="44"/>
      <c r="O615" s="44"/>
      <c r="R615" s="44"/>
      <c r="S615" s="44"/>
      <c r="T615" s="44"/>
      <c r="U615" s="44"/>
      <c r="AJ615" s="44"/>
    </row>
    <row r="616" ht="15.75" customHeight="1">
      <c r="L616" s="44"/>
      <c r="O616" s="44"/>
      <c r="R616" s="44"/>
      <c r="S616" s="44"/>
      <c r="T616" s="44"/>
      <c r="U616" s="44"/>
      <c r="AJ616" s="44"/>
    </row>
    <row r="617" ht="15.75" customHeight="1">
      <c r="L617" s="44"/>
      <c r="O617" s="44"/>
      <c r="R617" s="44"/>
      <c r="S617" s="44"/>
      <c r="T617" s="44"/>
      <c r="U617" s="44"/>
      <c r="AJ617" s="44"/>
    </row>
    <row r="618" ht="15.75" customHeight="1">
      <c r="L618" s="44"/>
      <c r="O618" s="44"/>
      <c r="R618" s="44"/>
      <c r="S618" s="44"/>
      <c r="T618" s="44"/>
      <c r="U618" s="44"/>
      <c r="AJ618" s="44"/>
    </row>
    <row r="619" ht="15.75" customHeight="1">
      <c r="L619" s="44"/>
      <c r="O619" s="44"/>
      <c r="R619" s="44"/>
      <c r="S619" s="44"/>
      <c r="T619" s="44"/>
      <c r="U619" s="44"/>
      <c r="AJ619" s="44"/>
    </row>
    <row r="620" ht="15.75" customHeight="1">
      <c r="L620" s="44"/>
      <c r="O620" s="44"/>
      <c r="R620" s="44"/>
      <c r="S620" s="44"/>
      <c r="T620" s="44"/>
      <c r="U620" s="44"/>
      <c r="AJ620" s="44"/>
    </row>
    <row r="621" ht="15.75" customHeight="1">
      <c r="L621" s="44"/>
      <c r="O621" s="44"/>
      <c r="R621" s="44"/>
      <c r="S621" s="44"/>
      <c r="T621" s="44"/>
      <c r="U621" s="44"/>
      <c r="AJ621" s="44"/>
    </row>
    <row r="622" ht="15.75" customHeight="1">
      <c r="L622" s="44"/>
      <c r="O622" s="44"/>
      <c r="R622" s="44"/>
      <c r="S622" s="44"/>
      <c r="T622" s="44"/>
      <c r="U622" s="44"/>
      <c r="AJ622" s="44"/>
    </row>
    <row r="623" ht="15.75" customHeight="1">
      <c r="L623" s="44"/>
      <c r="O623" s="44"/>
      <c r="R623" s="44"/>
      <c r="S623" s="44"/>
      <c r="T623" s="44"/>
      <c r="U623" s="44"/>
      <c r="AJ623" s="44"/>
    </row>
    <row r="624" ht="15.75" customHeight="1">
      <c r="L624" s="44"/>
      <c r="O624" s="44"/>
      <c r="R624" s="44"/>
      <c r="S624" s="44"/>
      <c r="T624" s="44"/>
      <c r="U624" s="44"/>
      <c r="AJ624" s="44"/>
    </row>
    <row r="625" ht="15.75" customHeight="1">
      <c r="L625" s="44"/>
      <c r="O625" s="44"/>
      <c r="R625" s="44"/>
      <c r="S625" s="44"/>
      <c r="T625" s="44"/>
      <c r="U625" s="44"/>
      <c r="AJ625" s="44"/>
    </row>
    <row r="626" ht="15.75" customHeight="1">
      <c r="L626" s="44"/>
      <c r="O626" s="44"/>
      <c r="R626" s="44"/>
      <c r="S626" s="44"/>
      <c r="T626" s="44"/>
      <c r="U626" s="44"/>
      <c r="AJ626" s="44"/>
    </row>
    <row r="627" ht="15.75" customHeight="1">
      <c r="L627" s="44"/>
      <c r="O627" s="44"/>
      <c r="R627" s="44"/>
      <c r="S627" s="44"/>
      <c r="T627" s="44"/>
      <c r="U627" s="44"/>
      <c r="AJ627" s="44"/>
    </row>
    <row r="628" ht="15.75" customHeight="1">
      <c r="L628" s="44"/>
      <c r="O628" s="44"/>
      <c r="R628" s="44"/>
      <c r="S628" s="44"/>
      <c r="T628" s="44"/>
      <c r="U628" s="44"/>
      <c r="AJ628" s="44"/>
    </row>
    <row r="629" ht="15.75" customHeight="1">
      <c r="L629" s="44"/>
      <c r="O629" s="44"/>
      <c r="R629" s="44"/>
      <c r="S629" s="44"/>
      <c r="T629" s="44"/>
      <c r="U629" s="44"/>
      <c r="AJ629" s="44"/>
    </row>
    <row r="630" ht="15.75" customHeight="1">
      <c r="L630" s="44"/>
      <c r="O630" s="44"/>
      <c r="R630" s="44"/>
      <c r="S630" s="44"/>
      <c r="T630" s="44"/>
      <c r="U630" s="44"/>
      <c r="AJ630" s="44"/>
    </row>
    <row r="631" ht="15.75" customHeight="1">
      <c r="L631" s="44"/>
      <c r="O631" s="44"/>
      <c r="R631" s="44"/>
      <c r="S631" s="44"/>
      <c r="T631" s="44"/>
      <c r="U631" s="44"/>
      <c r="AJ631" s="44"/>
    </row>
    <row r="632" ht="15.75" customHeight="1">
      <c r="L632" s="44"/>
      <c r="O632" s="44"/>
      <c r="R632" s="44"/>
      <c r="S632" s="44"/>
      <c r="T632" s="44"/>
      <c r="U632" s="44"/>
      <c r="AJ632" s="44"/>
    </row>
    <row r="633" ht="15.75" customHeight="1">
      <c r="L633" s="44"/>
      <c r="O633" s="44"/>
      <c r="R633" s="44"/>
      <c r="S633" s="44"/>
      <c r="T633" s="44"/>
      <c r="U633" s="44"/>
      <c r="AJ633" s="44"/>
    </row>
    <row r="634" ht="15.75" customHeight="1">
      <c r="L634" s="44"/>
      <c r="O634" s="44"/>
      <c r="R634" s="44"/>
      <c r="S634" s="44"/>
      <c r="T634" s="44"/>
      <c r="U634" s="44"/>
      <c r="AJ634" s="44"/>
    </row>
    <row r="635" ht="15.75" customHeight="1">
      <c r="L635" s="44"/>
      <c r="O635" s="44"/>
      <c r="R635" s="44"/>
      <c r="S635" s="44"/>
      <c r="T635" s="44"/>
      <c r="U635" s="44"/>
      <c r="AJ635" s="44"/>
    </row>
    <row r="636" ht="15.75" customHeight="1">
      <c r="L636" s="44"/>
      <c r="O636" s="44"/>
      <c r="R636" s="44"/>
      <c r="S636" s="44"/>
      <c r="T636" s="44"/>
      <c r="U636" s="44"/>
      <c r="AJ636" s="44"/>
    </row>
    <row r="637" ht="15.75" customHeight="1">
      <c r="L637" s="44"/>
      <c r="O637" s="44"/>
      <c r="R637" s="44"/>
      <c r="S637" s="44"/>
      <c r="T637" s="44"/>
      <c r="U637" s="44"/>
      <c r="AJ637" s="44"/>
    </row>
    <row r="638" ht="15.75" customHeight="1">
      <c r="L638" s="44"/>
      <c r="O638" s="44"/>
      <c r="R638" s="44"/>
      <c r="S638" s="44"/>
      <c r="T638" s="44"/>
      <c r="U638" s="44"/>
      <c r="AJ638" s="44"/>
    </row>
    <row r="639" ht="15.75" customHeight="1">
      <c r="L639" s="44"/>
      <c r="O639" s="44"/>
      <c r="R639" s="44"/>
      <c r="S639" s="44"/>
      <c r="T639" s="44"/>
      <c r="U639" s="44"/>
      <c r="AJ639" s="44"/>
    </row>
    <row r="640" ht="15.75" customHeight="1">
      <c r="L640" s="44"/>
      <c r="O640" s="44"/>
      <c r="R640" s="44"/>
      <c r="S640" s="44"/>
      <c r="T640" s="44"/>
      <c r="U640" s="44"/>
      <c r="AJ640" s="44"/>
    </row>
    <row r="641" ht="15.75" customHeight="1">
      <c r="L641" s="44"/>
      <c r="O641" s="44"/>
      <c r="R641" s="44"/>
      <c r="S641" s="44"/>
      <c r="T641" s="44"/>
      <c r="U641" s="44"/>
      <c r="AJ641" s="44"/>
    </row>
    <row r="642" ht="15.75" customHeight="1">
      <c r="L642" s="44"/>
      <c r="O642" s="44"/>
      <c r="R642" s="44"/>
      <c r="S642" s="44"/>
      <c r="T642" s="44"/>
      <c r="U642" s="44"/>
      <c r="AJ642" s="44"/>
    </row>
    <row r="643" ht="15.75" customHeight="1">
      <c r="L643" s="44"/>
      <c r="O643" s="44"/>
      <c r="R643" s="44"/>
      <c r="S643" s="44"/>
      <c r="T643" s="44"/>
      <c r="U643" s="44"/>
      <c r="AJ643" s="44"/>
    </row>
    <row r="644" ht="15.75" customHeight="1">
      <c r="L644" s="44"/>
      <c r="O644" s="44"/>
      <c r="R644" s="44"/>
      <c r="S644" s="44"/>
      <c r="T644" s="44"/>
      <c r="U644" s="44"/>
      <c r="AJ644" s="44"/>
    </row>
    <row r="645" ht="15.75" customHeight="1">
      <c r="L645" s="44"/>
      <c r="O645" s="44"/>
      <c r="R645" s="44"/>
      <c r="S645" s="44"/>
      <c r="T645" s="44"/>
      <c r="U645" s="44"/>
      <c r="AJ645" s="44"/>
    </row>
    <row r="646" ht="15.75" customHeight="1">
      <c r="L646" s="44"/>
      <c r="O646" s="44"/>
      <c r="R646" s="44"/>
      <c r="S646" s="44"/>
      <c r="T646" s="44"/>
      <c r="U646" s="44"/>
      <c r="AJ646" s="44"/>
    </row>
    <row r="647" ht="15.75" customHeight="1">
      <c r="L647" s="44"/>
      <c r="O647" s="44"/>
      <c r="R647" s="44"/>
      <c r="S647" s="44"/>
      <c r="T647" s="44"/>
      <c r="U647" s="44"/>
      <c r="AJ647" s="44"/>
    </row>
    <row r="648" ht="15.75" customHeight="1">
      <c r="L648" s="44"/>
      <c r="O648" s="44"/>
      <c r="R648" s="44"/>
      <c r="S648" s="44"/>
      <c r="T648" s="44"/>
      <c r="U648" s="44"/>
      <c r="AJ648" s="44"/>
    </row>
    <row r="649" ht="15.75" customHeight="1">
      <c r="L649" s="44"/>
      <c r="O649" s="44"/>
      <c r="R649" s="44"/>
      <c r="S649" s="44"/>
      <c r="T649" s="44"/>
      <c r="U649" s="44"/>
      <c r="AJ649" s="44"/>
    </row>
    <row r="650" ht="15.75" customHeight="1">
      <c r="L650" s="44"/>
      <c r="O650" s="44"/>
      <c r="R650" s="44"/>
      <c r="S650" s="44"/>
      <c r="T650" s="44"/>
      <c r="U650" s="44"/>
      <c r="AJ650" s="44"/>
    </row>
    <row r="651" ht="15.75" customHeight="1">
      <c r="L651" s="44"/>
      <c r="O651" s="44"/>
      <c r="R651" s="44"/>
      <c r="S651" s="44"/>
      <c r="T651" s="44"/>
      <c r="U651" s="44"/>
      <c r="AJ651" s="44"/>
    </row>
    <row r="652" ht="15.75" customHeight="1">
      <c r="L652" s="44"/>
      <c r="O652" s="44"/>
      <c r="R652" s="44"/>
      <c r="S652" s="44"/>
      <c r="T652" s="44"/>
      <c r="U652" s="44"/>
      <c r="AJ652" s="44"/>
    </row>
    <row r="653" ht="15.75" customHeight="1">
      <c r="L653" s="44"/>
      <c r="O653" s="44"/>
      <c r="R653" s="44"/>
      <c r="S653" s="44"/>
      <c r="T653" s="44"/>
      <c r="U653" s="44"/>
      <c r="AJ653" s="44"/>
    </row>
    <row r="654" ht="15.75" customHeight="1">
      <c r="L654" s="44"/>
      <c r="O654" s="44"/>
      <c r="R654" s="44"/>
      <c r="S654" s="44"/>
      <c r="T654" s="44"/>
      <c r="U654" s="44"/>
      <c r="AJ654" s="44"/>
    </row>
    <row r="655" ht="15.75" customHeight="1">
      <c r="L655" s="44"/>
      <c r="O655" s="44"/>
      <c r="R655" s="44"/>
      <c r="S655" s="44"/>
      <c r="T655" s="44"/>
      <c r="U655" s="44"/>
      <c r="AJ655" s="44"/>
    </row>
    <row r="656" ht="15.75" customHeight="1">
      <c r="L656" s="44"/>
      <c r="O656" s="44"/>
      <c r="R656" s="44"/>
      <c r="S656" s="44"/>
      <c r="T656" s="44"/>
      <c r="U656" s="44"/>
      <c r="AJ656" s="44"/>
    </row>
    <row r="657" ht="15.75" customHeight="1">
      <c r="L657" s="44"/>
      <c r="O657" s="44"/>
      <c r="R657" s="44"/>
      <c r="S657" s="44"/>
      <c r="T657" s="44"/>
      <c r="U657" s="44"/>
      <c r="AJ657" s="44"/>
    </row>
    <row r="658" ht="15.75" customHeight="1">
      <c r="L658" s="44"/>
      <c r="O658" s="44"/>
      <c r="R658" s="44"/>
      <c r="S658" s="44"/>
      <c r="T658" s="44"/>
      <c r="U658" s="44"/>
      <c r="AJ658" s="44"/>
    </row>
    <row r="659" ht="15.75" customHeight="1">
      <c r="L659" s="44"/>
      <c r="O659" s="44"/>
      <c r="R659" s="44"/>
      <c r="S659" s="44"/>
      <c r="T659" s="44"/>
      <c r="U659" s="44"/>
      <c r="AJ659" s="44"/>
    </row>
    <row r="660" ht="15.75" customHeight="1">
      <c r="L660" s="44"/>
      <c r="O660" s="44"/>
      <c r="R660" s="44"/>
      <c r="S660" s="44"/>
      <c r="T660" s="44"/>
      <c r="U660" s="44"/>
      <c r="AJ660" s="44"/>
    </row>
    <row r="661" ht="15.75" customHeight="1">
      <c r="L661" s="44"/>
      <c r="O661" s="44"/>
      <c r="R661" s="44"/>
      <c r="S661" s="44"/>
      <c r="T661" s="44"/>
      <c r="U661" s="44"/>
      <c r="AJ661" s="44"/>
    </row>
    <row r="662" ht="15.75" customHeight="1">
      <c r="L662" s="44"/>
      <c r="O662" s="44"/>
      <c r="R662" s="44"/>
      <c r="S662" s="44"/>
      <c r="T662" s="44"/>
      <c r="U662" s="44"/>
      <c r="AJ662" s="44"/>
    </row>
    <row r="663" ht="15.75" customHeight="1">
      <c r="L663" s="44"/>
      <c r="O663" s="44"/>
      <c r="R663" s="44"/>
      <c r="S663" s="44"/>
      <c r="T663" s="44"/>
      <c r="U663" s="44"/>
      <c r="AJ663" s="44"/>
    </row>
    <row r="664" ht="15.75" customHeight="1">
      <c r="L664" s="44"/>
      <c r="O664" s="44"/>
      <c r="R664" s="44"/>
      <c r="S664" s="44"/>
      <c r="T664" s="44"/>
      <c r="U664" s="44"/>
      <c r="AJ664" s="44"/>
    </row>
    <row r="665" ht="15.75" customHeight="1">
      <c r="L665" s="44"/>
      <c r="O665" s="44"/>
      <c r="R665" s="44"/>
      <c r="S665" s="44"/>
      <c r="T665" s="44"/>
      <c r="U665" s="44"/>
      <c r="AJ665" s="44"/>
    </row>
    <row r="666" ht="15.75" customHeight="1">
      <c r="L666" s="44"/>
      <c r="O666" s="44"/>
      <c r="R666" s="44"/>
      <c r="S666" s="44"/>
      <c r="T666" s="44"/>
      <c r="U666" s="44"/>
      <c r="AJ666" s="44"/>
    </row>
    <row r="667" ht="15.75" customHeight="1">
      <c r="L667" s="44"/>
      <c r="O667" s="44"/>
      <c r="R667" s="44"/>
      <c r="S667" s="44"/>
      <c r="T667" s="44"/>
      <c r="U667" s="44"/>
      <c r="AJ667" s="44"/>
    </row>
    <row r="668" ht="15.75" customHeight="1">
      <c r="L668" s="44"/>
      <c r="O668" s="44"/>
      <c r="R668" s="44"/>
      <c r="S668" s="44"/>
      <c r="T668" s="44"/>
      <c r="U668" s="44"/>
      <c r="AJ668" s="44"/>
    </row>
    <row r="669" ht="15.75" customHeight="1">
      <c r="L669" s="44"/>
      <c r="O669" s="44"/>
      <c r="R669" s="44"/>
      <c r="S669" s="44"/>
      <c r="T669" s="44"/>
      <c r="U669" s="44"/>
      <c r="AJ669" s="44"/>
    </row>
    <row r="670" ht="15.75" customHeight="1">
      <c r="L670" s="44"/>
      <c r="O670" s="44"/>
      <c r="R670" s="44"/>
      <c r="S670" s="44"/>
      <c r="T670" s="44"/>
      <c r="U670" s="44"/>
      <c r="AJ670" s="44"/>
    </row>
    <row r="671" ht="15.75" customHeight="1">
      <c r="L671" s="44"/>
      <c r="O671" s="44"/>
      <c r="R671" s="44"/>
      <c r="S671" s="44"/>
      <c r="T671" s="44"/>
      <c r="U671" s="44"/>
      <c r="AJ671" s="44"/>
    </row>
    <row r="672" ht="15.75" customHeight="1">
      <c r="L672" s="44"/>
      <c r="O672" s="44"/>
      <c r="R672" s="44"/>
      <c r="S672" s="44"/>
      <c r="T672" s="44"/>
      <c r="U672" s="44"/>
      <c r="AJ672" s="44"/>
    </row>
    <row r="673" ht="15.75" customHeight="1">
      <c r="L673" s="44"/>
      <c r="O673" s="44"/>
      <c r="R673" s="44"/>
      <c r="S673" s="44"/>
      <c r="T673" s="44"/>
      <c r="U673" s="44"/>
      <c r="AJ673" s="44"/>
    </row>
    <row r="674" ht="15.75" customHeight="1">
      <c r="L674" s="44"/>
      <c r="O674" s="44"/>
      <c r="R674" s="44"/>
      <c r="S674" s="44"/>
      <c r="T674" s="44"/>
      <c r="U674" s="44"/>
      <c r="AJ674" s="44"/>
    </row>
    <row r="675" ht="15.75" customHeight="1">
      <c r="L675" s="44"/>
      <c r="O675" s="44"/>
      <c r="R675" s="44"/>
      <c r="S675" s="44"/>
      <c r="T675" s="44"/>
      <c r="U675" s="44"/>
      <c r="AJ675" s="44"/>
    </row>
    <row r="676" ht="15.75" customHeight="1">
      <c r="L676" s="44"/>
      <c r="O676" s="44"/>
      <c r="R676" s="44"/>
      <c r="S676" s="44"/>
      <c r="T676" s="44"/>
      <c r="U676" s="44"/>
      <c r="AJ676" s="44"/>
    </row>
    <row r="677" ht="15.75" customHeight="1">
      <c r="L677" s="44"/>
      <c r="O677" s="44"/>
      <c r="R677" s="44"/>
      <c r="S677" s="44"/>
      <c r="T677" s="44"/>
      <c r="U677" s="44"/>
      <c r="AJ677" s="44"/>
    </row>
    <row r="678" ht="15.75" customHeight="1">
      <c r="L678" s="44"/>
      <c r="O678" s="44"/>
      <c r="R678" s="44"/>
      <c r="S678" s="44"/>
      <c r="T678" s="44"/>
      <c r="U678" s="44"/>
      <c r="AJ678" s="44"/>
    </row>
    <row r="679" ht="15.75" customHeight="1">
      <c r="L679" s="44"/>
      <c r="O679" s="44"/>
      <c r="R679" s="44"/>
      <c r="S679" s="44"/>
      <c r="T679" s="44"/>
      <c r="U679" s="44"/>
      <c r="AJ679" s="44"/>
    </row>
    <row r="680" ht="15.75" customHeight="1">
      <c r="L680" s="44"/>
      <c r="O680" s="44"/>
      <c r="R680" s="44"/>
      <c r="S680" s="44"/>
      <c r="T680" s="44"/>
      <c r="U680" s="44"/>
      <c r="AJ680" s="44"/>
    </row>
    <row r="681" ht="15.75" customHeight="1">
      <c r="L681" s="44"/>
      <c r="O681" s="44"/>
      <c r="R681" s="44"/>
      <c r="S681" s="44"/>
      <c r="T681" s="44"/>
      <c r="U681" s="44"/>
      <c r="AJ681" s="44"/>
    </row>
    <row r="682" ht="15.75" customHeight="1">
      <c r="L682" s="44"/>
      <c r="O682" s="44"/>
      <c r="R682" s="44"/>
      <c r="S682" s="44"/>
      <c r="T682" s="44"/>
      <c r="U682" s="44"/>
      <c r="AJ682" s="44"/>
    </row>
    <row r="683" ht="15.75" customHeight="1">
      <c r="L683" s="44"/>
      <c r="O683" s="44"/>
      <c r="R683" s="44"/>
      <c r="S683" s="44"/>
      <c r="T683" s="44"/>
      <c r="U683" s="44"/>
      <c r="AJ683" s="44"/>
    </row>
    <row r="684" ht="15.75" customHeight="1">
      <c r="L684" s="44"/>
      <c r="O684" s="44"/>
      <c r="R684" s="44"/>
      <c r="S684" s="44"/>
      <c r="T684" s="44"/>
      <c r="U684" s="44"/>
      <c r="AJ684" s="44"/>
    </row>
    <row r="685" ht="15.75" customHeight="1">
      <c r="L685" s="44"/>
      <c r="O685" s="44"/>
      <c r="R685" s="44"/>
      <c r="S685" s="44"/>
      <c r="T685" s="44"/>
      <c r="U685" s="44"/>
      <c r="AJ685" s="44"/>
    </row>
    <row r="686" ht="15.75" customHeight="1">
      <c r="L686" s="44"/>
      <c r="O686" s="44"/>
      <c r="R686" s="44"/>
      <c r="S686" s="44"/>
      <c r="T686" s="44"/>
      <c r="U686" s="44"/>
      <c r="AJ686" s="44"/>
    </row>
    <row r="687" ht="15.75" customHeight="1">
      <c r="L687" s="44"/>
      <c r="O687" s="44"/>
      <c r="R687" s="44"/>
      <c r="S687" s="44"/>
      <c r="T687" s="44"/>
      <c r="U687" s="44"/>
      <c r="AJ687" s="44"/>
    </row>
    <row r="688" ht="15.75" customHeight="1">
      <c r="L688" s="44"/>
      <c r="O688" s="44"/>
      <c r="R688" s="44"/>
      <c r="S688" s="44"/>
      <c r="T688" s="44"/>
      <c r="U688" s="44"/>
      <c r="AJ688" s="44"/>
    </row>
    <row r="689" ht="15.75" customHeight="1">
      <c r="L689" s="44"/>
      <c r="O689" s="44"/>
      <c r="R689" s="44"/>
      <c r="S689" s="44"/>
      <c r="T689" s="44"/>
      <c r="U689" s="44"/>
      <c r="AJ689" s="44"/>
    </row>
    <row r="690" ht="15.75" customHeight="1">
      <c r="L690" s="44"/>
      <c r="O690" s="44"/>
      <c r="R690" s="44"/>
      <c r="S690" s="44"/>
      <c r="T690" s="44"/>
      <c r="U690" s="44"/>
      <c r="AJ690" s="44"/>
    </row>
    <row r="691" ht="15.75" customHeight="1">
      <c r="L691" s="44"/>
      <c r="O691" s="44"/>
      <c r="R691" s="44"/>
      <c r="S691" s="44"/>
      <c r="T691" s="44"/>
      <c r="U691" s="44"/>
      <c r="AJ691" s="44"/>
    </row>
    <row r="692" ht="15.75" customHeight="1">
      <c r="L692" s="44"/>
      <c r="O692" s="44"/>
      <c r="R692" s="44"/>
      <c r="S692" s="44"/>
      <c r="T692" s="44"/>
      <c r="U692" s="44"/>
      <c r="AJ692" s="44"/>
    </row>
    <row r="693" ht="15.75" customHeight="1">
      <c r="L693" s="44"/>
      <c r="O693" s="44"/>
      <c r="R693" s="44"/>
      <c r="S693" s="44"/>
      <c r="T693" s="44"/>
      <c r="U693" s="44"/>
      <c r="AJ693" s="44"/>
    </row>
    <row r="694" ht="15.75" customHeight="1">
      <c r="L694" s="44"/>
      <c r="O694" s="44"/>
      <c r="R694" s="44"/>
      <c r="S694" s="44"/>
      <c r="T694" s="44"/>
      <c r="U694" s="44"/>
      <c r="AJ694" s="44"/>
    </row>
    <row r="695" ht="15.75" customHeight="1">
      <c r="L695" s="44"/>
      <c r="O695" s="44"/>
      <c r="R695" s="44"/>
      <c r="S695" s="44"/>
      <c r="T695" s="44"/>
      <c r="U695" s="44"/>
      <c r="AJ695" s="44"/>
    </row>
    <row r="696" ht="15.75" customHeight="1">
      <c r="L696" s="44"/>
      <c r="O696" s="44"/>
      <c r="R696" s="44"/>
      <c r="S696" s="44"/>
      <c r="T696" s="44"/>
      <c r="U696" s="44"/>
      <c r="AJ696" s="44"/>
    </row>
    <row r="697" ht="15.75" customHeight="1">
      <c r="L697" s="44"/>
      <c r="O697" s="44"/>
      <c r="R697" s="44"/>
      <c r="S697" s="44"/>
      <c r="T697" s="44"/>
      <c r="U697" s="44"/>
      <c r="AJ697" s="44"/>
    </row>
    <row r="698" ht="15.75" customHeight="1">
      <c r="L698" s="44"/>
      <c r="O698" s="44"/>
      <c r="R698" s="44"/>
      <c r="S698" s="44"/>
      <c r="T698" s="44"/>
      <c r="U698" s="44"/>
      <c r="AJ698" s="44"/>
    </row>
    <row r="699" ht="15.75" customHeight="1">
      <c r="L699" s="44"/>
      <c r="O699" s="44"/>
      <c r="R699" s="44"/>
      <c r="S699" s="44"/>
      <c r="T699" s="44"/>
      <c r="U699" s="44"/>
      <c r="AJ699" s="44"/>
    </row>
    <row r="700" ht="15.75" customHeight="1">
      <c r="L700" s="44"/>
      <c r="O700" s="44"/>
      <c r="R700" s="44"/>
      <c r="S700" s="44"/>
      <c r="T700" s="44"/>
      <c r="U700" s="44"/>
      <c r="AJ700" s="44"/>
    </row>
    <row r="701" ht="15.75" customHeight="1">
      <c r="L701" s="44"/>
      <c r="O701" s="44"/>
      <c r="R701" s="44"/>
      <c r="S701" s="44"/>
      <c r="T701" s="44"/>
      <c r="U701" s="44"/>
      <c r="AJ701" s="44"/>
    </row>
    <row r="702" ht="15.75" customHeight="1">
      <c r="L702" s="44"/>
      <c r="O702" s="44"/>
      <c r="R702" s="44"/>
      <c r="S702" s="44"/>
      <c r="T702" s="44"/>
      <c r="U702" s="44"/>
      <c r="AJ702" s="44"/>
    </row>
    <row r="703" ht="15.75" customHeight="1">
      <c r="L703" s="44"/>
      <c r="O703" s="44"/>
      <c r="R703" s="44"/>
      <c r="S703" s="44"/>
      <c r="T703" s="44"/>
      <c r="U703" s="44"/>
      <c r="AJ703" s="44"/>
    </row>
    <row r="704" ht="15.75" customHeight="1">
      <c r="L704" s="44"/>
      <c r="O704" s="44"/>
      <c r="R704" s="44"/>
      <c r="S704" s="44"/>
      <c r="T704" s="44"/>
      <c r="U704" s="44"/>
      <c r="AJ704" s="44"/>
    </row>
    <row r="705" ht="15.75" customHeight="1">
      <c r="L705" s="44"/>
      <c r="O705" s="44"/>
      <c r="R705" s="44"/>
      <c r="S705" s="44"/>
      <c r="T705" s="44"/>
      <c r="U705" s="44"/>
      <c r="AJ705" s="44"/>
    </row>
    <row r="706" ht="15.75" customHeight="1">
      <c r="L706" s="44"/>
      <c r="O706" s="44"/>
      <c r="R706" s="44"/>
      <c r="S706" s="44"/>
      <c r="T706" s="44"/>
      <c r="U706" s="44"/>
      <c r="AJ706" s="44"/>
    </row>
    <row r="707" ht="15.75" customHeight="1">
      <c r="L707" s="44"/>
      <c r="O707" s="44"/>
      <c r="R707" s="44"/>
      <c r="S707" s="44"/>
      <c r="T707" s="44"/>
      <c r="U707" s="44"/>
      <c r="AJ707" s="44"/>
    </row>
    <row r="708" ht="15.75" customHeight="1">
      <c r="L708" s="44"/>
      <c r="O708" s="44"/>
      <c r="R708" s="44"/>
      <c r="S708" s="44"/>
      <c r="T708" s="44"/>
      <c r="U708" s="44"/>
      <c r="AJ708" s="44"/>
    </row>
    <row r="709" ht="15.75" customHeight="1">
      <c r="L709" s="44"/>
      <c r="O709" s="44"/>
      <c r="R709" s="44"/>
      <c r="S709" s="44"/>
      <c r="T709" s="44"/>
      <c r="U709" s="44"/>
      <c r="AJ709" s="44"/>
    </row>
    <row r="710" ht="15.75" customHeight="1">
      <c r="L710" s="44"/>
      <c r="O710" s="44"/>
      <c r="R710" s="44"/>
      <c r="S710" s="44"/>
      <c r="T710" s="44"/>
      <c r="U710" s="44"/>
      <c r="AJ710" s="44"/>
    </row>
    <row r="711" ht="15.75" customHeight="1">
      <c r="L711" s="44"/>
      <c r="O711" s="44"/>
      <c r="R711" s="44"/>
      <c r="S711" s="44"/>
      <c r="T711" s="44"/>
      <c r="U711" s="44"/>
      <c r="AJ711" s="44"/>
    </row>
    <row r="712" ht="15.75" customHeight="1">
      <c r="L712" s="44"/>
      <c r="O712" s="44"/>
      <c r="R712" s="44"/>
      <c r="S712" s="44"/>
      <c r="T712" s="44"/>
      <c r="U712" s="44"/>
      <c r="AJ712" s="44"/>
    </row>
    <row r="713" ht="15.75" customHeight="1">
      <c r="L713" s="44"/>
      <c r="O713" s="44"/>
      <c r="R713" s="44"/>
      <c r="S713" s="44"/>
      <c r="T713" s="44"/>
      <c r="U713" s="44"/>
      <c r="AJ713" s="44"/>
    </row>
    <row r="714" ht="15.75" customHeight="1">
      <c r="L714" s="44"/>
      <c r="O714" s="44"/>
      <c r="R714" s="44"/>
      <c r="S714" s="44"/>
      <c r="T714" s="44"/>
      <c r="U714" s="44"/>
      <c r="AJ714" s="44"/>
    </row>
    <row r="715" ht="15.75" customHeight="1">
      <c r="L715" s="44"/>
      <c r="O715" s="44"/>
      <c r="R715" s="44"/>
      <c r="S715" s="44"/>
      <c r="T715" s="44"/>
      <c r="U715" s="44"/>
      <c r="AJ715" s="44"/>
    </row>
    <row r="716" ht="15.75" customHeight="1">
      <c r="L716" s="44"/>
      <c r="O716" s="44"/>
      <c r="R716" s="44"/>
      <c r="S716" s="44"/>
      <c r="T716" s="44"/>
      <c r="U716" s="44"/>
      <c r="AJ716" s="44"/>
    </row>
    <row r="717" ht="15.75" customHeight="1">
      <c r="L717" s="44"/>
      <c r="O717" s="44"/>
      <c r="R717" s="44"/>
      <c r="S717" s="44"/>
      <c r="T717" s="44"/>
      <c r="U717" s="44"/>
      <c r="AJ717" s="44"/>
    </row>
    <row r="718" ht="15.75" customHeight="1">
      <c r="L718" s="44"/>
      <c r="O718" s="44"/>
      <c r="R718" s="44"/>
      <c r="S718" s="44"/>
      <c r="T718" s="44"/>
      <c r="U718" s="44"/>
      <c r="AJ718" s="44"/>
    </row>
    <row r="719" ht="15.75" customHeight="1">
      <c r="L719" s="44"/>
      <c r="O719" s="44"/>
      <c r="R719" s="44"/>
      <c r="S719" s="44"/>
      <c r="T719" s="44"/>
      <c r="U719" s="44"/>
      <c r="AJ719" s="44"/>
    </row>
    <row r="720" ht="15.75" customHeight="1">
      <c r="L720" s="44"/>
      <c r="O720" s="44"/>
      <c r="R720" s="44"/>
      <c r="S720" s="44"/>
      <c r="T720" s="44"/>
      <c r="U720" s="44"/>
      <c r="AJ720" s="44"/>
    </row>
    <row r="721" ht="15.75" customHeight="1">
      <c r="L721" s="44"/>
      <c r="O721" s="44"/>
      <c r="R721" s="44"/>
      <c r="S721" s="44"/>
      <c r="T721" s="44"/>
      <c r="U721" s="44"/>
      <c r="AJ721" s="44"/>
    </row>
    <row r="722" ht="15.75" customHeight="1">
      <c r="L722" s="44"/>
      <c r="O722" s="44"/>
      <c r="R722" s="44"/>
      <c r="S722" s="44"/>
      <c r="T722" s="44"/>
      <c r="U722" s="44"/>
      <c r="AJ722" s="44"/>
    </row>
    <row r="723" ht="15.75" customHeight="1">
      <c r="L723" s="44"/>
      <c r="O723" s="44"/>
      <c r="R723" s="44"/>
      <c r="S723" s="44"/>
      <c r="T723" s="44"/>
      <c r="U723" s="44"/>
      <c r="AJ723" s="44"/>
    </row>
    <row r="724" ht="15.75" customHeight="1">
      <c r="L724" s="44"/>
      <c r="O724" s="44"/>
      <c r="R724" s="44"/>
      <c r="S724" s="44"/>
      <c r="T724" s="44"/>
      <c r="U724" s="44"/>
      <c r="AJ724" s="44"/>
    </row>
    <row r="725" ht="15.75" customHeight="1">
      <c r="L725" s="44"/>
      <c r="O725" s="44"/>
      <c r="R725" s="44"/>
      <c r="S725" s="44"/>
      <c r="T725" s="44"/>
      <c r="U725" s="44"/>
      <c r="AJ725" s="44"/>
    </row>
    <row r="726" ht="15.75" customHeight="1">
      <c r="L726" s="44"/>
      <c r="O726" s="44"/>
      <c r="R726" s="44"/>
      <c r="S726" s="44"/>
      <c r="T726" s="44"/>
      <c r="U726" s="44"/>
      <c r="AJ726" s="44"/>
    </row>
    <row r="727" ht="15.75" customHeight="1">
      <c r="L727" s="44"/>
      <c r="O727" s="44"/>
      <c r="R727" s="44"/>
      <c r="S727" s="44"/>
      <c r="T727" s="44"/>
      <c r="U727" s="44"/>
      <c r="AJ727" s="44"/>
    </row>
    <row r="728" ht="15.75" customHeight="1">
      <c r="L728" s="44"/>
      <c r="O728" s="44"/>
      <c r="R728" s="44"/>
      <c r="S728" s="44"/>
      <c r="T728" s="44"/>
      <c r="U728" s="44"/>
      <c r="AJ728" s="44"/>
    </row>
    <row r="729" ht="15.75" customHeight="1">
      <c r="L729" s="44"/>
      <c r="O729" s="44"/>
      <c r="R729" s="44"/>
      <c r="S729" s="44"/>
      <c r="T729" s="44"/>
      <c r="U729" s="44"/>
      <c r="AJ729" s="44"/>
    </row>
    <row r="730" ht="15.75" customHeight="1">
      <c r="L730" s="44"/>
      <c r="O730" s="44"/>
      <c r="R730" s="44"/>
      <c r="S730" s="44"/>
      <c r="T730" s="44"/>
      <c r="U730" s="44"/>
      <c r="AJ730" s="44"/>
    </row>
    <row r="731" ht="15.75" customHeight="1">
      <c r="L731" s="44"/>
      <c r="O731" s="44"/>
      <c r="R731" s="44"/>
      <c r="S731" s="44"/>
      <c r="T731" s="44"/>
      <c r="U731" s="44"/>
      <c r="AJ731" s="44"/>
    </row>
    <row r="732" ht="15.75" customHeight="1">
      <c r="L732" s="44"/>
      <c r="O732" s="44"/>
      <c r="R732" s="44"/>
      <c r="S732" s="44"/>
      <c r="T732" s="44"/>
      <c r="U732" s="44"/>
      <c r="AJ732" s="44"/>
    </row>
    <row r="733" ht="15.75" customHeight="1">
      <c r="L733" s="44"/>
      <c r="O733" s="44"/>
      <c r="R733" s="44"/>
      <c r="S733" s="44"/>
      <c r="T733" s="44"/>
      <c r="U733" s="44"/>
      <c r="AJ733" s="44"/>
    </row>
    <row r="734" ht="15.75" customHeight="1">
      <c r="L734" s="44"/>
      <c r="O734" s="44"/>
      <c r="R734" s="44"/>
      <c r="S734" s="44"/>
      <c r="T734" s="44"/>
      <c r="U734" s="44"/>
      <c r="AJ734" s="44"/>
    </row>
    <row r="735" ht="15.75" customHeight="1">
      <c r="L735" s="44"/>
      <c r="O735" s="44"/>
      <c r="R735" s="44"/>
      <c r="S735" s="44"/>
      <c r="T735" s="44"/>
      <c r="U735" s="44"/>
      <c r="AJ735" s="44"/>
    </row>
    <row r="736" ht="15.75" customHeight="1">
      <c r="L736" s="44"/>
      <c r="O736" s="44"/>
      <c r="R736" s="44"/>
      <c r="S736" s="44"/>
      <c r="T736" s="44"/>
      <c r="U736" s="44"/>
      <c r="AJ736" s="44"/>
    </row>
    <row r="737" ht="15.75" customHeight="1">
      <c r="L737" s="44"/>
      <c r="O737" s="44"/>
      <c r="R737" s="44"/>
      <c r="S737" s="44"/>
      <c r="T737" s="44"/>
      <c r="U737" s="44"/>
      <c r="AJ737" s="44"/>
    </row>
    <row r="738" ht="15.75" customHeight="1">
      <c r="L738" s="44"/>
      <c r="O738" s="44"/>
      <c r="R738" s="44"/>
      <c r="S738" s="44"/>
      <c r="T738" s="44"/>
      <c r="U738" s="44"/>
      <c r="AJ738" s="44"/>
    </row>
    <row r="739" ht="15.75" customHeight="1">
      <c r="L739" s="44"/>
      <c r="O739" s="44"/>
      <c r="R739" s="44"/>
      <c r="S739" s="44"/>
      <c r="T739" s="44"/>
      <c r="U739" s="44"/>
      <c r="AJ739" s="44"/>
    </row>
    <row r="740" ht="15.75" customHeight="1">
      <c r="L740" s="44"/>
      <c r="O740" s="44"/>
      <c r="R740" s="44"/>
      <c r="S740" s="44"/>
      <c r="T740" s="44"/>
      <c r="U740" s="44"/>
      <c r="AJ740" s="44"/>
    </row>
    <row r="741" ht="15.75" customHeight="1">
      <c r="L741" s="44"/>
      <c r="O741" s="44"/>
      <c r="R741" s="44"/>
      <c r="S741" s="44"/>
      <c r="T741" s="44"/>
      <c r="U741" s="44"/>
      <c r="AJ741" s="44"/>
    </row>
    <row r="742" ht="15.75" customHeight="1">
      <c r="L742" s="44"/>
      <c r="O742" s="44"/>
      <c r="R742" s="44"/>
      <c r="S742" s="44"/>
      <c r="T742" s="44"/>
      <c r="U742" s="44"/>
      <c r="AJ742" s="44"/>
    </row>
    <row r="743" ht="15.75" customHeight="1">
      <c r="L743" s="44"/>
      <c r="O743" s="44"/>
      <c r="R743" s="44"/>
      <c r="S743" s="44"/>
      <c r="T743" s="44"/>
      <c r="U743" s="44"/>
      <c r="AJ743" s="44"/>
    </row>
    <row r="744" ht="15.75" customHeight="1">
      <c r="L744" s="44"/>
      <c r="O744" s="44"/>
      <c r="R744" s="44"/>
      <c r="S744" s="44"/>
      <c r="T744" s="44"/>
      <c r="U744" s="44"/>
      <c r="AJ744" s="44"/>
    </row>
    <row r="745" ht="15.75" customHeight="1">
      <c r="L745" s="44"/>
      <c r="O745" s="44"/>
      <c r="R745" s="44"/>
      <c r="S745" s="44"/>
      <c r="T745" s="44"/>
      <c r="U745" s="44"/>
      <c r="AJ745" s="44"/>
    </row>
    <row r="746" ht="15.75" customHeight="1">
      <c r="L746" s="44"/>
      <c r="O746" s="44"/>
      <c r="R746" s="44"/>
      <c r="S746" s="44"/>
      <c r="T746" s="44"/>
      <c r="U746" s="44"/>
      <c r="AJ746" s="44"/>
    </row>
    <row r="747" ht="15.75" customHeight="1">
      <c r="L747" s="44"/>
      <c r="O747" s="44"/>
      <c r="R747" s="44"/>
      <c r="S747" s="44"/>
      <c r="T747" s="44"/>
      <c r="U747" s="44"/>
      <c r="AJ747" s="44"/>
    </row>
    <row r="748" ht="15.75" customHeight="1">
      <c r="L748" s="44"/>
      <c r="O748" s="44"/>
      <c r="R748" s="44"/>
      <c r="S748" s="44"/>
      <c r="T748" s="44"/>
      <c r="U748" s="44"/>
      <c r="AJ748" s="44"/>
    </row>
    <row r="749" ht="15.75" customHeight="1">
      <c r="L749" s="44"/>
      <c r="O749" s="44"/>
      <c r="R749" s="44"/>
      <c r="S749" s="44"/>
      <c r="T749" s="44"/>
      <c r="U749" s="44"/>
      <c r="AJ749" s="44"/>
    </row>
    <row r="750" ht="15.75" customHeight="1">
      <c r="L750" s="44"/>
      <c r="O750" s="44"/>
      <c r="R750" s="44"/>
      <c r="S750" s="44"/>
      <c r="T750" s="44"/>
      <c r="U750" s="44"/>
      <c r="AJ750" s="44"/>
    </row>
    <row r="751" ht="15.75" customHeight="1">
      <c r="L751" s="44"/>
      <c r="O751" s="44"/>
      <c r="R751" s="44"/>
      <c r="S751" s="44"/>
      <c r="T751" s="44"/>
      <c r="U751" s="44"/>
      <c r="AJ751" s="44"/>
    </row>
    <row r="752" ht="15.75" customHeight="1">
      <c r="L752" s="44"/>
      <c r="O752" s="44"/>
      <c r="R752" s="44"/>
      <c r="S752" s="44"/>
      <c r="T752" s="44"/>
      <c r="U752" s="44"/>
      <c r="AJ752" s="44"/>
    </row>
    <row r="753" ht="15.75" customHeight="1">
      <c r="L753" s="44"/>
      <c r="O753" s="44"/>
      <c r="R753" s="44"/>
      <c r="S753" s="44"/>
      <c r="T753" s="44"/>
      <c r="U753" s="44"/>
      <c r="AJ753" s="44"/>
    </row>
    <row r="754" ht="15.75" customHeight="1">
      <c r="L754" s="44"/>
      <c r="O754" s="44"/>
      <c r="R754" s="44"/>
      <c r="S754" s="44"/>
      <c r="T754" s="44"/>
      <c r="U754" s="44"/>
      <c r="AJ754" s="44"/>
    </row>
    <row r="755" ht="15.75" customHeight="1">
      <c r="L755" s="44"/>
      <c r="O755" s="44"/>
      <c r="R755" s="44"/>
      <c r="S755" s="44"/>
      <c r="T755" s="44"/>
      <c r="U755" s="44"/>
      <c r="AJ755" s="44"/>
    </row>
    <row r="756" ht="15.75" customHeight="1">
      <c r="L756" s="44"/>
      <c r="O756" s="44"/>
      <c r="R756" s="44"/>
      <c r="S756" s="44"/>
      <c r="T756" s="44"/>
      <c r="U756" s="44"/>
      <c r="AJ756" s="44"/>
    </row>
    <row r="757" ht="15.75" customHeight="1">
      <c r="L757" s="44"/>
      <c r="O757" s="44"/>
      <c r="R757" s="44"/>
      <c r="S757" s="44"/>
      <c r="T757" s="44"/>
      <c r="U757" s="44"/>
      <c r="AJ757" s="44"/>
    </row>
    <row r="758" ht="15.75" customHeight="1">
      <c r="L758" s="44"/>
      <c r="O758" s="44"/>
      <c r="R758" s="44"/>
      <c r="S758" s="44"/>
      <c r="T758" s="44"/>
      <c r="U758" s="44"/>
      <c r="AJ758" s="44"/>
    </row>
    <row r="759" ht="15.75" customHeight="1">
      <c r="L759" s="44"/>
      <c r="O759" s="44"/>
      <c r="R759" s="44"/>
      <c r="S759" s="44"/>
      <c r="T759" s="44"/>
      <c r="U759" s="44"/>
      <c r="AJ759" s="44"/>
    </row>
    <row r="760" ht="15.75" customHeight="1">
      <c r="L760" s="44"/>
      <c r="O760" s="44"/>
      <c r="R760" s="44"/>
      <c r="S760" s="44"/>
      <c r="T760" s="44"/>
      <c r="U760" s="44"/>
      <c r="AJ760" s="44"/>
    </row>
    <row r="761" ht="15.75" customHeight="1">
      <c r="L761" s="44"/>
      <c r="O761" s="44"/>
      <c r="R761" s="44"/>
      <c r="S761" s="44"/>
      <c r="T761" s="44"/>
      <c r="U761" s="44"/>
      <c r="AJ761" s="44"/>
    </row>
    <row r="762" ht="15.75" customHeight="1">
      <c r="L762" s="44"/>
      <c r="O762" s="44"/>
      <c r="R762" s="44"/>
      <c r="S762" s="44"/>
      <c r="T762" s="44"/>
      <c r="U762" s="44"/>
      <c r="AJ762" s="44"/>
    </row>
    <row r="763" ht="15.75" customHeight="1">
      <c r="L763" s="44"/>
      <c r="O763" s="44"/>
      <c r="R763" s="44"/>
      <c r="S763" s="44"/>
      <c r="T763" s="44"/>
      <c r="U763" s="44"/>
      <c r="AJ763" s="44"/>
    </row>
    <row r="764" ht="15.75" customHeight="1">
      <c r="L764" s="44"/>
      <c r="O764" s="44"/>
      <c r="R764" s="44"/>
      <c r="S764" s="44"/>
      <c r="T764" s="44"/>
      <c r="U764" s="44"/>
      <c r="AJ764" s="44"/>
    </row>
    <row r="765" ht="15.75" customHeight="1">
      <c r="L765" s="44"/>
      <c r="O765" s="44"/>
      <c r="R765" s="44"/>
      <c r="S765" s="44"/>
      <c r="T765" s="44"/>
      <c r="U765" s="44"/>
      <c r="AJ765" s="44"/>
    </row>
    <row r="766" ht="15.75" customHeight="1">
      <c r="L766" s="44"/>
      <c r="O766" s="44"/>
      <c r="R766" s="44"/>
      <c r="S766" s="44"/>
      <c r="T766" s="44"/>
      <c r="U766" s="44"/>
      <c r="AJ766" s="44"/>
    </row>
    <row r="767" ht="15.75" customHeight="1">
      <c r="L767" s="44"/>
      <c r="O767" s="44"/>
      <c r="R767" s="44"/>
      <c r="S767" s="44"/>
      <c r="T767" s="44"/>
      <c r="U767" s="44"/>
      <c r="AJ767" s="44"/>
    </row>
    <row r="768" ht="15.75" customHeight="1">
      <c r="L768" s="44"/>
      <c r="O768" s="44"/>
      <c r="R768" s="44"/>
      <c r="S768" s="44"/>
      <c r="T768" s="44"/>
      <c r="U768" s="44"/>
      <c r="AJ768" s="44"/>
    </row>
    <row r="769" ht="15.75" customHeight="1">
      <c r="L769" s="44"/>
      <c r="O769" s="44"/>
      <c r="R769" s="44"/>
      <c r="S769" s="44"/>
      <c r="T769" s="44"/>
      <c r="U769" s="44"/>
      <c r="AJ769" s="44"/>
    </row>
    <row r="770" ht="15.75" customHeight="1">
      <c r="L770" s="44"/>
      <c r="O770" s="44"/>
      <c r="R770" s="44"/>
      <c r="S770" s="44"/>
      <c r="T770" s="44"/>
      <c r="U770" s="44"/>
      <c r="AJ770" s="44"/>
    </row>
    <row r="771" ht="15.75" customHeight="1">
      <c r="L771" s="44"/>
      <c r="O771" s="44"/>
      <c r="R771" s="44"/>
      <c r="S771" s="44"/>
      <c r="T771" s="44"/>
      <c r="U771" s="44"/>
      <c r="AJ771" s="44"/>
    </row>
    <row r="772" ht="15.75" customHeight="1">
      <c r="L772" s="44"/>
      <c r="O772" s="44"/>
      <c r="R772" s="44"/>
      <c r="S772" s="44"/>
      <c r="T772" s="44"/>
      <c r="U772" s="44"/>
      <c r="AJ772" s="44"/>
    </row>
    <row r="773" ht="15.75" customHeight="1">
      <c r="L773" s="44"/>
      <c r="O773" s="44"/>
      <c r="R773" s="44"/>
      <c r="S773" s="44"/>
      <c r="T773" s="44"/>
      <c r="U773" s="44"/>
      <c r="AJ773" s="44"/>
    </row>
    <row r="774" ht="15.75" customHeight="1">
      <c r="L774" s="44"/>
      <c r="O774" s="44"/>
      <c r="R774" s="44"/>
      <c r="S774" s="44"/>
      <c r="T774" s="44"/>
      <c r="U774" s="44"/>
      <c r="AJ774" s="44"/>
    </row>
    <row r="775" ht="15.75" customHeight="1">
      <c r="L775" s="44"/>
      <c r="O775" s="44"/>
      <c r="R775" s="44"/>
      <c r="S775" s="44"/>
      <c r="T775" s="44"/>
      <c r="U775" s="44"/>
      <c r="AJ775" s="44"/>
    </row>
    <row r="776" ht="15.75" customHeight="1">
      <c r="L776" s="44"/>
      <c r="O776" s="44"/>
      <c r="R776" s="44"/>
      <c r="S776" s="44"/>
      <c r="T776" s="44"/>
      <c r="U776" s="44"/>
      <c r="AJ776" s="44"/>
    </row>
    <row r="777" ht="15.75" customHeight="1">
      <c r="L777" s="44"/>
      <c r="O777" s="44"/>
      <c r="R777" s="44"/>
      <c r="S777" s="44"/>
      <c r="T777" s="44"/>
      <c r="U777" s="44"/>
      <c r="AJ777" s="44"/>
    </row>
    <row r="778" ht="15.75" customHeight="1">
      <c r="L778" s="44"/>
      <c r="O778" s="44"/>
      <c r="R778" s="44"/>
      <c r="S778" s="44"/>
      <c r="T778" s="44"/>
      <c r="U778" s="44"/>
      <c r="AJ778" s="44"/>
    </row>
    <row r="779" ht="15.75" customHeight="1">
      <c r="L779" s="44"/>
      <c r="O779" s="44"/>
      <c r="R779" s="44"/>
      <c r="S779" s="44"/>
      <c r="T779" s="44"/>
      <c r="U779" s="44"/>
      <c r="AJ779" s="44"/>
    </row>
    <row r="780" ht="15.75" customHeight="1">
      <c r="L780" s="44"/>
      <c r="O780" s="44"/>
      <c r="R780" s="44"/>
      <c r="S780" s="44"/>
      <c r="T780" s="44"/>
      <c r="U780" s="44"/>
      <c r="AJ780" s="44"/>
    </row>
    <row r="781" ht="15.75" customHeight="1">
      <c r="L781" s="44"/>
      <c r="O781" s="44"/>
      <c r="R781" s="44"/>
      <c r="S781" s="44"/>
      <c r="T781" s="44"/>
      <c r="U781" s="44"/>
      <c r="AJ781" s="44"/>
    </row>
    <row r="782" ht="15.75" customHeight="1">
      <c r="L782" s="44"/>
      <c r="O782" s="44"/>
      <c r="R782" s="44"/>
      <c r="S782" s="44"/>
      <c r="T782" s="44"/>
      <c r="U782" s="44"/>
      <c r="AJ782" s="44"/>
    </row>
    <row r="783" ht="15.75" customHeight="1">
      <c r="L783" s="44"/>
      <c r="O783" s="44"/>
      <c r="R783" s="44"/>
      <c r="S783" s="44"/>
      <c r="T783" s="44"/>
      <c r="U783" s="44"/>
      <c r="AJ783" s="44"/>
    </row>
    <row r="784" ht="15.75" customHeight="1">
      <c r="L784" s="44"/>
      <c r="O784" s="44"/>
      <c r="R784" s="44"/>
      <c r="S784" s="44"/>
      <c r="T784" s="44"/>
      <c r="U784" s="44"/>
      <c r="AJ784" s="44"/>
    </row>
    <row r="785" ht="15.75" customHeight="1">
      <c r="L785" s="44"/>
      <c r="O785" s="44"/>
      <c r="R785" s="44"/>
      <c r="S785" s="44"/>
      <c r="T785" s="44"/>
      <c r="U785" s="44"/>
      <c r="AJ785" s="44"/>
    </row>
    <row r="786" ht="15.75" customHeight="1">
      <c r="L786" s="44"/>
      <c r="O786" s="44"/>
      <c r="R786" s="44"/>
      <c r="S786" s="44"/>
      <c r="T786" s="44"/>
      <c r="U786" s="44"/>
      <c r="AJ786" s="44"/>
    </row>
    <row r="787" ht="15.75" customHeight="1">
      <c r="L787" s="44"/>
      <c r="O787" s="44"/>
      <c r="R787" s="44"/>
      <c r="S787" s="44"/>
      <c r="T787" s="44"/>
      <c r="U787" s="44"/>
      <c r="AJ787" s="44"/>
    </row>
    <row r="788" ht="15.75" customHeight="1">
      <c r="L788" s="44"/>
      <c r="O788" s="44"/>
      <c r="R788" s="44"/>
      <c r="S788" s="44"/>
      <c r="T788" s="44"/>
      <c r="U788" s="44"/>
      <c r="AJ788" s="44"/>
    </row>
    <row r="789" ht="15.75" customHeight="1">
      <c r="L789" s="44"/>
      <c r="O789" s="44"/>
      <c r="R789" s="44"/>
      <c r="S789" s="44"/>
      <c r="T789" s="44"/>
      <c r="U789" s="44"/>
      <c r="AJ789" s="44"/>
    </row>
    <row r="790" ht="15.75" customHeight="1">
      <c r="L790" s="44"/>
      <c r="O790" s="44"/>
      <c r="R790" s="44"/>
      <c r="S790" s="44"/>
      <c r="T790" s="44"/>
      <c r="U790" s="44"/>
      <c r="AJ790" s="44"/>
    </row>
    <row r="791" ht="15.75" customHeight="1">
      <c r="L791" s="44"/>
      <c r="O791" s="44"/>
      <c r="R791" s="44"/>
      <c r="S791" s="44"/>
      <c r="T791" s="44"/>
      <c r="U791" s="44"/>
      <c r="AJ791" s="44"/>
    </row>
    <row r="792" ht="15.75" customHeight="1">
      <c r="L792" s="44"/>
      <c r="O792" s="44"/>
      <c r="R792" s="44"/>
      <c r="S792" s="44"/>
      <c r="T792" s="44"/>
      <c r="U792" s="44"/>
      <c r="AJ792" s="44"/>
    </row>
    <row r="793" ht="15.75" customHeight="1">
      <c r="L793" s="44"/>
      <c r="O793" s="44"/>
      <c r="R793" s="44"/>
      <c r="S793" s="44"/>
      <c r="T793" s="44"/>
      <c r="U793" s="44"/>
      <c r="AJ793" s="44"/>
    </row>
    <row r="794" ht="15.75" customHeight="1">
      <c r="L794" s="44"/>
      <c r="O794" s="44"/>
      <c r="R794" s="44"/>
      <c r="S794" s="44"/>
      <c r="T794" s="44"/>
      <c r="U794" s="44"/>
      <c r="AJ794" s="44"/>
    </row>
    <row r="795" ht="15.75" customHeight="1">
      <c r="L795" s="44"/>
      <c r="O795" s="44"/>
      <c r="R795" s="44"/>
      <c r="S795" s="44"/>
      <c r="T795" s="44"/>
      <c r="U795" s="44"/>
      <c r="AJ795" s="44"/>
    </row>
    <row r="796" ht="15.75" customHeight="1">
      <c r="L796" s="44"/>
      <c r="O796" s="44"/>
      <c r="R796" s="44"/>
      <c r="S796" s="44"/>
      <c r="T796" s="44"/>
      <c r="U796" s="44"/>
      <c r="AJ796" s="44"/>
    </row>
    <row r="797" ht="15.75" customHeight="1">
      <c r="L797" s="44"/>
      <c r="O797" s="44"/>
      <c r="R797" s="44"/>
      <c r="S797" s="44"/>
      <c r="T797" s="44"/>
      <c r="U797" s="44"/>
      <c r="AJ797" s="44"/>
    </row>
    <row r="798" ht="15.75" customHeight="1">
      <c r="L798" s="44"/>
      <c r="O798" s="44"/>
      <c r="R798" s="44"/>
      <c r="S798" s="44"/>
      <c r="T798" s="44"/>
      <c r="U798" s="44"/>
      <c r="AJ798" s="44"/>
    </row>
    <row r="799" ht="15.75" customHeight="1">
      <c r="L799" s="44"/>
      <c r="O799" s="44"/>
      <c r="R799" s="44"/>
      <c r="S799" s="44"/>
      <c r="T799" s="44"/>
      <c r="U799" s="44"/>
      <c r="AJ799" s="44"/>
    </row>
    <row r="800" ht="15.75" customHeight="1">
      <c r="L800" s="44"/>
      <c r="O800" s="44"/>
      <c r="R800" s="44"/>
      <c r="S800" s="44"/>
      <c r="T800" s="44"/>
      <c r="U800" s="44"/>
      <c r="AJ800" s="44"/>
    </row>
    <row r="801" ht="15.75" customHeight="1">
      <c r="L801" s="44"/>
      <c r="O801" s="44"/>
      <c r="R801" s="44"/>
      <c r="S801" s="44"/>
      <c r="T801" s="44"/>
      <c r="U801" s="44"/>
      <c r="AJ801" s="44"/>
    </row>
    <row r="802" ht="15.75" customHeight="1">
      <c r="L802" s="44"/>
      <c r="O802" s="44"/>
      <c r="R802" s="44"/>
      <c r="S802" s="44"/>
      <c r="T802" s="44"/>
      <c r="U802" s="44"/>
      <c r="AJ802" s="44"/>
    </row>
    <row r="803" ht="15.75" customHeight="1">
      <c r="L803" s="44"/>
      <c r="O803" s="44"/>
      <c r="R803" s="44"/>
      <c r="S803" s="44"/>
      <c r="T803" s="44"/>
      <c r="U803" s="44"/>
      <c r="AJ803" s="44"/>
    </row>
    <row r="804" ht="15.75" customHeight="1">
      <c r="L804" s="44"/>
      <c r="O804" s="44"/>
      <c r="R804" s="44"/>
      <c r="S804" s="44"/>
      <c r="T804" s="44"/>
      <c r="U804" s="44"/>
      <c r="AJ804" s="44"/>
    </row>
    <row r="805" ht="15.75" customHeight="1">
      <c r="L805" s="44"/>
      <c r="O805" s="44"/>
      <c r="R805" s="44"/>
      <c r="S805" s="44"/>
      <c r="T805" s="44"/>
      <c r="U805" s="44"/>
      <c r="AJ805" s="44"/>
    </row>
    <row r="806" ht="15.75" customHeight="1">
      <c r="L806" s="44"/>
      <c r="O806" s="44"/>
      <c r="R806" s="44"/>
      <c r="S806" s="44"/>
      <c r="T806" s="44"/>
      <c r="U806" s="44"/>
      <c r="AJ806" s="44"/>
    </row>
    <row r="807" ht="15.75" customHeight="1">
      <c r="L807" s="44"/>
      <c r="O807" s="44"/>
      <c r="R807" s="44"/>
      <c r="S807" s="44"/>
      <c r="T807" s="44"/>
      <c r="U807" s="44"/>
      <c r="AJ807" s="44"/>
    </row>
    <row r="808" ht="15.75" customHeight="1">
      <c r="L808" s="44"/>
      <c r="O808" s="44"/>
      <c r="R808" s="44"/>
      <c r="S808" s="44"/>
      <c r="T808" s="44"/>
      <c r="U808" s="44"/>
      <c r="AJ808" s="44"/>
    </row>
    <row r="809" ht="15.75" customHeight="1">
      <c r="L809" s="44"/>
      <c r="O809" s="44"/>
      <c r="R809" s="44"/>
      <c r="S809" s="44"/>
      <c r="T809" s="44"/>
      <c r="U809" s="44"/>
      <c r="AJ809" s="44"/>
    </row>
    <row r="810" ht="15.75" customHeight="1">
      <c r="L810" s="44"/>
      <c r="O810" s="44"/>
      <c r="R810" s="44"/>
      <c r="S810" s="44"/>
      <c r="T810" s="44"/>
      <c r="U810" s="44"/>
      <c r="AJ810" s="44"/>
    </row>
    <row r="811" ht="15.75" customHeight="1">
      <c r="L811" s="44"/>
      <c r="O811" s="44"/>
      <c r="R811" s="44"/>
      <c r="S811" s="44"/>
      <c r="T811" s="44"/>
      <c r="U811" s="44"/>
      <c r="AJ811" s="44"/>
    </row>
    <row r="812" ht="15.75" customHeight="1">
      <c r="L812" s="44"/>
      <c r="O812" s="44"/>
      <c r="R812" s="44"/>
      <c r="S812" s="44"/>
      <c r="T812" s="44"/>
      <c r="U812" s="44"/>
      <c r="AJ812" s="44"/>
    </row>
    <row r="813" ht="15.75" customHeight="1">
      <c r="L813" s="44"/>
      <c r="O813" s="44"/>
      <c r="R813" s="44"/>
      <c r="S813" s="44"/>
      <c r="T813" s="44"/>
      <c r="U813" s="44"/>
      <c r="AJ813" s="44"/>
    </row>
    <row r="814" ht="15.75" customHeight="1">
      <c r="L814" s="44"/>
      <c r="O814" s="44"/>
      <c r="R814" s="44"/>
      <c r="S814" s="44"/>
      <c r="T814" s="44"/>
      <c r="U814" s="44"/>
      <c r="AJ814" s="44"/>
    </row>
    <row r="815" ht="15.75" customHeight="1">
      <c r="L815" s="44"/>
      <c r="O815" s="44"/>
      <c r="R815" s="44"/>
      <c r="S815" s="44"/>
      <c r="T815" s="44"/>
      <c r="U815" s="44"/>
      <c r="AJ815" s="44"/>
    </row>
    <row r="816" ht="15.75" customHeight="1">
      <c r="L816" s="44"/>
      <c r="O816" s="44"/>
      <c r="R816" s="44"/>
      <c r="S816" s="44"/>
      <c r="T816" s="44"/>
      <c r="U816" s="44"/>
      <c r="AJ816" s="44"/>
    </row>
    <row r="817" ht="15.75" customHeight="1">
      <c r="L817" s="44"/>
      <c r="O817" s="44"/>
      <c r="R817" s="44"/>
      <c r="S817" s="44"/>
      <c r="T817" s="44"/>
      <c r="U817" s="44"/>
      <c r="AJ817" s="44"/>
    </row>
    <row r="818" ht="15.75" customHeight="1">
      <c r="L818" s="44"/>
      <c r="O818" s="44"/>
      <c r="R818" s="44"/>
      <c r="S818" s="44"/>
      <c r="T818" s="44"/>
      <c r="U818" s="44"/>
      <c r="AJ818" s="44"/>
    </row>
    <row r="819" ht="15.75" customHeight="1">
      <c r="L819" s="44"/>
      <c r="O819" s="44"/>
      <c r="R819" s="44"/>
      <c r="S819" s="44"/>
      <c r="T819" s="44"/>
      <c r="U819" s="44"/>
      <c r="AJ819" s="44"/>
    </row>
    <row r="820" ht="15.75" customHeight="1">
      <c r="L820" s="44"/>
      <c r="O820" s="44"/>
      <c r="R820" s="44"/>
      <c r="S820" s="44"/>
      <c r="T820" s="44"/>
      <c r="U820" s="44"/>
      <c r="AJ820" s="44"/>
    </row>
    <row r="821" ht="15.75" customHeight="1">
      <c r="L821" s="44"/>
      <c r="O821" s="44"/>
      <c r="R821" s="44"/>
      <c r="S821" s="44"/>
      <c r="T821" s="44"/>
      <c r="U821" s="44"/>
      <c r="AJ821" s="44"/>
    </row>
    <row r="822" ht="15.75" customHeight="1">
      <c r="L822" s="44"/>
      <c r="O822" s="44"/>
      <c r="R822" s="44"/>
      <c r="S822" s="44"/>
      <c r="T822" s="44"/>
      <c r="U822" s="44"/>
      <c r="AJ822" s="44"/>
    </row>
    <row r="823" ht="15.75" customHeight="1">
      <c r="L823" s="44"/>
      <c r="O823" s="44"/>
      <c r="R823" s="44"/>
      <c r="S823" s="44"/>
      <c r="T823" s="44"/>
      <c r="U823" s="44"/>
      <c r="AJ823" s="44"/>
    </row>
    <row r="824" ht="15.75" customHeight="1">
      <c r="L824" s="44"/>
      <c r="O824" s="44"/>
      <c r="R824" s="44"/>
      <c r="S824" s="44"/>
      <c r="T824" s="44"/>
      <c r="U824" s="44"/>
      <c r="AJ824" s="44"/>
    </row>
    <row r="825" ht="15.75" customHeight="1">
      <c r="L825" s="44"/>
      <c r="O825" s="44"/>
      <c r="R825" s="44"/>
      <c r="S825" s="44"/>
      <c r="T825" s="44"/>
      <c r="U825" s="44"/>
      <c r="AJ825" s="44"/>
    </row>
    <row r="826" ht="15.75" customHeight="1">
      <c r="L826" s="44"/>
      <c r="O826" s="44"/>
      <c r="R826" s="44"/>
      <c r="S826" s="44"/>
      <c r="T826" s="44"/>
      <c r="U826" s="44"/>
      <c r="AJ826" s="44"/>
    </row>
    <row r="827" ht="15.75" customHeight="1">
      <c r="L827" s="44"/>
      <c r="O827" s="44"/>
      <c r="R827" s="44"/>
      <c r="S827" s="44"/>
      <c r="T827" s="44"/>
      <c r="U827" s="44"/>
      <c r="AJ827" s="44"/>
    </row>
    <row r="828" ht="15.75" customHeight="1">
      <c r="L828" s="44"/>
      <c r="O828" s="44"/>
      <c r="R828" s="44"/>
      <c r="S828" s="44"/>
      <c r="T828" s="44"/>
      <c r="U828" s="44"/>
      <c r="AJ828" s="44"/>
    </row>
    <row r="829" ht="15.75" customHeight="1">
      <c r="L829" s="44"/>
      <c r="O829" s="44"/>
      <c r="R829" s="44"/>
      <c r="S829" s="44"/>
      <c r="T829" s="44"/>
      <c r="U829" s="44"/>
      <c r="AJ829" s="44"/>
    </row>
    <row r="830" ht="15.75" customHeight="1">
      <c r="L830" s="44"/>
      <c r="O830" s="44"/>
      <c r="R830" s="44"/>
      <c r="S830" s="44"/>
      <c r="T830" s="44"/>
      <c r="U830" s="44"/>
      <c r="AJ830" s="44"/>
    </row>
    <row r="831" ht="15.75" customHeight="1">
      <c r="L831" s="44"/>
      <c r="O831" s="44"/>
      <c r="R831" s="44"/>
      <c r="S831" s="44"/>
      <c r="T831" s="44"/>
      <c r="U831" s="44"/>
      <c r="AJ831" s="44"/>
    </row>
    <row r="832" ht="15.75" customHeight="1">
      <c r="L832" s="44"/>
      <c r="O832" s="44"/>
      <c r="R832" s="44"/>
      <c r="S832" s="44"/>
      <c r="T832" s="44"/>
      <c r="U832" s="44"/>
      <c r="AJ832" s="44"/>
    </row>
    <row r="833" ht="15.75" customHeight="1">
      <c r="L833" s="44"/>
      <c r="O833" s="44"/>
      <c r="R833" s="44"/>
      <c r="S833" s="44"/>
      <c r="T833" s="44"/>
      <c r="U833" s="44"/>
      <c r="AJ833" s="44"/>
    </row>
    <row r="834" ht="15.75" customHeight="1">
      <c r="L834" s="44"/>
      <c r="O834" s="44"/>
      <c r="R834" s="44"/>
      <c r="S834" s="44"/>
      <c r="T834" s="44"/>
      <c r="U834" s="44"/>
      <c r="AJ834" s="44"/>
    </row>
    <row r="835" ht="15.75" customHeight="1">
      <c r="L835" s="44"/>
      <c r="O835" s="44"/>
      <c r="R835" s="44"/>
      <c r="S835" s="44"/>
      <c r="T835" s="44"/>
      <c r="U835" s="44"/>
      <c r="AJ835" s="44"/>
    </row>
    <row r="836" ht="15.75" customHeight="1">
      <c r="L836" s="44"/>
      <c r="O836" s="44"/>
      <c r="R836" s="44"/>
      <c r="S836" s="44"/>
      <c r="T836" s="44"/>
      <c r="U836" s="44"/>
      <c r="AJ836" s="44"/>
    </row>
    <row r="837" ht="15.75" customHeight="1">
      <c r="L837" s="44"/>
      <c r="O837" s="44"/>
      <c r="R837" s="44"/>
      <c r="S837" s="44"/>
      <c r="T837" s="44"/>
      <c r="U837" s="44"/>
      <c r="AJ837" s="44"/>
    </row>
    <row r="838" ht="15.75" customHeight="1">
      <c r="L838" s="44"/>
      <c r="O838" s="44"/>
      <c r="R838" s="44"/>
      <c r="S838" s="44"/>
      <c r="T838" s="44"/>
      <c r="U838" s="44"/>
      <c r="AJ838" s="44"/>
    </row>
    <row r="839" ht="15.75" customHeight="1">
      <c r="L839" s="44"/>
      <c r="O839" s="44"/>
      <c r="R839" s="44"/>
      <c r="S839" s="44"/>
      <c r="T839" s="44"/>
      <c r="U839" s="44"/>
      <c r="AJ839" s="44"/>
    </row>
    <row r="840" ht="15.75" customHeight="1">
      <c r="L840" s="44"/>
      <c r="O840" s="44"/>
      <c r="R840" s="44"/>
      <c r="S840" s="44"/>
      <c r="T840" s="44"/>
      <c r="U840" s="44"/>
      <c r="AJ840" s="44"/>
    </row>
    <row r="841" ht="15.75" customHeight="1">
      <c r="L841" s="44"/>
      <c r="O841" s="44"/>
      <c r="R841" s="44"/>
      <c r="S841" s="44"/>
      <c r="T841" s="44"/>
      <c r="U841" s="44"/>
      <c r="AJ841" s="44"/>
    </row>
    <row r="842" ht="15.75" customHeight="1">
      <c r="L842" s="44"/>
      <c r="O842" s="44"/>
      <c r="R842" s="44"/>
      <c r="S842" s="44"/>
      <c r="T842" s="44"/>
      <c r="U842" s="44"/>
      <c r="AJ842" s="44"/>
    </row>
    <row r="843" ht="15.75" customHeight="1">
      <c r="L843" s="44"/>
      <c r="O843" s="44"/>
      <c r="R843" s="44"/>
      <c r="S843" s="44"/>
      <c r="T843" s="44"/>
      <c r="U843" s="44"/>
      <c r="AJ843" s="44"/>
    </row>
    <row r="844" ht="15.75" customHeight="1">
      <c r="L844" s="44"/>
      <c r="O844" s="44"/>
      <c r="R844" s="44"/>
      <c r="S844" s="44"/>
      <c r="T844" s="44"/>
      <c r="U844" s="44"/>
      <c r="AJ844" s="44"/>
    </row>
    <row r="845" ht="15.75" customHeight="1">
      <c r="L845" s="44"/>
      <c r="O845" s="44"/>
      <c r="R845" s="44"/>
      <c r="S845" s="44"/>
      <c r="T845" s="44"/>
      <c r="U845" s="44"/>
      <c r="AJ845" s="44"/>
    </row>
    <row r="846" ht="15.75" customHeight="1">
      <c r="L846" s="44"/>
      <c r="O846" s="44"/>
      <c r="R846" s="44"/>
      <c r="S846" s="44"/>
      <c r="T846" s="44"/>
      <c r="U846" s="44"/>
      <c r="AJ846" s="44"/>
    </row>
    <row r="847" ht="15.75" customHeight="1">
      <c r="L847" s="44"/>
      <c r="O847" s="44"/>
      <c r="R847" s="44"/>
      <c r="S847" s="44"/>
      <c r="T847" s="44"/>
      <c r="U847" s="44"/>
      <c r="AJ847" s="44"/>
    </row>
    <row r="848" ht="15.75" customHeight="1">
      <c r="L848" s="44"/>
      <c r="O848" s="44"/>
      <c r="R848" s="44"/>
      <c r="S848" s="44"/>
      <c r="T848" s="44"/>
      <c r="U848" s="44"/>
      <c r="AJ848" s="44"/>
    </row>
    <row r="849" ht="15.75" customHeight="1">
      <c r="L849" s="44"/>
      <c r="O849" s="44"/>
      <c r="R849" s="44"/>
      <c r="S849" s="44"/>
      <c r="T849" s="44"/>
      <c r="U849" s="44"/>
      <c r="AJ849" s="44"/>
    </row>
    <row r="850" ht="15.75" customHeight="1">
      <c r="L850" s="44"/>
      <c r="O850" s="44"/>
      <c r="R850" s="44"/>
      <c r="S850" s="44"/>
      <c r="T850" s="44"/>
      <c r="U850" s="44"/>
      <c r="AJ850" s="44"/>
    </row>
    <row r="851" ht="15.75" customHeight="1">
      <c r="L851" s="44"/>
      <c r="O851" s="44"/>
      <c r="R851" s="44"/>
      <c r="S851" s="44"/>
      <c r="T851" s="44"/>
      <c r="U851" s="44"/>
      <c r="AJ851" s="44"/>
    </row>
    <row r="852" ht="15.75" customHeight="1">
      <c r="L852" s="44"/>
      <c r="O852" s="44"/>
      <c r="R852" s="44"/>
      <c r="S852" s="44"/>
      <c r="T852" s="44"/>
      <c r="U852" s="44"/>
      <c r="AJ852" s="44"/>
    </row>
    <row r="853" ht="15.75" customHeight="1">
      <c r="L853" s="44"/>
      <c r="O853" s="44"/>
      <c r="R853" s="44"/>
      <c r="S853" s="44"/>
      <c r="T853" s="44"/>
      <c r="U853" s="44"/>
      <c r="AJ853" s="44"/>
    </row>
    <row r="854" ht="15.75" customHeight="1">
      <c r="L854" s="44"/>
      <c r="O854" s="44"/>
      <c r="R854" s="44"/>
      <c r="S854" s="44"/>
      <c r="T854" s="44"/>
      <c r="U854" s="44"/>
      <c r="AJ854" s="44"/>
    </row>
    <row r="855" ht="15.75" customHeight="1">
      <c r="L855" s="44"/>
      <c r="O855" s="44"/>
      <c r="R855" s="44"/>
      <c r="S855" s="44"/>
      <c r="T855" s="44"/>
      <c r="U855" s="44"/>
      <c r="AJ855" s="44"/>
    </row>
    <row r="856" ht="15.75" customHeight="1">
      <c r="L856" s="44"/>
      <c r="O856" s="44"/>
      <c r="R856" s="44"/>
      <c r="S856" s="44"/>
      <c r="T856" s="44"/>
      <c r="U856" s="44"/>
      <c r="AJ856" s="44"/>
    </row>
    <row r="857" ht="15.75" customHeight="1">
      <c r="L857" s="44"/>
      <c r="O857" s="44"/>
      <c r="R857" s="44"/>
      <c r="S857" s="44"/>
      <c r="T857" s="44"/>
      <c r="U857" s="44"/>
      <c r="AJ857" s="44"/>
    </row>
    <row r="858" ht="15.75" customHeight="1">
      <c r="L858" s="44"/>
      <c r="O858" s="44"/>
      <c r="R858" s="44"/>
      <c r="S858" s="44"/>
      <c r="T858" s="44"/>
      <c r="U858" s="44"/>
      <c r="AJ858" s="44"/>
    </row>
    <row r="859" ht="15.75" customHeight="1">
      <c r="L859" s="44"/>
      <c r="O859" s="44"/>
      <c r="R859" s="44"/>
      <c r="S859" s="44"/>
      <c r="T859" s="44"/>
      <c r="U859" s="44"/>
      <c r="AJ859" s="44"/>
    </row>
    <row r="860" ht="15.75" customHeight="1">
      <c r="L860" s="44"/>
      <c r="O860" s="44"/>
      <c r="R860" s="44"/>
      <c r="S860" s="44"/>
      <c r="T860" s="44"/>
      <c r="U860" s="44"/>
      <c r="AJ860" s="44"/>
    </row>
    <row r="861" ht="15.75" customHeight="1">
      <c r="L861" s="44"/>
      <c r="O861" s="44"/>
      <c r="R861" s="44"/>
      <c r="S861" s="44"/>
      <c r="T861" s="44"/>
      <c r="U861" s="44"/>
      <c r="AJ861" s="44"/>
    </row>
    <row r="862" ht="15.75" customHeight="1">
      <c r="L862" s="44"/>
      <c r="O862" s="44"/>
      <c r="R862" s="44"/>
      <c r="S862" s="44"/>
      <c r="T862" s="44"/>
      <c r="U862" s="44"/>
      <c r="AJ862" s="44"/>
    </row>
    <row r="863" ht="15.75" customHeight="1">
      <c r="L863" s="44"/>
      <c r="O863" s="44"/>
      <c r="R863" s="44"/>
      <c r="S863" s="44"/>
      <c r="T863" s="44"/>
      <c r="U863" s="44"/>
      <c r="AJ863" s="44"/>
    </row>
    <row r="864" ht="15.75" customHeight="1">
      <c r="L864" s="44"/>
      <c r="O864" s="44"/>
      <c r="R864" s="44"/>
      <c r="S864" s="44"/>
      <c r="T864" s="44"/>
      <c r="U864" s="44"/>
      <c r="AJ864" s="44"/>
    </row>
    <row r="865" ht="15.75" customHeight="1">
      <c r="L865" s="44"/>
      <c r="O865" s="44"/>
      <c r="R865" s="44"/>
      <c r="S865" s="44"/>
      <c r="T865" s="44"/>
      <c r="U865" s="44"/>
      <c r="AJ865" s="44"/>
    </row>
    <row r="866" ht="15.75" customHeight="1">
      <c r="L866" s="44"/>
      <c r="O866" s="44"/>
      <c r="R866" s="44"/>
      <c r="S866" s="44"/>
      <c r="T866" s="44"/>
      <c r="U866" s="44"/>
      <c r="AJ866" s="44"/>
    </row>
    <row r="867" ht="15.75" customHeight="1">
      <c r="L867" s="44"/>
      <c r="O867" s="44"/>
      <c r="R867" s="44"/>
      <c r="S867" s="44"/>
      <c r="T867" s="44"/>
      <c r="U867" s="44"/>
      <c r="AJ867" s="44"/>
    </row>
    <row r="868" ht="15.75" customHeight="1">
      <c r="L868" s="44"/>
      <c r="O868" s="44"/>
      <c r="R868" s="44"/>
      <c r="S868" s="44"/>
      <c r="T868" s="44"/>
      <c r="U868" s="44"/>
      <c r="AJ868" s="44"/>
    </row>
    <row r="869" ht="15.75" customHeight="1">
      <c r="L869" s="44"/>
      <c r="O869" s="44"/>
      <c r="R869" s="44"/>
      <c r="S869" s="44"/>
      <c r="T869" s="44"/>
      <c r="U869" s="44"/>
      <c r="AJ869" s="44"/>
    </row>
    <row r="870" ht="15.75" customHeight="1">
      <c r="L870" s="44"/>
      <c r="O870" s="44"/>
      <c r="R870" s="44"/>
      <c r="S870" s="44"/>
      <c r="T870" s="44"/>
      <c r="U870" s="44"/>
      <c r="AJ870" s="44"/>
    </row>
    <row r="871" ht="15.75" customHeight="1">
      <c r="L871" s="44"/>
      <c r="O871" s="44"/>
      <c r="R871" s="44"/>
      <c r="S871" s="44"/>
      <c r="T871" s="44"/>
      <c r="U871" s="44"/>
      <c r="AJ871" s="44"/>
    </row>
    <row r="872" ht="15.75" customHeight="1">
      <c r="L872" s="44"/>
      <c r="O872" s="44"/>
      <c r="R872" s="44"/>
      <c r="S872" s="44"/>
      <c r="T872" s="44"/>
      <c r="U872" s="44"/>
      <c r="AJ872" s="44"/>
    </row>
    <row r="873" ht="15.75" customHeight="1">
      <c r="L873" s="44"/>
      <c r="O873" s="44"/>
      <c r="R873" s="44"/>
      <c r="S873" s="44"/>
      <c r="T873" s="44"/>
      <c r="U873" s="44"/>
      <c r="AJ873" s="44"/>
    </row>
    <row r="874" ht="15.75" customHeight="1">
      <c r="L874" s="44"/>
      <c r="O874" s="44"/>
      <c r="R874" s="44"/>
      <c r="S874" s="44"/>
      <c r="T874" s="44"/>
      <c r="U874" s="44"/>
      <c r="AJ874" s="44"/>
    </row>
    <row r="875" ht="15.75" customHeight="1">
      <c r="L875" s="44"/>
      <c r="O875" s="44"/>
      <c r="R875" s="44"/>
      <c r="S875" s="44"/>
      <c r="T875" s="44"/>
      <c r="U875" s="44"/>
      <c r="AJ875" s="44"/>
    </row>
    <row r="876" ht="15.75" customHeight="1">
      <c r="L876" s="44"/>
      <c r="O876" s="44"/>
      <c r="R876" s="44"/>
      <c r="S876" s="44"/>
      <c r="T876" s="44"/>
      <c r="U876" s="44"/>
      <c r="AJ876" s="44"/>
    </row>
    <row r="877" ht="15.75" customHeight="1">
      <c r="L877" s="44"/>
      <c r="O877" s="44"/>
      <c r="R877" s="44"/>
      <c r="S877" s="44"/>
      <c r="T877" s="44"/>
      <c r="U877" s="44"/>
      <c r="AJ877" s="44"/>
    </row>
    <row r="878" ht="15.75" customHeight="1">
      <c r="L878" s="44"/>
      <c r="O878" s="44"/>
      <c r="R878" s="44"/>
      <c r="S878" s="44"/>
      <c r="T878" s="44"/>
      <c r="U878" s="44"/>
      <c r="AJ878" s="44"/>
    </row>
    <row r="879" ht="15.75" customHeight="1">
      <c r="L879" s="44"/>
      <c r="O879" s="44"/>
      <c r="R879" s="44"/>
      <c r="S879" s="44"/>
      <c r="T879" s="44"/>
      <c r="U879" s="44"/>
      <c r="AJ879" s="44"/>
    </row>
    <row r="880" ht="15.75" customHeight="1">
      <c r="L880" s="44"/>
      <c r="O880" s="44"/>
      <c r="R880" s="44"/>
      <c r="S880" s="44"/>
      <c r="T880" s="44"/>
      <c r="U880" s="44"/>
      <c r="AJ880" s="44"/>
    </row>
    <row r="881" ht="15.75" customHeight="1">
      <c r="L881" s="44"/>
      <c r="O881" s="44"/>
      <c r="R881" s="44"/>
      <c r="S881" s="44"/>
      <c r="T881" s="44"/>
      <c r="U881" s="44"/>
      <c r="AJ881" s="44"/>
    </row>
    <row r="882" ht="15.75" customHeight="1">
      <c r="L882" s="44"/>
      <c r="O882" s="44"/>
      <c r="R882" s="44"/>
      <c r="S882" s="44"/>
      <c r="T882" s="44"/>
      <c r="U882" s="44"/>
      <c r="AJ882" s="44"/>
    </row>
    <row r="883" ht="15.75" customHeight="1">
      <c r="L883" s="44"/>
      <c r="O883" s="44"/>
      <c r="R883" s="44"/>
      <c r="S883" s="44"/>
      <c r="T883" s="44"/>
      <c r="U883" s="44"/>
      <c r="AJ883" s="44"/>
    </row>
    <row r="884" ht="15.75" customHeight="1">
      <c r="L884" s="44"/>
      <c r="O884" s="44"/>
      <c r="R884" s="44"/>
      <c r="S884" s="44"/>
      <c r="T884" s="44"/>
      <c r="U884" s="44"/>
      <c r="AJ884" s="44"/>
    </row>
    <row r="885" ht="15.75" customHeight="1">
      <c r="L885" s="44"/>
      <c r="O885" s="44"/>
      <c r="R885" s="44"/>
      <c r="S885" s="44"/>
      <c r="T885" s="44"/>
      <c r="U885" s="44"/>
      <c r="AJ885" s="44"/>
    </row>
    <row r="886" ht="15.75" customHeight="1">
      <c r="L886" s="44"/>
      <c r="O886" s="44"/>
      <c r="R886" s="44"/>
      <c r="S886" s="44"/>
      <c r="T886" s="44"/>
      <c r="U886" s="44"/>
      <c r="AJ886" s="44"/>
    </row>
    <row r="887" ht="15.75" customHeight="1">
      <c r="L887" s="44"/>
      <c r="O887" s="44"/>
      <c r="R887" s="44"/>
      <c r="S887" s="44"/>
      <c r="T887" s="44"/>
      <c r="U887" s="44"/>
      <c r="AJ887" s="44"/>
    </row>
    <row r="888" ht="15.75" customHeight="1">
      <c r="L888" s="44"/>
      <c r="O888" s="44"/>
      <c r="R888" s="44"/>
      <c r="S888" s="44"/>
      <c r="T888" s="44"/>
      <c r="U888" s="44"/>
      <c r="AJ888" s="44"/>
    </row>
    <row r="889" ht="15.75" customHeight="1">
      <c r="L889" s="44"/>
      <c r="O889" s="44"/>
      <c r="R889" s="44"/>
      <c r="S889" s="44"/>
      <c r="T889" s="44"/>
      <c r="U889" s="44"/>
      <c r="AJ889" s="44"/>
    </row>
    <row r="890" ht="15.75" customHeight="1">
      <c r="L890" s="44"/>
      <c r="O890" s="44"/>
      <c r="R890" s="44"/>
      <c r="S890" s="44"/>
      <c r="T890" s="44"/>
      <c r="U890" s="44"/>
      <c r="AJ890" s="44"/>
    </row>
    <row r="891" ht="15.75" customHeight="1">
      <c r="L891" s="44"/>
      <c r="O891" s="44"/>
      <c r="R891" s="44"/>
      <c r="S891" s="44"/>
      <c r="T891" s="44"/>
      <c r="U891" s="44"/>
      <c r="AJ891" s="44"/>
    </row>
    <row r="892" ht="15.75" customHeight="1">
      <c r="L892" s="44"/>
      <c r="O892" s="44"/>
      <c r="R892" s="44"/>
      <c r="S892" s="44"/>
      <c r="T892" s="44"/>
      <c r="U892" s="44"/>
      <c r="AJ892" s="44"/>
    </row>
    <row r="893" ht="15.75" customHeight="1">
      <c r="L893" s="44"/>
      <c r="O893" s="44"/>
      <c r="R893" s="44"/>
      <c r="S893" s="44"/>
      <c r="T893" s="44"/>
      <c r="U893" s="44"/>
      <c r="AJ893" s="44"/>
    </row>
    <row r="894" ht="15.75" customHeight="1">
      <c r="L894" s="44"/>
      <c r="O894" s="44"/>
      <c r="R894" s="44"/>
      <c r="S894" s="44"/>
      <c r="T894" s="44"/>
      <c r="U894" s="44"/>
      <c r="AJ894" s="44"/>
    </row>
    <row r="895" ht="15.75" customHeight="1">
      <c r="L895" s="44"/>
      <c r="O895" s="44"/>
      <c r="R895" s="44"/>
      <c r="S895" s="44"/>
      <c r="T895" s="44"/>
      <c r="U895" s="44"/>
      <c r="AJ895" s="44"/>
    </row>
    <row r="896" ht="15.75" customHeight="1">
      <c r="L896" s="44"/>
      <c r="O896" s="44"/>
      <c r="R896" s="44"/>
      <c r="S896" s="44"/>
      <c r="T896" s="44"/>
      <c r="U896" s="44"/>
      <c r="AJ896" s="44"/>
    </row>
    <row r="897" ht="15.75" customHeight="1">
      <c r="L897" s="44"/>
      <c r="O897" s="44"/>
      <c r="R897" s="44"/>
      <c r="S897" s="44"/>
      <c r="T897" s="44"/>
      <c r="U897" s="44"/>
      <c r="AJ897" s="44"/>
    </row>
    <row r="898" ht="15.75" customHeight="1">
      <c r="L898" s="44"/>
      <c r="O898" s="44"/>
      <c r="R898" s="44"/>
      <c r="S898" s="44"/>
      <c r="T898" s="44"/>
      <c r="U898" s="44"/>
      <c r="AJ898" s="44"/>
    </row>
    <row r="899" ht="15.75" customHeight="1">
      <c r="L899" s="44"/>
      <c r="O899" s="44"/>
      <c r="R899" s="44"/>
      <c r="S899" s="44"/>
      <c r="T899" s="44"/>
      <c r="U899" s="44"/>
      <c r="AJ899" s="44"/>
    </row>
    <row r="900" ht="15.75" customHeight="1">
      <c r="L900" s="44"/>
      <c r="O900" s="44"/>
      <c r="R900" s="44"/>
      <c r="S900" s="44"/>
      <c r="T900" s="44"/>
      <c r="U900" s="44"/>
      <c r="AJ900" s="44"/>
    </row>
    <row r="901" ht="15.75" customHeight="1">
      <c r="L901" s="44"/>
      <c r="O901" s="44"/>
      <c r="R901" s="44"/>
      <c r="S901" s="44"/>
      <c r="T901" s="44"/>
      <c r="U901" s="44"/>
      <c r="AJ901" s="44"/>
    </row>
    <row r="902" ht="15.75" customHeight="1">
      <c r="L902" s="44"/>
      <c r="O902" s="44"/>
      <c r="R902" s="44"/>
      <c r="S902" s="44"/>
      <c r="T902" s="44"/>
      <c r="U902" s="44"/>
      <c r="AJ902" s="44"/>
    </row>
    <row r="903" ht="15.75" customHeight="1">
      <c r="L903" s="44"/>
      <c r="O903" s="44"/>
      <c r="R903" s="44"/>
      <c r="S903" s="44"/>
      <c r="T903" s="44"/>
      <c r="U903" s="44"/>
      <c r="AJ903" s="44"/>
    </row>
    <row r="904" ht="15.75" customHeight="1">
      <c r="L904" s="44"/>
      <c r="O904" s="44"/>
      <c r="R904" s="44"/>
      <c r="S904" s="44"/>
      <c r="T904" s="44"/>
      <c r="U904" s="44"/>
      <c r="AJ904" s="44"/>
    </row>
    <row r="905" ht="15.75" customHeight="1">
      <c r="L905" s="44"/>
      <c r="O905" s="44"/>
      <c r="R905" s="44"/>
      <c r="S905" s="44"/>
      <c r="T905" s="44"/>
      <c r="U905" s="44"/>
      <c r="AJ905" s="44"/>
    </row>
    <row r="906" ht="15.75" customHeight="1">
      <c r="L906" s="44"/>
      <c r="O906" s="44"/>
      <c r="R906" s="44"/>
      <c r="S906" s="44"/>
      <c r="T906" s="44"/>
      <c r="U906" s="44"/>
      <c r="AJ906" s="44"/>
    </row>
    <row r="907" ht="15.75" customHeight="1">
      <c r="L907" s="44"/>
      <c r="O907" s="44"/>
      <c r="R907" s="44"/>
      <c r="S907" s="44"/>
      <c r="T907" s="44"/>
      <c r="U907" s="44"/>
      <c r="AJ907" s="44"/>
    </row>
    <row r="908" ht="15.75" customHeight="1">
      <c r="L908" s="44"/>
      <c r="O908" s="44"/>
      <c r="R908" s="44"/>
      <c r="S908" s="44"/>
      <c r="T908" s="44"/>
      <c r="U908" s="44"/>
      <c r="AJ908" s="44"/>
    </row>
    <row r="909" ht="15.75" customHeight="1">
      <c r="L909" s="44"/>
      <c r="O909" s="44"/>
      <c r="R909" s="44"/>
      <c r="S909" s="44"/>
      <c r="T909" s="44"/>
      <c r="U909" s="44"/>
      <c r="AJ909" s="44"/>
    </row>
    <row r="910" ht="15.75" customHeight="1">
      <c r="L910" s="44"/>
      <c r="O910" s="44"/>
      <c r="R910" s="44"/>
      <c r="S910" s="44"/>
      <c r="T910" s="44"/>
      <c r="U910" s="44"/>
      <c r="AJ910" s="44"/>
    </row>
    <row r="911" ht="15.75" customHeight="1">
      <c r="L911" s="44"/>
      <c r="O911" s="44"/>
      <c r="R911" s="44"/>
      <c r="S911" s="44"/>
      <c r="T911" s="44"/>
      <c r="U911" s="44"/>
      <c r="AJ911" s="44"/>
    </row>
    <row r="912" ht="15.75" customHeight="1">
      <c r="L912" s="44"/>
      <c r="O912" s="44"/>
      <c r="R912" s="44"/>
      <c r="S912" s="44"/>
      <c r="T912" s="44"/>
      <c r="U912" s="44"/>
      <c r="AJ912" s="44"/>
    </row>
    <row r="913" ht="15.75" customHeight="1">
      <c r="L913" s="44"/>
      <c r="O913" s="44"/>
      <c r="R913" s="44"/>
      <c r="S913" s="44"/>
      <c r="T913" s="44"/>
      <c r="U913" s="44"/>
      <c r="AJ913" s="44"/>
    </row>
    <row r="914" ht="15.75" customHeight="1">
      <c r="L914" s="44"/>
      <c r="O914" s="44"/>
      <c r="R914" s="44"/>
      <c r="S914" s="44"/>
      <c r="T914" s="44"/>
      <c r="U914" s="44"/>
      <c r="AJ914" s="44"/>
    </row>
    <row r="915" ht="15.75" customHeight="1">
      <c r="L915" s="44"/>
      <c r="O915" s="44"/>
      <c r="R915" s="44"/>
      <c r="S915" s="44"/>
      <c r="T915" s="44"/>
      <c r="U915" s="44"/>
      <c r="AJ915" s="44"/>
    </row>
    <row r="916" ht="15.75" customHeight="1">
      <c r="L916" s="44"/>
      <c r="O916" s="44"/>
      <c r="R916" s="44"/>
      <c r="S916" s="44"/>
      <c r="T916" s="44"/>
      <c r="U916" s="44"/>
      <c r="AJ916" s="44"/>
    </row>
    <row r="917" ht="15.75" customHeight="1">
      <c r="L917" s="44"/>
      <c r="O917" s="44"/>
      <c r="R917" s="44"/>
      <c r="S917" s="44"/>
      <c r="T917" s="44"/>
      <c r="U917" s="44"/>
      <c r="AJ917" s="44"/>
    </row>
    <row r="918" ht="15.75" customHeight="1">
      <c r="L918" s="44"/>
      <c r="O918" s="44"/>
      <c r="R918" s="44"/>
      <c r="S918" s="44"/>
      <c r="T918" s="44"/>
      <c r="U918" s="44"/>
      <c r="AJ918" s="44"/>
    </row>
    <row r="919" ht="15.75" customHeight="1">
      <c r="L919" s="44"/>
      <c r="O919" s="44"/>
      <c r="R919" s="44"/>
      <c r="S919" s="44"/>
      <c r="T919" s="44"/>
      <c r="U919" s="44"/>
      <c r="AJ919" s="44"/>
    </row>
    <row r="920" ht="15.75" customHeight="1">
      <c r="L920" s="44"/>
      <c r="O920" s="44"/>
      <c r="R920" s="44"/>
      <c r="S920" s="44"/>
      <c r="T920" s="44"/>
      <c r="U920" s="44"/>
      <c r="AJ920" s="44"/>
    </row>
    <row r="921" ht="15.75" customHeight="1">
      <c r="L921" s="44"/>
      <c r="O921" s="44"/>
      <c r="R921" s="44"/>
      <c r="S921" s="44"/>
      <c r="T921" s="44"/>
      <c r="U921" s="44"/>
      <c r="AJ921" s="44"/>
    </row>
    <row r="922" ht="15.75" customHeight="1">
      <c r="L922" s="44"/>
      <c r="O922" s="44"/>
      <c r="R922" s="44"/>
      <c r="S922" s="44"/>
      <c r="T922" s="44"/>
      <c r="U922" s="44"/>
      <c r="AJ922" s="44"/>
    </row>
    <row r="923" ht="15.75" customHeight="1">
      <c r="L923" s="44"/>
      <c r="O923" s="44"/>
      <c r="R923" s="44"/>
      <c r="S923" s="44"/>
      <c r="T923" s="44"/>
      <c r="U923" s="44"/>
      <c r="AJ923" s="44"/>
    </row>
    <row r="924" ht="15.75" customHeight="1">
      <c r="L924" s="44"/>
      <c r="O924" s="44"/>
      <c r="R924" s="44"/>
      <c r="S924" s="44"/>
      <c r="T924" s="44"/>
      <c r="U924" s="44"/>
      <c r="AJ924" s="44"/>
    </row>
    <row r="925" ht="15.75" customHeight="1">
      <c r="L925" s="44"/>
      <c r="O925" s="44"/>
      <c r="R925" s="44"/>
      <c r="S925" s="44"/>
      <c r="T925" s="44"/>
      <c r="U925" s="44"/>
      <c r="AJ925" s="44"/>
    </row>
    <row r="926" ht="15.75" customHeight="1">
      <c r="L926" s="44"/>
      <c r="O926" s="44"/>
      <c r="R926" s="44"/>
      <c r="S926" s="44"/>
      <c r="T926" s="44"/>
      <c r="U926" s="44"/>
      <c r="AJ926" s="44"/>
    </row>
    <row r="927" ht="15.75" customHeight="1">
      <c r="L927" s="44"/>
      <c r="O927" s="44"/>
      <c r="R927" s="44"/>
      <c r="S927" s="44"/>
      <c r="T927" s="44"/>
      <c r="U927" s="44"/>
      <c r="AJ927" s="44"/>
    </row>
    <row r="928" ht="15.75" customHeight="1">
      <c r="L928" s="44"/>
      <c r="O928" s="44"/>
      <c r="R928" s="44"/>
      <c r="S928" s="44"/>
      <c r="T928" s="44"/>
      <c r="U928" s="44"/>
      <c r="AJ928" s="44"/>
    </row>
    <row r="929" ht="15.75" customHeight="1">
      <c r="L929" s="44"/>
      <c r="O929" s="44"/>
      <c r="R929" s="44"/>
      <c r="S929" s="44"/>
      <c r="T929" s="44"/>
      <c r="U929" s="44"/>
      <c r="AJ929" s="44"/>
    </row>
    <row r="930" ht="15.75" customHeight="1">
      <c r="L930" s="44"/>
      <c r="O930" s="44"/>
      <c r="R930" s="44"/>
      <c r="S930" s="44"/>
      <c r="T930" s="44"/>
      <c r="U930" s="44"/>
      <c r="AJ930" s="44"/>
    </row>
    <row r="931" ht="15.75" customHeight="1">
      <c r="L931" s="44"/>
      <c r="O931" s="44"/>
      <c r="R931" s="44"/>
      <c r="S931" s="44"/>
      <c r="T931" s="44"/>
      <c r="U931" s="44"/>
      <c r="AJ931" s="44"/>
    </row>
    <row r="932" ht="15.75" customHeight="1">
      <c r="L932" s="44"/>
      <c r="O932" s="44"/>
      <c r="R932" s="44"/>
      <c r="S932" s="44"/>
      <c r="T932" s="44"/>
      <c r="U932" s="44"/>
      <c r="AJ932" s="44"/>
    </row>
    <row r="933" ht="15.75" customHeight="1">
      <c r="L933" s="44"/>
      <c r="O933" s="44"/>
      <c r="R933" s="44"/>
      <c r="S933" s="44"/>
      <c r="T933" s="44"/>
      <c r="U933" s="44"/>
      <c r="AJ933" s="44"/>
    </row>
    <row r="934" ht="15.75" customHeight="1">
      <c r="L934" s="44"/>
      <c r="O934" s="44"/>
      <c r="R934" s="44"/>
      <c r="S934" s="44"/>
      <c r="T934" s="44"/>
      <c r="U934" s="44"/>
      <c r="AJ934" s="44"/>
    </row>
    <row r="935" ht="15.75" customHeight="1">
      <c r="L935" s="44"/>
      <c r="O935" s="44"/>
      <c r="R935" s="44"/>
      <c r="S935" s="44"/>
      <c r="T935" s="44"/>
      <c r="U935" s="44"/>
      <c r="AJ935" s="44"/>
    </row>
    <row r="936" ht="15.75" customHeight="1">
      <c r="L936" s="44"/>
      <c r="O936" s="44"/>
      <c r="R936" s="44"/>
      <c r="S936" s="44"/>
      <c r="T936" s="44"/>
      <c r="U936" s="44"/>
      <c r="AJ936" s="44"/>
    </row>
    <row r="937" ht="15.75" customHeight="1">
      <c r="L937" s="44"/>
      <c r="O937" s="44"/>
      <c r="R937" s="44"/>
      <c r="S937" s="44"/>
      <c r="T937" s="44"/>
      <c r="U937" s="44"/>
      <c r="AJ937" s="44"/>
    </row>
    <row r="938" ht="15.75" customHeight="1">
      <c r="L938" s="44"/>
      <c r="O938" s="44"/>
      <c r="R938" s="44"/>
      <c r="S938" s="44"/>
      <c r="T938" s="44"/>
      <c r="U938" s="44"/>
      <c r="AJ938" s="44"/>
    </row>
    <row r="939" ht="15.75" customHeight="1">
      <c r="L939" s="44"/>
      <c r="O939" s="44"/>
      <c r="R939" s="44"/>
      <c r="S939" s="44"/>
      <c r="T939" s="44"/>
      <c r="U939" s="44"/>
      <c r="AJ939" s="44"/>
    </row>
    <row r="940" ht="15.75" customHeight="1">
      <c r="L940" s="44"/>
      <c r="O940" s="44"/>
      <c r="R940" s="44"/>
      <c r="S940" s="44"/>
      <c r="T940" s="44"/>
      <c r="U940" s="44"/>
      <c r="AJ940" s="44"/>
    </row>
    <row r="941" ht="15.75" customHeight="1">
      <c r="L941" s="44"/>
      <c r="O941" s="44"/>
      <c r="R941" s="44"/>
      <c r="S941" s="44"/>
      <c r="T941" s="44"/>
      <c r="U941" s="44"/>
      <c r="AJ941" s="44"/>
    </row>
    <row r="942" ht="15.75" customHeight="1">
      <c r="L942" s="44"/>
      <c r="O942" s="44"/>
      <c r="R942" s="44"/>
      <c r="S942" s="44"/>
      <c r="T942" s="44"/>
      <c r="U942" s="44"/>
      <c r="AJ942" s="44"/>
    </row>
    <row r="943" ht="15.75" customHeight="1">
      <c r="L943" s="44"/>
      <c r="O943" s="44"/>
      <c r="R943" s="44"/>
      <c r="S943" s="44"/>
      <c r="T943" s="44"/>
      <c r="U943" s="44"/>
      <c r="AJ943" s="44"/>
    </row>
    <row r="944" ht="15.75" customHeight="1">
      <c r="L944" s="44"/>
      <c r="O944" s="44"/>
      <c r="R944" s="44"/>
      <c r="S944" s="44"/>
      <c r="T944" s="44"/>
      <c r="U944" s="44"/>
      <c r="AJ944" s="44"/>
    </row>
    <row r="945" ht="15.75" customHeight="1">
      <c r="L945" s="44"/>
      <c r="O945" s="44"/>
      <c r="R945" s="44"/>
      <c r="S945" s="44"/>
      <c r="T945" s="44"/>
      <c r="U945" s="44"/>
      <c r="AJ945" s="44"/>
    </row>
    <row r="946" ht="15.75" customHeight="1">
      <c r="L946" s="44"/>
      <c r="O946" s="44"/>
      <c r="R946" s="44"/>
      <c r="S946" s="44"/>
      <c r="T946" s="44"/>
      <c r="U946" s="44"/>
      <c r="AJ946" s="44"/>
    </row>
    <row r="947" ht="15.75" customHeight="1">
      <c r="L947" s="44"/>
      <c r="O947" s="44"/>
      <c r="R947" s="44"/>
      <c r="S947" s="44"/>
      <c r="T947" s="44"/>
      <c r="U947" s="44"/>
      <c r="AJ947" s="44"/>
    </row>
    <row r="948" ht="15.75" customHeight="1">
      <c r="L948" s="44"/>
      <c r="O948" s="44"/>
      <c r="R948" s="44"/>
      <c r="S948" s="44"/>
      <c r="T948" s="44"/>
      <c r="U948" s="44"/>
      <c r="AJ948" s="44"/>
    </row>
    <row r="949" ht="15.75" customHeight="1">
      <c r="L949" s="44"/>
      <c r="O949" s="44"/>
      <c r="R949" s="44"/>
      <c r="S949" s="44"/>
      <c r="T949" s="44"/>
      <c r="U949" s="44"/>
      <c r="AJ949" s="44"/>
    </row>
    <row r="950" ht="15.75" customHeight="1">
      <c r="L950" s="44"/>
      <c r="O950" s="44"/>
      <c r="R950" s="44"/>
      <c r="S950" s="44"/>
      <c r="T950" s="44"/>
      <c r="U950" s="44"/>
      <c r="AJ950" s="44"/>
    </row>
    <row r="951" ht="15.75" customHeight="1">
      <c r="L951" s="44"/>
      <c r="O951" s="44"/>
      <c r="R951" s="44"/>
      <c r="S951" s="44"/>
      <c r="T951" s="44"/>
      <c r="U951" s="44"/>
      <c r="AJ951" s="44"/>
    </row>
    <row r="952" ht="15.75" customHeight="1">
      <c r="L952" s="44"/>
      <c r="O952" s="44"/>
      <c r="R952" s="44"/>
      <c r="S952" s="44"/>
      <c r="T952" s="44"/>
      <c r="U952" s="44"/>
      <c r="AJ952" s="44"/>
    </row>
    <row r="953" ht="15.75" customHeight="1">
      <c r="L953" s="44"/>
      <c r="O953" s="44"/>
      <c r="R953" s="44"/>
      <c r="S953" s="44"/>
      <c r="T953" s="44"/>
      <c r="U953" s="44"/>
      <c r="AJ953" s="44"/>
    </row>
    <row r="954" ht="15.75" customHeight="1">
      <c r="L954" s="44"/>
      <c r="O954" s="44"/>
      <c r="R954" s="44"/>
      <c r="S954" s="44"/>
      <c r="T954" s="44"/>
      <c r="U954" s="44"/>
      <c r="AJ954" s="44"/>
    </row>
    <row r="955" ht="15.75" customHeight="1">
      <c r="L955" s="44"/>
      <c r="O955" s="44"/>
      <c r="R955" s="44"/>
      <c r="S955" s="44"/>
      <c r="T955" s="44"/>
      <c r="U955" s="44"/>
      <c r="AJ955" s="44"/>
    </row>
    <row r="956" ht="15.75" customHeight="1">
      <c r="L956" s="44"/>
      <c r="O956" s="44"/>
      <c r="R956" s="44"/>
      <c r="S956" s="44"/>
      <c r="T956" s="44"/>
      <c r="U956" s="44"/>
      <c r="AJ956" s="44"/>
    </row>
    <row r="957" ht="15.75" customHeight="1">
      <c r="L957" s="44"/>
      <c r="O957" s="44"/>
      <c r="R957" s="44"/>
      <c r="S957" s="44"/>
      <c r="T957" s="44"/>
      <c r="U957" s="44"/>
      <c r="AJ957" s="44"/>
    </row>
    <row r="958" ht="15.75" customHeight="1">
      <c r="L958" s="44"/>
      <c r="O958" s="44"/>
      <c r="R958" s="44"/>
      <c r="S958" s="44"/>
      <c r="T958" s="44"/>
      <c r="U958" s="44"/>
      <c r="AJ958" s="44"/>
    </row>
    <row r="959" ht="15.75" customHeight="1">
      <c r="L959" s="44"/>
      <c r="O959" s="44"/>
      <c r="R959" s="44"/>
      <c r="S959" s="44"/>
      <c r="T959" s="44"/>
      <c r="U959" s="44"/>
      <c r="AJ959" s="44"/>
    </row>
    <row r="960" ht="15.75" customHeight="1">
      <c r="L960" s="44"/>
      <c r="O960" s="44"/>
      <c r="R960" s="44"/>
      <c r="S960" s="44"/>
      <c r="T960" s="44"/>
      <c r="U960" s="44"/>
      <c r="AJ960" s="44"/>
    </row>
    <row r="961" ht="15.75" customHeight="1">
      <c r="L961" s="44"/>
      <c r="O961" s="44"/>
      <c r="R961" s="44"/>
      <c r="S961" s="44"/>
      <c r="T961" s="44"/>
      <c r="U961" s="44"/>
      <c r="AJ961" s="44"/>
    </row>
    <row r="962" ht="15.75" customHeight="1">
      <c r="L962" s="44"/>
      <c r="O962" s="44"/>
      <c r="R962" s="44"/>
      <c r="S962" s="44"/>
      <c r="T962" s="44"/>
      <c r="U962" s="44"/>
      <c r="AJ962" s="44"/>
    </row>
    <row r="963" ht="15.75" customHeight="1">
      <c r="L963" s="44"/>
      <c r="O963" s="44"/>
      <c r="R963" s="44"/>
      <c r="S963" s="44"/>
      <c r="T963" s="44"/>
      <c r="U963" s="44"/>
      <c r="AJ963" s="44"/>
    </row>
    <row r="964" ht="15.75" customHeight="1">
      <c r="L964" s="44"/>
      <c r="O964" s="44"/>
      <c r="R964" s="44"/>
      <c r="S964" s="44"/>
      <c r="T964" s="44"/>
      <c r="U964" s="44"/>
      <c r="AJ964" s="44"/>
    </row>
    <row r="965" ht="15.75" customHeight="1">
      <c r="L965" s="44"/>
      <c r="O965" s="44"/>
      <c r="R965" s="44"/>
      <c r="S965" s="44"/>
      <c r="T965" s="44"/>
      <c r="U965" s="44"/>
      <c r="AJ965" s="44"/>
    </row>
    <row r="966" ht="15.75" customHeight="1">
      <c r="L966" s="44"/>
      <c r="O966" s="44"/>
      <c r="R966" s="44"/>
      <c r="S966" s="44"/>
      <c r="T966" s="44"/>
      <c r="U966" s="44"/>
      <c r="AJ966" s="44"/>
    </row>
    <row r="967" ht="15.75" customHeight="1">
      <c r="L967" s="44"/>
      <c r="O967" s="44"/>
      <c r="R967" s="44"/>
      <c r="S967" s="44"/>
      <c r="T967" s="44"/>
      <c r="U967" s="44"/>
      <c r="AJ967" s="44"/>
    </row>
    <row r="968" ht="15.75" customHeight="1">
      <c r="L968" s="44"/>
      <c r="O968" s="44"/>
      <c r="R968" s="44"/>
      <c r="S968" s="44"/>
      <c r="T968" s="44"/>
      <c r="U968" s="44"/>
      <c r="AJ968" s="44"/>
    </row>
    <row r="969" ht="15.75" customHeight="1">
      <c r="L969" s="44"/>
      <c r="O969" s="44"/>
      <c r="R969" s="44"/>
      <c r="S969" s="44"/>
      <c r="T969" s="44"/>
      <c r="U969" s="44"/>
      <c r="AJ969" s="44"/>
    </row>
    <row r="970" ht="15.75" customHeight="1">
      <c r="L970" s="44"/>
      <c r="O970" s="44"/>
      <c r="R970" s="44"/>
      <c r="S970" s="44"/>
      <c r="T970" s="44"/>
      <c r="U970" s="44"/>
      <c r="AJ970" s="44"/>
    </row>
    <row r="971" ht="15.75" customHeight="1">
      <c r="L971" s="44"/>
      <c r="O971" s="44"/>
      <c r="R971" s="44"/>
      <c r="S971" s="44"/>
      <c r="T971" s="44"/>
      <c r="U971" s="44"/>
      <c r="AJ971" s="44"/>
    </row>
    <row r="972" ht="15.75" customHeight="1">
      <c r="L972" s="44"/>
      <c r="O972" s="44"/>
      <c r="R972" s="44"/>
      <c r="S972" s="44"/>
      <c r="T972" s="44"/>
      <c r="U972" s="44"/>
      <c r="AJ972" s="44"/>
    </row>
    <row r="973" ht="15.75" customHeight="1">
      <c r="L973" s="44"/>
      <c r="O973" s="44"/>
      <c r="R973" s="44"/>
      <c r="S973" s="44"/>
      <c r="T973" s="44"/>
      <c r="U973" s="44"/>
      <c r="AJ973" s="44"/>
    </row>
    <row r="974" ht="15.75" customHeight="1">
      <c r="L974" s="44"/>
      <c r="O974" s="44"/>
      <c r="R974" s="44"/>
      <c r="S974" s="44"/>
      <c r="T974" s="44"/>
      <c r="U974" s="44"/>
      <c r="AJ974" s="44"/>
    </row>
    <row r="975" ht="15.75" customHeight="1">
      <c r="L975" s="44"/>
      <c r="O975" s="44"/>
      <c r="R975" s="44"/>
      <c r="S975" s="44"/>
      <c r="T975" s="44"/>
      <c r="U975" s="44"/>
      <c r="AJ975" s="44"/>
    </row>
    <row r="976" ht="15.75" customHeight="1">
      <c r="L976" s="44"/>
      <c r="O976" s="44"/>
      <c r="R976" s="44"/>
      <c r="S976" s="44"/>
      <c r="T976" s="44"/>
      <c r="U976" s="44"/>
      <c r="AJ976" s="44"/>
    </row>
    <row r="977" ht="15.75" customHeight="1">
      <c r="L977" s="44"/>
      <c r="O977" s="44"/>
      <c r="R977" s="44"/>
      <c r="S977" s="44"/>
      <c r="T977" s="44"/>
      <c r="U977" s="44"/>
      <c r="AJ977" s="44"/>
    </row>
    <row r="978" ht="15.75" customHeight="1">
      <c r="L978" s="44"/>
      <c r="O978" s="44"/>
      <c r="R978" s="44"/>
      <c r="S978" s="44"/>
      <c r="T978" s="44"/>
      <c r="U978" s="44"/>
      <c r="AJ978" s="44"/>
    </row>
    <row r="979" ht="15.75" customHeight="1">
      <c r="L979" s="44"/>
      <c r="O979" s="44"/>
      <c r="R979" s="44"/>
      <c r="S979" s="44"/>
      <c r="T979" s="44"/>
      <c r="U979" s="44"/>
      <c r="AJ979" s="44"/>
    </row>
    <row r="980" ht="15.75" customHeight="1">
      <c r="L980" s="44"/>
      <c r="O980" s="44"/>
      <c r="R980" s="44"/>
      <c r="S980" s="44"/>
      <c r="T980" s="44"/>
      <c r="U980" s="44"/>
      <c r="AJ980" s="44"/>
    </row>
    <row r="981" ht="15.75" customHeight="1">
      <c r="L981" s="44"/>
      <c r="O981" s="44"/>
      <c r="R981" s="44"/>
      <c r="S981" s="44"/>
      <c r="T981" s="44"/>
      <c r="U981" s="44"/>
      <c r="AJ981" s="44"/>
    </row>
    <row r="982" ht="15.75" customHeight="1">
      <c r="L982" s="44"/>
      <c r="O982" s="44"/>
      <c r="R982" s="44"/>
      <c r="S982" s="44"/>
      <c r="T982" s="44"/>
      <c r="U982" s="44"/>
      <c r="AJ982" s="44"/>
    </row>
    <row r="983" ht="15.75" customHeight="1">
      <c r="L983" s="44"/>
      <c r="O983" s="44"/>
      <c r="R983" s="44"/>
      <c r="S983" s="44"/>
      <c r="T983" s="44"/>
      <c r="U983" s="44"/>
      <c r="AJ983" s="44"/>
    </row>
    <row r="984" ht="15.75" customHeight="1">
      <c r="L984" s="44"/>
      <c r="O984" s="44"/>
      <c r="R984" s="44"/>
      <c r="S984" s="44"/>
      <c r="T984" s="44"/>
      <c r="U984" s="44"/>
      <c r="AJ984" s="44"/>
    </row>
    <row r="985" ht="15.75" customHeight="1">
      <c r="L985" s="44"/>
      <c r="O985" s="44"/>
      <c r="R985" s="44"/>
      <c r="S985" s="44"/>
      <c r="T985" s="44"/>
      <c r="U985" s="44"/>
      <c r="AJ985" s="44"/>
    </row>
    <row r="986" ht="15.75" customHeight="1">
      <c r="L986" s="44"/>
      <c r="O986" s="44"/>
      <c r="R986" s="44"/>
      <c r="S986" s="44"/>
      <c r="T986" s="44"/>
      <c r="U986" s="44"/>
      <c r="AJ986" s="44"/>
    </row>
    <row r="987" ht="15.75" customHeight="1">
      <c r="L987" s="44"/>
      <c r="O987" s="44"/>
      <c r="R987" s="44"/>
      <c r="S987" s="44"/>
      <c r="T987" s="44"/>
      <c r="U987" s="44"/>
      <c r="AJ987" s="44"/>
    </row>
    <row r="988" ht="15.75" customHeight="1">
      <c r="L988" s="44"/>
      <c r="O988" s="44"/>
      <c r="R988" s="44"/>
      <c r="S988" s="44"/>
      <c r="T988" s="44"/>
      <c r="U988" s="44"/>
      <c r="AJ988" s="44"/>
    </row>
    <row r="989" ht="15.75" customHeight="1">
      <c r="L989" s="44"/>
      <c r="O989" s="44"/>
      <c r="R989" s="44"/>
      <c r="S989" s="44"/>
      <c r="T989" s="44"/>
      <c r="U989" s="44"/>
      <c r="AJ989" s="44"/>
    </row>
    <row r="990" ht="15.75" customHeight="1">
      <c r="L990" s="44"/>
      <c r="O990" s="44"/>
      <c r="R990" s="44"/>
      <c r="S990" s="44"/>
      <c r="T990" s="44"/>
      <c r="U990" s="44"/>
      <c r="AJ990" s="44"/>
    </row>
    <row r="991" ht="15.75" customHeight="1">
      <c r="L991" s="44"/>
      <c r="O991" s="44"/>
      <c r="R991" s="44"/>
      <c r="S991" s="44"/>
      <c r="T991" s="44"/>
      <c r="U991" s="44"/>
      <c r="AJ991" s="44"/>
    </row>
    <row r="992" ht="15.75" customHeight="1">
      <c r="L992" s="44"/>
      <c r="O992" s="44"/>
      <c r="R992" s="44"/>
      <c r="S992" s="44"/>
      <c r="T992" s="44"/>
      <c r="U992" s="44"/>
      <c r="AJ992" s="44"/>
    </row>
    <row r="993" ht="15.75" customHeight="1">
      <c r="L993" s="44"/>
      <c r="O993" s="44"/>
      <c r="R993" s="44"/>
      <c r="S993" s="44"/>
      <c r="T993" s="44"/>
      <c r="U993" s="44"/>
      <c r="AJ993" s="44"/>
    </row>
    <row r="994" ht="15.75" customHeight="1">
      <c r="L994" s="44"/>
      <c r="O994" s="44"/>
      <c r="R994" s="44"/>
      <c r="S994" s="44"/>
      <c r="T994" s="44"/>
      <c r="U994" s="44"/>
      <c r="AJ994" s="44"/>
    </row>
    <row r="995" ht="15.75" customHeight="1">
      <c r="L995" s="44"/>
      <c r="O995" s="44"/>
      <c r="R995" s="44"/>
      <c r="S995" s="44"/>
      <c r="T995" s="44"/>
      <c r="U995" s="44"/>
      <c r="AJ995" s="44"/>
    </row>
    <row r="996" ht="15.75" customHeight="1">
      <c r="L996" s="44"/>
      <c r="O996" s="44"/>
      <c r="R996" s="44"/>
      <c r="S996" s="44"/>
      <c r="T996" s="44"/>
      <c r="U996" s="44"/>
      <c r="AJ996" s="44"/>
    </row>
    <row r="997" ht="15.75" customHeight="1">
      <c r="L997" s="44"/>
      <c r="O997" s="44"/>
      <c r="R997" s="44"/>
      <c r="S997" s="44"/>
      <c r="T997" s="44"/>
      <c r="U997" s="44"/>
      <c r="AJ997" s="44"/>
    </row>
    <row r="998" ht="15.75" customHeight="1">
      <c r="L998" s="44"/>
      <c r="O998" s="44"/>
      <c r="R998" s="44"/>
      <c r="S998" s="44"/>
      <c r="T998" s="44"/>
      <c r="U998" s="44"/>
      <c r="AJ998" s="44"/>
    </row>
    <row r="999" ht="15.75" customHeight="1">
      <c r="L999" s="44"/>
      <c r="O999" s="44"/>
      <c r="R999" s="44"/>
      <c r="S999" s="44"/>
      <c r="T999" s="44"/>
      <c r="U999" s="44"/>
      <c r="AJ999" s="44"/>
    </row>
  </sheetData>
  <autoFilter ref="$A$1:$AP$27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19.63"/>
    <col customWidth="1" min="3" max="3" width="13.25"/>
    <col customWidth="1" min="4" max="4" width="5.0"/>
    <col customWidth="1" min="5" max="5" width="6.25"/>
    <col customWidth="1" min="6" max="6" width="8.38"/>
    <col customWidth="1" min="7" max="7" width="9.75"/>
    <col customWidth="1" min="8" max="8" width="8.75"/>
    <col customWidth="1" min="9" max="9" width="10.5"/>
    <col customWidth="1" min="10" max="10" width="22.0"/>
    <col customWidth="1" min="11" max="11" width="22.38"/>
    <col customWidth="1" min="12" max="12" width="24.38"/>
    <col customWidth="1" min="13" max="13" width="9.25"/>
    <col customWidth="1" min="14" max="14" width="13.25"/>
    <col customWidth="1" min="15" max="15" width="24.38"/>
    <col customWidth="1" min="16" max="17" width="9.25"/>
    <col customWidth="1" min="18" max="18" width="34.5"/>
    <col customWidth="1" min="19" max="19" width="9.25"/>
    <col customWidth="1" min="20" max="20" width="10.88"/>
    <col customWidth="1" min="21" max="21" width="9.25"/>
    <col customWidth="1" min="22" max="22" width="16.63"/>
    <col customWidth="1" min="23" max="23" width="15.38"/>
    <col customWidth="1" min="24" max="24" width="8.0"/>
    <col customWidth="1" min="25" max="25" width="11.0"/>
    <col customWidth="1" min="26" max="26" width="19.38"/>
    <col customWidth="1" min="27" max="27" width="22.75"/>
    <col customWidth="1" min="28" max="28" width="25.63"/>
    <col customWidth="1" min="29" max="29" width="16.25"/>
    <col customWidth="1" min="30" max="30" width="70.25"/>
    <col customWidth="1" min="31" max="31" width="10.63"/>
    <col customWidth="1" min="32" max="32" width="18.25"/>
    <col customWidth="1" min="33" max="33" width="23.13"/>
    <col customWidth="1" min="34" max="34" width="52.13"/>
    <col customWidth="1" min="35" max="35" width="13.88"/>
    <col customWidth="1" min="36" max="36" width="11.88"/>
    <col customWidth="1" min="37" max="37" width="13.0"/>
    <col customWidth="1" min="38" max="38" width="9.5"/>
    <col customWidth="1" min="39" max="39" width="12.5"/>
    <col customWidth="1" min="40" max="40" width="14.75"/>
    <col customWidth="1" min="41" max="41" width="18.75"/>
    <col customWidth="1" min="42" max="42" width="11.63"/>
    <col customWidth="1" min="43" max="43" width="11.38"/>
  </cols>
  <sheetData>
    <row r="1" ht="12.75" customHeight="1">
      <c r="A1" s="75" t="s">
        <v>0</v>
      </c>
      <c r="B1" s="75" t="s">
        <v>0</v>
      </c>
      <c r="C1" s="75" t="s">
        <v>0</v>
      </c>
      <c r="D1" s="75" t="s">
        <v>0</v>
      </c>
      <c r="E1" s="75" t="s">
        <v>0</v>
      </c>
      <c r="F1" s="75" t="s">
        <v>0</v>
      </c>
      <c r="G1" s="75" t="s">
        <v>0</v>
      </c>
      <c r="H1" s="75" t="s">
        <v>0</v>
      </c>
      <c r="I1" s="75" t="s">
        <v>0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4" t="s">
        <v>2</v>
      </c>
      <c r="X1" s="4" t="s">
        <v>2</v>
      </c>
      <c r="Y1" s="4" t="s">
        <v>2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4" t="s">
        <v>2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</row>
    <row r="2" ht="12.75" customHeight="1">
      <c r="A2" s="76" t="s">
        <v>3</v>
      </c>
      <c r="B2" s="76" t="s">
        <v>4</v>
      </c>
      <c r="C2" s="76" t="s">
        <v>5</v>
      </c>
      <c r="D2" s="76" t="s">
        <v>6</v>
      </c>
      <c r="E2" s="76" t="s">
        <v>7</v>
      </c>
      <c r="F2" s="76" t="s">
        <v>8</v>
      </c>
      <c r="G2" s="76" t="s">
        <v>9</v>
      </c>
      <c r="H2" s="76" t="s">
        <v>10</v>
      </c>
      <c r="I2" s="76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5" t="s">
        <v>45</v>
      </c>
    </row>
    <row r="3" ht="12.75" customHeight="1">
      <c r="A3" s="61">
        <v>1.0</v>
      </c>
      <c r="B3" s="16" t="s">
        <v>2891</v>
      </c>
      <c r="C3" s="16" t="s">
        <v>2892</v>
      </c>
      <c r="D3" s="16" t="s">
        <v>2893</v>
      </c>
      <c r="E3" s="77" t="s">
        <v>298</v>
      </c>
      <c r="F3" s="16" t="s">
        <v>73</v>
      </c>
      <c r="G3" s="77" t="s">
        <v>315</v>
      </c>
      <c r="H3" s="14">
        <v>0.925</v>
      </c>
      <c r="I3" s="14">
        <v>44.0</v>
      </c>
      <c r="J3" s="16" t="s">
        <v>2894</v>
      </c>
      <c r="K3" s="16" t="s">
        <v>2895</v>
      </c>
      <c r="L3" s="16" t="s">
        <v>2896</v>
      </c>
      <c r="M3" s="16" t="s">
        <v>298</v>
      </c>
      <c r="N3" s="16" t="s">
        <v>2892</v>
      </c>
      <c r="O3" s="16" t="s">
        <v>2896</v>
      </c>
      <c r="P3" s="14">
        <v>2015.0</v>
      </c>
      <c r="Q3" s="14" t="s">
        <v>2893</v>
      </c>
      <c r="R3" s="14" t="s">
        <v>2897</v>
      </c>
      <c r="S3" s="14" t="s">
        <v>2898</v>
      </c>
      <c r="T3" s="14" t="s">
        <v>58</v>
      </c>
      <c r="U3" s="14" t="s">
        <v>59</v>
      </c>
      <c r="V3" s="14">
        <v>7.0</v>
      </c>
      <c r="Z3" s="47" t="s">
        <v>2899</v>
      </c>
      <c r="AA3" s="47" t="s">
        <v>61</v>
      </c>
      <c r="AB3" s="47" t="s">
        <v>2900</v>
      </c>
      <c r="AC3" s="47" t="s">
        <v>2901</v>
      </c>
      <c r="AD3" s="47" t="s">
        <v>2902</v>
      </c>
      <c r="AF3" s="47" t="s">
        <v>2728</v>
      </c>
      <c r="AG3" s="47" t="s">
        <v>2729</v>
      </c>
      <c r="AH3" s="47" t="s">
        <v>2903</v>
      </c>
      <c r="AI3" s="17" t="s">
        <v>2904</v>
      </c>
      <c r="AJ3" s="17" t="s">
        <v>2904</v>
      </c>
      <c r="AK3" s="45" t="s">
        <v>70</v>
      </c>
    </row>
    <row r="4" ht="12.75" customHeight="1">
      <c r="A4" s="61">
        <v>2.0</v>
      </c>
      <c r="B4" s="16" t="s">
        <v>2905</v>
      </c>
      <c r="C4" s="16" t="s">
        <v>2906</v>
      </c>
      <c r="D4" s="16" t="s">
        <v>2893</v>
      </c>
      <c r="E4" s="77" t="s">
        <v>298</v>
      </c>
      <c r="F4" s="16" t="s">
        <v>73</v>
      </c>
      <c r="G4" s="77" t="s">
        <v>315</v>
      </c>
      <c r="H4" s="14">
        <v>1.102</v>
      </c>
      <c r="I4" s="14">
        <v>46.0</v>
      </c>
      <c r="J4" s="16" t="s">
        <v>2907</v>
      </c>
      <c r="K4" s="16" t="s">
        <v>2908</v>
      </c>
      <c r="L4" s="16" t="s">
        <v>2909</v>
      </c>
      <c r="M4" s="16" t="s">
        <v>298</v>
      </c>
      <c r="N4" s="16" t="s">
        <v>2906</v>
      </c>
      <c r="O4" s="16" t="s">
        <v>2909</v>
      </c>
      <c r="P4" s="14">
        <v>2015.0</v>
      </c>
      <c r="Q4" s="14" t="s">
        <v>2893</v>
      </c>
      <c r="R4" s="14" t="s">
        <v>2897</v>
      </c>
      <c r="S4" s="14" t="s">
        <v>2898</v>
      </c>
      <c r="T4" s="14" t="s">
        <v>58</v>
      </c>
      <c r="U4" s="14" t="s">
        <v>59</v>
      </c>
      <c r="V4" s="14">
        <v>7.0</v>
      </c>
      <c r="Z4" s="47" t="s">
        <v>564</v>
      </c>
      <c r="AA4" s="47" t="s">
        <v>61</v>
      </c>
      <c r="AB4" s="47" t="s">
        <v>2910</v>
      </c>
      <c r="AC4" s="47" t="s">
        <v>564</v>
      </c>
      <c r="AD4" s="47" t="s">
        <v>565</v>
      </c>
      <c r="AF4" s="47" t="s">
        <v>2728</v>
      </c>
      <c r="AG4" s="47" t="s">
        <v>2911</v>
      </c>
      <c r="AH4" s="47" t="s">
        <v>2912</v>
      </c>
      <c r="AI4" s="17" t="s">
        <v>2904</v>
      </c>
      <c r="AJ4" s="17" t="s">
        <v>2904</v>
      </c>
      <c r="AK4" s="45" t="s">
        <v>70</v>
      </c>
    </row>
    <row r="5" ht="12.75" customHeight="1">
      <c r="A5" s="61">
        <v>3.0</v>
      </c>
      <c r="B5" s="16" t="s">
        <v>2913</v>
      </c>
      <c r="C5" s="16" t="s">
        <v>2914</v>
      </c>
      <c r="D5" s="16" t="s">
        <v>2893</v>
      </c>
      <c r="E5" s="77" t="s">
        <v>298</v>
      </c>
      <c r="F5" s="16" t="s">
        <v>73</v>
      </c>
      <c r="G5" s="77" t="s">
        <v>315</v>
      </c>
      <c r="H5" s="14">
        <v>1.275</v>
      </c>
      <c r="I5" s="14">
        <v>60.0</v>
      </c>
      <c r="J5" s="16" t="s">
        <v>2915</v>
      </c>
      <c r="K5" s="16" t="s">
        <v>2916</v>
      </c>
      <c r="L5" s="16" t="s">
        <v>2917</v>
      </c>
      <c r="M5" s="16" t="s">
        <v>298</v>
      </c>
      <c r="N5" s="16" t="s">
        <v>2914</v>
      </c>
      <c r="O5" s="16" t="s">
        <v>2917</v>
      </c>
      <c r="P5" s="14">
        <v>2018.0</v>
      </c>
      <c r="Q5" s="14" t="s">
        <v>2893</v>
      </c>
      <c r="R5" s="14" t="s">
        <v>2897</v>
      </c>
      <c r="S5" s="14" t="s">
        <v>2898</v>
      </c>
      <c r="T5" s="14" t="s">
        <v>58</v>
      </c>
      <c r="U5" s="14" t="s">
        <v>59</v>
      </c>
      <c r="V5" s="14">
        <v>7.0</v>
      </c>
      <c r="Z5" s="47" t="s">
        <v>420</v>
      </c>
      <c r="AA5" s="47" t="s">
        <v>61</v>
      </c>
      <c r="AB5" s="47" t="s">
        <v>2918</v>
      </c>
      <c r="AC5" s="47" t="s">
        <v>63</v>
      </c>
      <c r="AD5" s="47" t="s">
        <v>423</v>
      </c>
      <c r="AF5" s="47" t="s">
        <v>64</v>
      </c>
      <c r="AG5" s="47" t="s">
        <v>2677</v>
      </c>
      <c r="AH5" s="47" t="s">
        <v>2919</v>
      </c>
      <c r="AI5" s="17" t="s">
        <v>2920</v>
      </c>
      <c r="AJ5" s="17" t="s">
        <v>2920</v>
      </c>
      <c r="AK5" s="45" t="s">
        <v>70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05.25"/>
    <col customWidth="1" min="3" max="3" width="16.5"/>
    <col customWidth="1" min="4" max="4" width="16.88"/>
    <col customWidth="1" min="5" max="5" width="7.5"/>
    <col customWidth="1" min="6" max="6" width="8.38"/>
    <col customWidth="1" min="7" max="7" width="9.75"/>
    <col customWidth="1" min="8" max="8" width="8.75"/>
    <col customWidth="1" min="9" max="9" width="10.5"/>
    <col customWidth="1" min="10" max="10" width="29.0"/>
    <col customWidth="1" min="11" max="11" width="40.0"/>
    <col customWidth="1" min="12" max="12" width="46.88"/>
    <col customWidth="1" min="13" max="13" width="11.63"/>
    <col customWidth="1" min="14" max="14" width="16.5"/>
    <col customWidth="1" min="15" max="15" width="58.88"/>
    <col customWidth="1" min="16" max="16" width="10.75"/>
    <col customWidth="1" min="17" max="17" width="11.75"/>
    <col customWidth="1" min="18" max="18" width="64.63"/>
    <col customWidth="1" min="19" max="21" width="10.75"/>
    <col customWidth="1" min="22" max="22" width="16.63"/>
    <col customWidth="1" min="23" max="23" width="15.38"/>
    <col customWidth="1" min="24" max="24" width="10.0"/>
    <col customWidth="1" min="25" max="25" width="11.0"/>
    <col customWidth="1" min="26" max="26" width="19.38"/>
    <col customWidth="1" min="27" max="27" width="23.75"/>
    <col customWidth="1" min="28" max="28" width="35.88"/>
    <col customWidth="1" min="29" max="29" width="16.25"/>
    <col customWidth="1" min="30" max="30" width="70.25"/>
    <col customWidth="1" min="31" max="31" width="10.63"/>
    <col customWidth="1" min="32" max="32" width="18.13"/>
    <col customWidth="1" min="33" max="33" width="23.25"/>
    <col customWidth="1" min="34" max="34" width="56.13"/>
    <col customWidth="1" min="35" max="35" width="13.88"/>
    <col customWidth="1" min="36" max="36" width="11.88"/>
    <col customWidth="1" min="37" max="37" width="13.0"/>
    <col customWidth="1" min="38" max="38" width="10.0"/>
    <col customWidth="1" min="39" max="39" width="12.5"/>
    <col customWidth="1" min="40" max="40" width="14.75"/>
    <col customWidth="1" min="41" max="41" width="18.75"/>
    <col customWidth="1" min="42" max="42" width="11.63"/>
    <col customWidth="1" min="43" max="43" width="11.38"/>
  </cols>
  <sheetData>
    <row r="1" ht="12.75" customHeight="1">
      <c r="A1" s="75" t="s">
        <v>0</v>
      </c>
      <c r="B1" s="75" t="s">
        <v>0</v>
      </c>
      <c r="C1" s="75" t="s">
        <v>0</v>
      </c>
      <c r="D1" s="75" t="s">
        <v>0</v>
      </c>
      <c r="E1" s="75" t="s">
        <v>0</v>
      </c>
      <c r="F1" s="75" t="s">
        <v>0</v>
      </c>
      <c r="G1" s="75" t="s">
        <v>0</v>
      </c>
      <c r="H1" s="75" t="s">
        <v>0</v>
      </c>
      <c r="I1" s="75" t="s">
        <v>0</v>
      </c>
      <c r="J1" s="2" t="s">
        <v>1</v>
      </c>
      <c r="K1" s="2" t="s">
        <v>1</v>
      </c>
      <c r="L1" s="78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52" t="s">
        <v>1</v>
      </c>
      <c r="W1" s="4" t="s">
        <v>2</v>
      </c>
      <c r="X1" s="4" t="s">
        <v>2</v>
      </c>
      <c r="Y1" s="4" t="s">
        <v>2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4" t="s">
        <v>2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</row>
    <row r="2" ht="12.75" customHeight="1">
      <c r="A2" s="76" t="s">
        <v>3</v>
      </c>
      <c r="B2" s="76" t="s">
        <v>4</v>
      </c>
      <c r="C2" s="76" t="s">
        <v>5</v>
      </c>
      <c r="D2" s="76" t="s">
        <v>6</v>
      </c>
      <c r="E2" s="76" t="s">
        <v>7</v>
      </c>
      <c r="F2" s="76" t="s">
        <v>8</v>
      </c>
      <c r="G2" s="76" t="s">
        <v>9</v>
      </c>
      <c r="H2" s="76" t="s">
        <v>10</v>
      </c>
      <c r="I2" s="76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3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5" t="s">
        <v>45</v>
      </c>
    </row>
    <row r="3" ht="14.25" customHeight="1">
      <c r="A3" s="61">
        <v>1.0</v>
      </c>
      <c r="B3" s="14" t="s">
        <v>2921</v>
      </c>
      <c r="C3" s="14" t="s">
        <v>2922</v>
      </c>
      <c r="D3" s="14" t="s">
        <v>2705</v>
      </c>
      <c r="E3" s="13" t="s">
        <v>298</v>
      </c>
      <c r="F3" s="14" t="s">
        <v>73</v>
      </c>
      <c r="G3" s="13" t="s">
        <v>315</v>
      </c>
      <c r="J3" s="14" t="s">
        <v>2923</v>
      </c>
      <c r="K3" s="16" t="s">
        <v>2921</v>
      </c>
      <c r="L3" s="14" t="s">
        <v>2924</v>
      </c>
      <c r="M3" s="44" t="s">
        <v>298</v>
      </c>
      <c r="N3" s="14" t="s">
        <v>2922</v>
      </c>
      <c r="O3" s="16" t="s">
        <v>2925</v>
      </c>
      <c r="P3" s="44">
        <v>2020.0</v>
      </c>
      <c r="Q3" s="44" t="s">
        <v>2926</v>
      </c>
      <c r="R3" s="14" t="s">
        <v>2927</v>
      </c>
      <c r="S3" s="44" t="s">
        <v>1805</v>
      </c>
      <c r="T3" s="44" t="s">
        <v>2928</v>
      </c>
      <c r="U3" s="44" t="s">
        <v>59</v>
      </c>
      <c r="V3" s="45">
        <v>5.0</v>
      </c>
      <c r="Z3" s="47" t="s">
        <v>420</v>
      </c>
      <c r="AA3" s="47" t="s">
        <v>2833</v>
      </c>
      <c r="AB3" s="47" t="s">
        <v>2741</v>
      </c>
      <c r="AC3" s="47" t="s">
        <v>63</v>
      </c>
      <c r="AD3" s="47" t="s">
        <v>423</v>
      </c>
      <c r="AF3" s="79" t="s">
        <v>158</v>
      </c>
      <c r="AG3" s="14" t="s">
        <v>2929</v>
      </c>
      <c r="AH3" s="14" t="s">
        <v>2930</v>
      </c>
      <c r="AI3" s="74" t="s">
        <v>2931</v>
      </c>
      <c r="AJ3" s="74" t="s">
        <v>2932</v>
      </c>
      <c r="AK3" s="16" t="s">
        <v>70</v>
      </c>
    </row>
    <row r="4" ht="14.25" customHeight="1">
      <c r="A4" s="61">
        <v>2.0</v>
      </c>
      <c r="B4" s="14" t="s">
        <v>2933</v>
      </c>
      <c r="C4" s="14" t="s">
        <v>2934</v>
      </c>
      <c r="D4" s="14" t="s">
        <v>2935</v>
      </c>
      <c r="E4" s="13" t="s">
        <v>298</v>
      </c>
      <c r="F4" s="14" t="s">
        <v>73</v>
      </c>
      <c r="G4" s="13" t="s">
        <v>315</v>
      </c>
      <c r="J4" s="14" t="s">
        <v>2936</v>
      </c>
      <c r="K4" s="16" t="s">
        <v>2933</v>
      </c>
      <c r="L4" s="14" t="s">
        <v>2937</v>
      </c>
      <c r="M4" s="44" t="s">
        <v>298</v>
      </c>
      <c r="N4" s="14" t="s">
        <v>2934</v>
      </c>
      <c r="O4" s="16" t="s">
        <v>2938</v>
      </c>
      <c r="P4" s="44">
        <v>2023.0</v>
      </c>
      <c r="Q4" s="80" t="s">
        <v>2939</v>
      </c>
      <c r="R4" s="14" t="s">
        <v>2940</v>
      </c>
      <c r="S4" s="44" t="s">
        <v>1805</v>
      </c>
      <c r="T4" s="44" t="s">
        <v>2928</v>
      </c>
      <c r="U4" s="44" t="s">
        <v>59</v>
      </c>
      <c r="V4" s="45">
        <v>3.0</v>
      </c>
      <c r="Z4" s="47" t="s">
        <v>420</v>
      </c>
      <c r="AA4" s="16" t="s">
        <v>2941</v>
      </c>
      <c r="AB4" s="16" t="s">
        <v>2942</v>
      </c>
      <c r="AC4" s="47" t="s">
        <v>63</v>
      </c>
      <c r="AD4" s="47" t="s">
        <v>423</v>
      </c>
      <c r="AF4" s="79" t="s">
        <v>158</v>
      </c>
      <c r="AG4" s="16" t="s">
        <v>2943</v>
      </c>
      <c r="AH4" s="14" t="s">
        <v>2944</v>
      </c>
      <c r="AI4" s="74" t="s">
        <v>2945</v>
      </c>
      <c r="AJ4" s="74" t="s">
        <v>2946</v>
      </c>
      <c r="AK4" s="16" t="s">
        <v>70</v>
      </c>
    </row>
    <row r="5" ht="14.25" customHeight="1">
      <c r="A5" s="61">
        <v>3.0</v>
      </c>
      <c r="B5" s="14" t="s">
        <v>2947</v>
      </c>
      <c r="C5" s="14" t="s">
        <v>2948</v>
      </c>
      <c r="D5" s="14" t="s">
        <v>2949</v>
      </c>
      <c r="E5" s="13" t="s">
        <v>298</v>
      </c>
      <c r="F5" s="14" t="s">
        <v>73</v>
      </c>
      <c r="G5" s="13" t="s">
        <v>315</v>
      </c>
      <c r="J5" s="13" t="s">
        <v>2950</v>
      </c>
      <c r="K5" s="16" t="s">
        <v>2951</v>
      </c>
      <c r="L5" s="14" t="s">
        <v>2952</v>
      </c>
      <c r="M5" s="44" t="s">
        <v>298</v>
      </c>
      <c r="N5" s="14" t="s">
        <v>2948</v>
      </c>
      <c r="O5" s="16" t="s">
        <v>2953</v>
      </c>
      <c r="P5" s="44">
        <v>1993.0</v>
      </c>
      <c r="Q5" s="44" t="s">
        <v>2954</v>
      </c>
      <c r="R5" s="14" t="s">
        <v>2955</v>
      </c>
      <c r="S5" s="44" t="s">
        <v>1805</v>
      </c>
      <c r="T5" s="44" t="s">
        <v>2928</v>
      </c>
      <c r="U5" s="44" t="s">
        <v>59</v>
      </c>
      <c r="V5" s="45">
        <v>1.0</v>
      </c>
      <c r="Z5" s="47" t="s">
        <v>420</v>
      </c>
      <c r="AA5" s="16" t="s">
        <v>2956</v>
      </c>
      <c r="AB5" s="16" t="s">
        <v>2956</v>
      </c>
      <c r="AC5" s="47" t="s">
        <v>63</v>
      </c>
      <c r="AD5" s="47" t="s">
        <v>423</v>
      </c>
      <c r="AF5" s="79" t="s">
        <v>2957</v>
      </c>
      <c r="AG5" s="16" t="s">
        <v>2929</v>
      </c>
      <c r="AH5" s="14" t="s">
        <v>2958</v>
      </c>
      <c r="AI5" s="74" t="s">
        <v>2959</v>
      </c>
      <c r="AJ5" s="74" t="s">
        <v>2960</v>
      </c>
      <c r="AK5" s="16" t="s">
        <v>70</v>
      </c>
    </row>
    <row r="6" ht="14.25" customHeight="1">
      <c r="A6" s="61">
        <v>4.0</v>
      </c>
      <c r="B6" s="14" t="s">
        <v>2961</v>
      </c>
      <c r="C6" s="14" t="s">
        <v>2962</v>
      </c>
      <c r="D6" s="14" t="s">
        <v>2963</v>
      </c>
      <c r="E6" s="13" t="s">
        <v>298</v>
      </c>
      <c r="F6" s="14" t="s">
        <v>73</v>
      </c>
      <c r="G6" s="13" t="s">
        <v>315</v>
      </c>
      <c r="J6" s="13" t="s">
        <v>2964</v>
      </c>
      <c r="K6" s="16" t="s">
        <v>2961</v>
      </c>
      <c r="L6" s="14" t="s">
        <v>2965</v>
      </c>
      <c r="M6" s="44" t="s">
        <v>298</v>
      </c>
      <c r="N6" s="14" t="s">
        <v>2962</v>
      </c>
      <c r="O6" s="16" t="s">
        <v>2966</v>
      </c>
      <c r="P6" s="44">
        <v>2022.0</v>
      </c>
      <c r="Q6" s="44" t="s">
        <v>2967</v>
      </c>
      <c r="R6" s="14" t="s">
        <v>2968</v>
      </c>
      <c r="S6" s="44" t="s">
        <v>1805</v>
      </c>
      <c r="T6" s="44" t="s">
        <v>2928</v>
      </c>
      <c r="U6" s="44" t="s">
        <v>59</v>
      </c>
      <c r="V6" s="45">
        <v>3.0</v>
      </c>
      <c r="Z6" s="47" t="s">
        <v>420</v>
      </c>
      <c r="AA6" s="16" t="s">
        <v>2942</v>
      </c>
      <c r="AB6" s="16" t="s">
        <v>2942</v>
      </c>
      <c r="AC6" s="47" t="s">
        <v>63</v>
      </c>
      <c r="AD6" s="47" t="s">
        <v>423</v>
      </c>
      <c r="AF6" s="79" t="s">
        <v>2957</v>
      </c>
      <c r="AG6" s="16" t="s">
        <v>2929</v>
      </c>
      <c r="AH6" s="14" t="s">
        <v>2969</v>
      </c>
      <c r="AI6" s="74" t="s">
        <v>2970</v>
      </c>
      <c r="AJ6" s="74" t="s">
        <v>2971</v>
      </c>
      <c r="AK6" s="16" t="s">
        <v>70</v>
      </c>
    </row>
    <row r="7" ht="14.25" customHeight="1">
      <c r="A7" s="61">
        <v>5.0</v>
      </c>
      <c r="B7" s="14" t="s">
        <v>2972</v>
      </c>
      <c r="C7" s="14" t="s">
        <v>2973</v>
      </c>
      <c r="D7" s="14" t="s">
        <v>2682</v>
      </c>
      <c r="E7" s="13" t="s">
        <v>298</v>
      </c>
      <c r="F7" s="14" t="s">
        <v>73</v>
      </c>
      <c r="G7" s="13" t="s">
        <v>315</v>
      </c>
      <c r="J7" s="13" t="s">
        <v>2974</v>
      </c>
      <c r="K7" s="16" t="s">
        <v>2972</v>
      </c>
      <c r="L7" s="14" t="s">
        <v>2975</v>
      </c>
      <c r="M7" s="44" t="s">
        <v>298</v>
      </c>
      <c r="N7" s="14" t="s">
        <v>2973</v>
      </c>
      <c r="O7" s="16" t="s">
        <v>2976</v>
      </c>
      <c r="P7" s="44">
        <v>2017.0</v>
      </c>
      <c r="Q7" s="44" t="s">
        <v>2977</v>
      </c>
      <c r="R7" s="14" t="s">
        <v>2978</v>
      </c>
      <c r="S7" s="44" t="s">
        <v>1805</v>
      </c>
      <c r="T7" s="44" t="s">
        <v>2928</v>
      </c>
      <c r="U7" s="44" t="s">
        <v>59</v>
      </c>
      <c r="V7" s="45">
        <v>4.0</v>
      </c>
      <c r="Z7" s="47" t="s">
        <v>420</v>
      </c>
      <c r="AA7" s="16" t="s">
        <v>2979</v>
      </c>
      <c r="AB7" s="47" t="s">
        <v>2688</v>
      </c>
      <c r="AC7" s="47" t="s">
        <v>63</v>
      </c>
      <c r="AD7" s="47" t="s">
        <v>423</v>
      </c>
      <c r="AF7" s="79" t="s">
        <v>2957</v>
      </c>
      <c r="AG7" s="16" t="s">
        <v>2929</v>
      </c>
      <c r="AH7" s="14" t="s">
        <v>2980</v>
      </c>
      <c r="AI7" s="74" t="s">
        <v>2981</v>
      </c>
      <c r="AJ7" s="74" t="s">
        <v>2982</v>
      </c>
      <c r="AK7" s="16" t="s">
        <v>70</v>
      </c>
    </row>
    <row r="8" ht="14.25" customHeight="1">
      <c r="A8" s="61">
        <v>6.0</v>
      </c>
      <c r="B8" s="14" t="s">
        <v>2983</v>
      </c>
      <c r="C8" s="14" t="s">
        <v>2984</v>
      </c>
      <c r="D8" s="14" t="s">
        <v>2682</v>
      </c>
      <c r="E8" s="13" t="s">
        <v>298</v>
      </c>
      <c r="F8" s="14" t="s">
        <v>73</v>
      </c>
      <c r="G8" s="13" t="s">
        <v>315</v>
      </c>
      <c r="J8" s="14" t="s">
        <v>2985</v>
      </c>
      <c r="K8" s="16" t="s">
        <v>2983</v>
      </c>
      <c r="L8" s="14" t="s">
        <v>2986</v>
      </c>
      <c r="M8" s="44" t="s">
        <v>298</v>
      </c>
      <c r="N8" s="14" t="s">
        <v>2984</v>
      </c>
      <c r="O8" s="16" t="s">
        <v>2987</v>
      </c>
      <c r="P8" s="44">
        <v>1993.0</v>
      </c>
      <c r="Q8" s="44" t="s">
        <v>2988</v>
      </c>
      <c r="R8" s="14" t="s">
        <v>2989</v>
      </c>
      <c r="S8" s="44" t="s">
        <v>1805</v>
      </c>
      <c r="T8" s="44" t="s">
        <v>2928</v>
      </c>
      <c r="U8" s="44" t="s">
        <v>59</v>
      </c>
      <c r="V8" s="45">
        <v>4.0</v>
      </c>
      <c r="Z8" s="47" t="s">
        <v>420</v>
      </c>
      <c r="AA8" s="16" t="s">
        <v>2979</v>
      </c>
      <c r="AB8" s="47" t="s">
        <v>2688</v>
      </c>
      <c r="AC8" s="47" t="s">
        <v>63</v>
      </c>
      <c r="AD8" s="47" t="s">
        <v>423</v>
      </c>
      <c r="AF8" s="79" t="s">
        <v>158</v>
      </c>
      <c r="AG8" s="16" t="s">
        <v>2990</v>
      </c>
      <c r="AH8" s="14" t="s">
        <v>2991</v>
      </c>
      <c r="AI8" s="74" t="s">
        <v>2992</v>
      </c>
      <c r="AJ8" s="74" t="s">
        <v>2993</v>
      </c>
      <c r="AK8" s="16" t="s">
        <v>70</v>
      </c>
    </row>
    <row r="9" ht="14.25" customHeight="1">
      <c r="A9" s="61">
        <v>7.0</v>
      </c>
      <c r="B9" s="14" t="s">
        <v>2994</v>
      </c>
      <c r="C9" s="14" t="s">
        <v>2995</v>
      </c>
      <c r="D9" s="13" t="s">
        <v>2996</v>
      </c>
      <c r="E9" s="13" t="s">
        <v>298</v>
      </c>
      <c r="F9" s="14" t="s">
        <v>73</v>
      </c>
      <c r="G9" s="13" t="s">
        <v>315</v>
      </c>
      <c r="J9" s="13" t="s">
        <v>2997</v>
      </c>
      <c r="K9" s="77" t="s">
        <v>2998</v>
      </c>
      <c r="L9" s="14" t="s">
        <v>2999</v>
      </c>
      <c r="M9" s="44" t="s">
        <v>298</v>
      </c>
      <c r="N9" s="14" t="s">
        <v>2995</v>
      </c>
      <c r="O9" s="16" t="s">
        <v>3000</v>
      </c>
      <c r="P9" s="44">
        <v>2022.0</v>
      </c>
      <c r="Q9" s="44" t="s">
        <v>3001</v>
      </c>
      <c r="R9" s="14" t="s">
        <v>3002</v>
      </c>
      <c r="S9" s="44" t="s">
        <v>1805</v>
      </c>
      <c r="T9" s="44" t="s">
        <v>2928</v>
      </c>
      <c r="U9" s="44" t="s">
        <v>59</v>
      </c>
      <c r="V9" s="45">
        <v>4.0</v>
      </c>
      <c r="Z9" s="47" t="s">
        <v>420</v>
      </c>
      <c r="AA9" s="16" t="s">
        <v>3003</v>
      </c>
      <c r="AB9" s="47" t="s">
        <v>2688</v>
      </c>
      <c r="AC9" s="47" t="s">
        <v>63</v>
      </c>
      <c r="AD9" s="47" t="s">
        <v>423</v>
      </c>
      <c r="AF9" s="79" t="s">
        <v>2957</v>
      </c>
      <c r="AG9" s="16" t="s">
        <v>2929</v>
      </c>
      <c r="AH9" s="14" t="s">
        <v>3004</v>
      </c>
      <c r="AI9" s="74" t="s">
        <v>3005</v>
      </c>
      <c r="AJ9" s="74" t="s">
        <v>3006</v>
      </c>
      <c r="AK9" s="16" t="s">
        <v>70</v>
      </c>
    </row>
    <row r="10" ht="14.25" customHeight="1">
      <c r="A10" s="61">
        <v>8.0</v>
      </c>
      <c r="B10" s="14" t="s">
        <v>3007</v>
      </c>
      <c r="C10" s="14" t="s">
        <v>3008</v>
      </c>
      <c r="D10" s="14" t="s">
        <v>2746</v>
      </c>
      <c r="E10" s="13" t="s">
        <v>298</v>
      </c>
      <c r="F10" s="14" t="s">
        <v>73</v>
      </c>
      <c r="G10" s="13" t="s">
        <v>315</v>
      </c>
      <c r="J10" s="14" t="s">
        <v>3009</v>
      </c>
      <c r="K10" s="16" t="s">
        <v>3007</v>
      </c>
      <c r="L10" s="14" t="s">
        <v>3010</v>
      </c>
      <c r="M10" s="44" t="s">
        <v>298</v>
      </c>
      <c r="N10" s="14" t="s">
        <v>3008</v>
      </c>
      <c r="O10" s="16" t="s">
        <v>3011</v>
      </c>
      <c r="P10" s="44">
        <v>2020.0</v>
      </c>
      <c r="Q10" s="44" t="s">
        <v>2988</v>
      </c>
      <c r="R10" s="14" t="s">
        <v>2989</v>
      </c>
      <c r="S10" s="44" t="s">
        <v>1805</v>
      </c>
      <c r="T10" s="44" t="s">
        <v>2928</v>
      </c>
      <c r="U10" s="44" t="s">
        <v>59</v>
      </c>
      <c r="V10" s="45">
        <v>4.0</v>
      </c>
      <c r="Z10" s="47" t="s">
        <v>420</v>
      </c>
      <c r="AA10" s="16" t="s">
        <v>3012</v>
      </c>
      <c r="AB10" s="47" t="s">
        <v>2688</v>
      </c>
      <c r="AC10" s="47" t="s">
        <v>63</v>
      </c>
      <c r="AD10" s="47" t="s">
        <v>423</v>
      </c>
      <c r="AF10" s="79" t="s">
        <v>2957</v>
      </c>
      <c r="AG10" s="16" t="s">
        <v>2929</v>
      </c>
      <c r="AH10" s="14" t="s">
        <v>3013</v>
      </c>
      <c r="AI10" s="74" t="s">
        <v>3014</v>
      </c>
      <c r="AJ10" s="74" t="s">
        <v>3015</v>
      </c>
      <c r="AK10" s="16" t="s">
        <v>70</v>
      </c>
    </row>
    <row r="11" ht="14.25" customHeight="1">
      <c r="A11" s="61">
        <v>9.0</v>
      </c>
      <c r="B11" s="14" t="s">
        <v>3016</v>
      </c>
      <c r="C11" s="14" t="s">
        <v>3017</v>
      </c>
      <c r="D11" s="14" t="s">
        <v>2746</v>
      </c>
      <c r="E11" s="13" t="s">
        <v>298</v>
      </c>
      <c r="F11" s="14" t="s">
        <v>73</v>
      </c>
      <c r="G11" s="13" t="s">
        <v>315</v>
      </c>
      <c r="J11" s="14" t="s">
        <v>3018</v>
      </c>
      <c r="K11" s="16" t="s">
        <v>3016</v>
      </c>
      <c r="L11" s="14" t="s">
        <v>3019</v>
      </c>
      <c r="M11" s="44" t="s">
        <v>298</v>
      </c>
      <c r="N11" s="14" t="s">
        <v>3017</v>
      </c>
      <c r="O11" s="16" t="s">
        <v>3020</v>
      </c>
      <c r="P11" s="44">
        <v>2019.0</v>
      </c>
      <c r="Q11" s="44" t="s">
        <v>2988</v>
      </c>
      <c r="R11" s="14" t="s">
        <v>2989</v>
      </c>
      <c r="S11" s="44" t="s">
        <v>1805</v>
      </c>
      <c r="T11" s="44" t="s">
        <v>2928</v>
      </c>
      <c r="U11" s="44" t="s">
        <v>59</v>
      </c>
      <c r="V11" s="45">
        <v>4.0</v>
      </c>
      <c r="Z11" s="47" t="s">
        <v>420</v>
      </c>
      <c r="AA11" s="16" t="s">
        <v>3012</v>
      </c>
      <c r="AB11" s="47" t="s">
        <v>2688</v>
      </c>
      <c r="AC11" s="47" t="s">
        <v>63</v>
      </c>
      <c r="AD11" s="47" t="s">
        <v>423</v>
      </c>
      <c r="AF11" s="79" t="s">
        <v>2957</v>
      </c>
      <c r="AG11" s="47" t="s">
        <v>2711</v>
      </c>
      <c r="AH11" s="14" t="s">
        <v>3021</v>
      </c>
      <c r="AI11" s="74" t="s">
        <v>2752</v>
      </c>
      <c r="AJ11" s="74" t="s">
        <v>2753</v>
      </c>
      <c r="AK11" s="16" t="s">
        <v>70</v>
      </c>
    </row>
    <row r="12" ht="14.25" customHeight="1">
      <c r="A12" s="61">
        <v>10.0</v>
      </c>
      <c r="B12" s="14" t="s">
        <v>3022</v>
      </c>
      <c r="C12" s="14" t="s">
        <v>3023</v>
      </c>
      <c r="D12" s="14" t="s">
        <v>3024</v>
      </c>
      <c r="E12" s="13" t="s">
        <v>298</v>
      </c>
      <c r="F12" s="14" t="s">
        <v>73</v>
      </c>
      <c r="G12" s="13" t="s">
        <v>315</v>
      </c>
      <c r="J12" s="14" t="s">
        <v>3025</v>
      </c>
      <c r="K12" s="16" t="s">
        <v>3022</v>
      </c>
      <c r="L12" s="14" t="s">
        <v>3026</v>
      </c>
      <c r="M12" s="44" t="s">
        <v>298</v>
      </c>
      <c r="N12" s="14" t="s">
        <v>3023</v>
      </c>
      <c r="O12" s="16" t="s">
        <v>3027</v>
      </c>
      <c r="P12" s="44">
        <v>2018.0</v>
      </c>
      <c r="Q12" s="44" t="s">
        <v>2988</v>
      </c>
      <c r="R12" s="14" t="s">
        <v>2989</v>
      </c>
      <c r="S12" s="44" t="s">
        <v>1805</v>
      </c>
      <c r="T12" s="44" t="s">
        <v>2928</v>
      </c>
      <c r="U12" s="44" t="s">
        <v>59</v>
      </c>
      <c r="V12" s="45">
        <v>4.0</v>
      </c>
      <c r="Z12" s="47" t="s">
        <v>420</v>
      </c>
      <c r="AA12" s="16" t="s">
        <v>3003</v>
      </c>
      <c r="AB12" s="47" t="s">
        <v>2688</v>
      </c>
      <c r="AC12" s="47" t="s">
        <v>63</v>
      </c>
      <c r="AD12" s="47" t="s">
        <v>423</v>
      </c>
      <c r="AF12" s="79" t="s">
        <v>2957</v>
      </c>
      <c r="AG12" s="16" t="s">
        <v>2929</v>
      </c>
      <c r="AH12" s="14" t="s">
        <v>3028</v>
      </c>
      <c r="AI12" s="74" t="s">
        <v>3029</v>
      </c>
      <c r="AJ12" s="74" t="s">
        <v>3030</v>
      </c>
      <c r="AK12" s="16" t="s">
        <v>70</v>
      </c>
    </row>
    <row r="13" ht="14.25" customHeight="1">
      <c r="A13" s="61">
        <v>11.0</v>
      </c>
      <c r="B13" s="14" t="s">
        <v>3031</v>
      </c>
      <c r="C13" s="14" t="s">
        <v>3032</v>
      </c>
      <c r="D13" s="14" t="s">
        <v>3024</v>
      </c>
      <c r="E13" s="13" t="s">
        <v>298</v>
      </c>
      <c r="F13" s="14" t="s">
        <v>73</v>
      </c>
      <c r="G13" s="13" t="s">
        <v>315</v>
      </c>
      <c r="J13" s="14" t="s">
        <v>3033</v>
      </c>
      <c r="K13" s="16" t="s">
        <v>3031</v>
      </c>
      <c r="L13" s="14" t="s">
        <v>3034</v>
      </c>
      <c r="M13" s="44" t="s">
        <v>298</v>
      </c>
      <c r="N13" s="14" t="s">
        <v>3032</v>
      </c>
      <c r="O13" s="16" t="s">
        <v>3035</v>
      </c>
      <c r="P13" s="44">
        <v>2020.0</v>
      </c>
      <c r="Q13" s="44" t="s">
        <v>2988</v>
      </c>
      <c r="R13" s="14" t="s">
        <v>2989</v>
      </c>
      <c r="S13" s="44" t="s">
        <v>1805</v>
      </c>
      <c r="T13" s="44" t="s">
        <v>2928</v>
      </c>
      <c r="U13" s="44" t="s">
        <v>59</v>
      </c>
      <c r="V13" s="45">
        <v>4.0</v>
      </c>
      <c r="Z13" s="47" t="s">
        <v>420</v>
      </c>
      <c r="AA13" s="16" t="s">
        <v>3003</v>
      </c>
      <c r="AB13" s="47" t="s">
        <v>2688</v>
      </c>
      <c r="AC13" s="47" t="s">
        <v>63</v>
      </c>
      <c r="AD13" s="47" t="s">
        <v>423</v>
      </c>
      <c r="AF13" s="79" t="s">
        <v>2957</v>
      </c>
      <c r="AG13" s="16" t="s">
        <v>2929</v>
      </c>
      <c r="AH13" s="14" t="s">
        <v>3036</v>
      </c>
      <c r="AI13" s="74" t="s">
        <v>3037</v>
      </c>
      <c r="AJ13" s="74" t="s">
        <v>3038</v>
      </c>
      <c r="AK13" s="16" t="s">
        <v>70</v>
      </c>
    </row>
    <row r="14" ht="14.25" customHeight="1">
      <c r="A14" s="61">
        <v>12.0</v>
      </c>
      <c r="B14" s="14" t="s">
        <v>3039</v>
      </c>
      <c r="C14" s="14" t="s">
        <v>3040</v>
      </c>
      <c r="D14" s="14" t="s">
        <v>2682</v>
      </c>
      <c r="E14" s="13" t="s">
        <v>298</v>
      </c>
      <c r="F14" s="14" t="s">
        <v>73</v>
      </c>
      <c r="G14" s="13" t="s">
        <v>315</v>
      </c>
      <c r="J14" s="13" t="s">
        <v>3041</v>
      </c>
      <c r="K14" s="16" t="s">
        <v>3039</v>
      </c>
      <c r="L14" s="14" t="s">
        <v>3042</v>
      </c>
      <c r="M14" s="44" t="s">
        <v>298</v>
      </c>
      <c r="N14" s="14" t="s">
        <v>3040</v>
      </c>
      <c r="O14" s="16" t="s">
        <v>3043</v>
      </c>
      <c r="P14" s="44">
        <v>1998.0</v>
      </c>
      <c r="Q14" s="44" t="s">
        <v>2926</v>
      </c>
      <c r="R14" s="14" t="s">
        <v>3044</v>
      </c>
      <c r="S14" s="44" t="s">
        <v>1805</v>
      </c>
      <c r="T14" s="44" t="s">
        <v>2928</v>
      </c>
      <c r="U14" s="44" t="s">
        <v>59</v>
      </c>
      <c r="V14" s="45">
        <v>4.0</v>
      </c>
      <c r="Z14" s="47" t="s">
        <v>420</v>
      </c>
      <c r="AA14" s="16" t="s">
        <v>2979</v>
      </c>
      <c r="AB14" s="47" t="s">
        <v>2688</v>
      </c>
      <c r="AC14" s="47" t="s">
        <v>63</v>
      </c>
      <c r="AD14" s="47" t="s">
        <v>423</v>
      </c>
      <c r="AF14" s="79" t="s">
        <v>158</v>
      </c>
      <c r="AG14" s="16" t="s">
        <v>3045</v>
      </c>
      <c r="AH14" s="14" t="s">
        <v>3046</v>
      </c>
      <c r="AI14" s="74" t="s">
        <v>3047</v>
      </c>
      <c r="AJ14" s="74" t="s">
        <v>3048</v>
      </c>
      <c r="AK14" s="16" t="s">
        <v>70</v>
      </c>
    </row>
    <row r="15" ht="14.25" customHeight="1">
      <c r="A15" s="61">
        <v>13.0</v>
      </c>
      <c r="B15" s="14" t="s">
        <v>3049</v>
      </c>
      <c r="C15" s="14" t="s">
        <v>3050</v>
      </c>
      <c r="D15" s="14" t="s">
        <v>2682</v>
      </c>
      <c r="E15" s="13" t="s">
        <v>298</v>
      </c>
      <c r="F15" s="14" t="s">
        <v>73</v>
      </c>
      <c r="G15" s="13" t="s">
        <v>315</v>
      </c>
      <c r="J15" s="13" t="s">
        <v>3051</v>
      </c>
      <c r="K15" s="16" t="s">
        <v>3049</v>
      </c>
      <c r="L15" s="14" t="s">
        <v>3052</v>
      </c>
      <c r="M15" s="44" t="s">
        <v>298</v>
      </c>
      <c r="N15" s="14" t="s">
        <v>3050</v>
      </c>
      <c r="O15" s="16" t="s">
        <v>3053</v>
      </c>
      <c r="P15" s="44">
        <v>1997.0</v>
      </c>
      <c r="Q15" s="44" t="s">
        <v>2926</v>
      </c>
      <c r="R15" s="14" t="s">
        <v>3044</v>
      </c>
      <c r="S15" s="44" t="s">
        <v>1805</v>
      </c>
      <c r="T15" s="44" t="s">
        <v>2928</v>
      </c>
      <c r="U15" s="44" t="s">
        <v>59</v>
      </c>
      <c r="V15" s="45">
        <v>4.0</v>
      </c>
      <c r="Z15" s="47" t="s">
        <v>420</v>
      </c>
      <c r="AA15" s="16" t="s">
        <v>2979</v>
      </c>
      <c r="AB15" s="47" t="s">
        <v>2688</v>
      </c>
      <c r="AC15" s="47" t="s">
        <v>63</v>
      </c>
      <c r="AD15" s="47" t="s">
        <v>423</v>
      </c>
      <c r="AF15" s="79" t="s">
        <v>2957</v>
      </c>
      <c r="AG15" s="16" t="s">
        <v>2929</v>
      </c>
      <c r="AH15" s="14" t="s">
        <v>3054</v>
      </c>
      <c r="AI15" s="74" t="s">
        <v>3055</v>
      </c>
      <c r="AJ15" s="74" t="s">
        <v>3056</v>
      </c>
      <c r="AK15" s="16" t="s">
        <v>70</v>
      </c>
    </row>
    <row r="16" ht="14.25" customHeight="1">
      <c r="A16" s="61">
        <v>14.0</v>
      </c>
      <c r="B16" s="14" t="s">
        <v>3057</v>
      </c>
      <c r="C16" s="14" t="s">
        <v>3058</v>
      </c>
      <c r="D16" s="14" t="s">
        <v>2682</v>
      </c>
      <c r="E16" s="13" t="s">
        <v>298</v>
      </c>
      <c r="F16" s="14" t="s">
        <v>73</v>
      </c>
      <c r="G16" s="13" t="s">
        <v>315</v>
      </c>
      <c r="J16" s="13" t="s">
        <v>3059</v>
      </c>
      <c r="K16" s="16" t="s">
        <v>3057</v>
      </c>
      <c r="L16" s="14" t="s">
        <v>3060</v>
      </c>
      <c r="M16" s="44" t="s">
        <v>298</v>
      </c>
      <c r="N16" s="14" t="s">
        <v>3058</v>
      </c>
      <c r="O16" s="16" t="s">
        <v>3061</v>
      </c>
      <c r="P16" s="44">
        <v>2016.0</v>
      </c>
      <c r="Q16" s="44" t="s">
        <v>2926</v>
      </c>
      <c r="R16" s="14" t="s">
        <v>3044</v>
      </c>
      <c r="S16" s="44" t="s">
        <v>1805</v>
      </c>
      <c r="T16" s="44" t="s">
        <v>2928</v>
      </c>
      <c r="U16" s="44" t="s">
        <v>59</v>
      </c>
      <c r="V16" s="45">
        <v>4.0</v>
      </c>
      <c r="Z16" s="47" t="s">
        <v>420</v>
      </c>
      <c r="AA16" s="16" t="s">
        <v>2979</v>
      </c>
      <c r="AB16" s="47" t="s">
        <v>2688</v>
      </c>
      <c r="AC16" s="47" t="s">
        <v>63</v>
      </c>
      <c r="AD16" s="47" t="s">
        <v>423</v>
      </c>
      <c r="AF16" s="79" t="s">
        <v>158</v>
      </c>
      <c r="AG16" s="16" t="s">
        <v>3062</v>
      </c>
      <c r="AH16" s="14" t="s">
        <v>3054</v>
      </c>
      <c r="AI16" s="74" t="s">
        <v>3063</v>
      </c>
      <c r="AJ16" s="74" t="s">
        <v>3064</v>
      </c>
      <c r="AK16" s="16" t="s">
        <v>70</v>
      </c>
    </row>
    <row r="17" ht="14.25" customHeight="1">
      <c r="A17" s="61">
        <v>15.0</v>
      </c>
      <c r="B17" s="14" t="s">
        <v>3065</v>
      </c>
      <c r="C17" s="14" t="s">
        <v>3066</v>
      </c>
      <c r="D17" s="14" t="s">
        <v>2682</v>
      </c>
      <c r="E17" s="13" t="s">
        <v>298</v>
      </c>
      <c r="F17" s="14" t="s">
        <v>73</v>
      </c>
      <c r="G17" s="13" t="s">
        <v>315</v>
      </c>
      <c r="J17" s="14" t="s">
        <v>3067</v>
      </c>
      <c r="K17" s="16" t="s">
        <v>3065</v>
      </c>
      <c r="L17" s="14" t="s">
        <v>3068</v>
      </c>
      <c r="M17" s="44" t="s">
        <v>298</v>
      </c>
      <c r="N17" s="14" t="s">
        <v>3066</v>
      </c>
      <c r="O17" s="16" t="s">
        <v>3069</v>
      </c>
      <c r="P17" s="44">
        <v>2021.0</v>
      </c>
      <c r="Q17" s="44" t="s">
        <v>2988</v>
      </c>
      <c r="R17" s="14" t="s">
        <v>2989</v>
      </c>
      <c r="S17" s="44" t="s">
        <v>1805</v>
      </c>
      <c r="T17" s="44" t="s">
        <v>2928</v>
      </c>
      <c r="U17" s="44" t="s">
        <v>59</v>
      </c>
      <c r="V17" s="45">
        <v>4.0</v>
      </c>
      <c r="Z17" s="47" t="s">
        <v>420</v>
      </c>
      <c r="AA17" s="16" t="s">
        <v>2979</v>
      </c>
      <c r="AB17" s="47" t="s">
        <v>2688</v>
      </c>
      <c r="AC17" s="47" t="s">
        <v>63</v>
      </c>
      <c r="AD17" s="47" t="s">
        <v>423</v>
      </c>
      <c r="AF17" s="79" t="s">
        <v>2957</v>
      </c>
      <c r="AG17" s="16" t="s">
        <v>2929</v>
      </c>
      <c r="AH17" s="14" t="s">
        <v>3070</v>
      </c>
      <c r="AI17" s="74" t="s">
        <v>3071</v>
      </c>
      <c r="AJ17" s="74" t="s">
        <v>3072</v>
      </c>
      <c r="AK17" s="16" t="s">
        <v>70</v>
      </c>
    </row>
    <row r="18" ht="14.25" customHeight="1">
      <c r="A18" s="61">
        <v>16.0</v>
      </c>
      <c r="B18" s="14" t="s">
        <v>3073</v>
      </c>
      <c r="C18" s="14" t="s">
        <v>3066</v>
      </c>
      <c r="D18" s="14" t="s">
        <v>2682</v>
      </c>
      <c r="E18" s="13" t="s">
        <v>298</v>
      </c>
      <c r="F18" s="14" t="s">
        <v>73</v>
      </c>
      <c r="G18" s="13" t="s">
        <v>315</v>
      </c>
      <c r="J18" s="14" t="s">
        <v>3074</v>
      </c>
      <c r="K18" s="16" t="s">
        <v>3073</v>
      </c>
      <c r="L18" s="14" t="s">
        <v>3060</v>
      </c>
      <c r="M18" s="44" t="s">
        <v>298</v>
      </c>
      <c r="N18" s="14" t="s">
        <v>3066</v>
      </c>
      <c r="O18" s="16" t="s">
        <v>3075</v>
      </c>
      <c r="P18" s="44">
        <v>2022.0</v>
      </c>
      <c r="Q18" s="44" t="s">
        <v>2926</v>
      </c>
      <c r="R18" s="14" t="s">
        <v>3044</v>
      </c>
      <c r="S18" s="44" t="s">
        <v>1805</v>
      </c>
      <c r="T18" s="44" t="s">
        <v>2928</v>
      </c>
      <c r="U18" s="44" t="s">
        <v>59</v>
      </c>
      <c r="V18" s="45">
        <v>4.0</v>
      </c>
      <c r="Z18" s="47" t="s">
        <v>420</v>
      </c>
      <c r="AA18" s="16" t="s">
        <v>2979</v>
      </c>
      <c r="AB18" s="47" t="s">
        <v>2688</v>
      </c>
      <c r="AC18" s="47" t="s">
        <v>63</v>
      </c>
      <c r="AD18" s="47" t="s">
        <v>423</v>
      </c>
      <c r="AF18" s="79" t="s">
        <v>158</v>
      </c>
      <c r="AG18" s="16" t="s">
        <v>3076</v>
      </c>
      <c r="AH18" s="14" t="s">
        <v>3077</v>
      </c>
      <c r="AI18" s="74" t="s">
        <v>3078</v>
      </c>
      <c r="AJ18" s="74" t="s">
        <v>3079</v>
      </c>
      <c r="AK18" s="16" t="s">
        <v>70</v>
      </c>
    </row>
    <row r="19" ht="14.25" customHeight="1">
      <c r="A19" s="61">
        <v>17.0</v>
      </c>
      <c r="B19" s="14" t="s">
        <v>3080</v>
      </c>
      <c r="C19" s="14" t="s">
        <v>3081</v>
      </c>
      <c r="D19" s="14" t="s">
        <v>2682</v>
      </c>
      <c r="E19" s="13" t="s">
        <v>298</v>
      </c>
      <c r="F19" s="14" t="s">
        <v>73</v>
      </c>
      <c r="G19" s="13" t="s">
        <v>315</v>
      </c>
      <c r="J19" s="14" t="s">
        <v>3082</v>
      </c>
      <c r="K19" s="16" t="s">
        <v>3080</v>
      </c>
      <c r="L19" s="14" t="s">
        <v>3083</v>
      </c>
      <c r="M19" s="44" t="s">
        <v>298</v>
      </c>
      <c r="N19" s="14" t="s">
        <v>3081</v>
      </c>
      <c r="O19" s="16" t="s">
        <v>3084</v>
      </c>
      <c r="P19" s="44">
        <v>2022.0</v>
      </c>
      <c r="Q19" s="44" t="s">
        <v>3085</v>
      </c>
      <c r="R19" s="14" t="s">
        <v>3086</v>
      </c>
      <c r="S19" s="44" t="s">
        <v>1805</v>
      </c>
      <c r="T19" s="44" t="s">
        <v>2928</v>
      </c>
      <c r="U19" s="44" t="s">
        <v>59</v>
      </c>
      <c r="V19" s="45">
        <v>4.0</v>
      </c>
      <c r="Z19" s="47" t="s">
        <v>420</v>
      </c>
      <c r="AA19" s="16" t="s">
        <v>2979</v>
      </c>
      <c r="AB19" s="47" t="s">
        <v>2688</v>
      </c>
      <c r="AC19" s="47" t="s">
        <v>63</v>
      </c>
      <c r="AD19" s="47" t="s">
        <v>423</v>
      </c>
      <c r="AF19" s="79" t="s">
        <v>2957</v>
      </c>
      <c r="AG19" s="16" t="s">
        <v>2929</v>
      </c>
      <c r="AH19" s="14" t="s">
        <v>3087</v>
      </c>
      <c r="AI19" s="74" t="s">
        <v>3088</v>
      </c>
      <c r="AJ19" s="74" t="s">
        <v>3089</v>
      </c>
      <c r="AK19" s="16" t="s">
        <v>70</v>
      </c>
    </row>
    <row r="20" ht="14.25" customHeight="1">
      <c r="A20" s="61">
        <v>18.0</v>
      </c>
      <c r="B20" s="14" t="s">
        <v>3090</v>
      </c>
      <c r="C20" s="14" t="s">
        <v>3091</v>
      </c>
      <c r="D20" s="14" t="s">
        <v>2682</v>
      </c>
      <c r="E20" s="13" t="s">
        <v>298</v>
      </c>
      <c r="F20" s="14" t="s">
        <v>73</v>
      </c>
      <c r="G20" s="13" t="s">
        <v>315</v>
      </c>
      <c r="J20" s="14" t="s">
        <v>3092</v>
      </c>
      <c r="K20" s="16" t="s">
        <v>3090</v>
      </c>
      <c r="L20" s="14" t="s">
        <v>3093</v>
      </c>
      <c r="M20" s="44" t="s">
        <v>298</v>
      </c>
      <c r="N20" s="14" t="s">
        <v>3091</v>
      </c>
      <c r="O20" s="16" t="s">
        <v>3094</v>
      </c>
      <c r="P20" s="44">
        <v>2023.0</v>
      </c>
      <c r="Q20" s="44" t="s">
        <v>2926</v>
      </c>
      <c r="R20" s="14" t="s">
        <v>3044</v>
      </c>
      <c r="S20" s="44" t="s">
        <v>1805</v>
      </c>
      <c r="T20" s="44" t="s">
        <v>2928</v>
      </c>
      <c r="U20" s="44" t="s">
        <v>59</v>
      </c>
      <c r="V20" s="45">
        <v>4.0</v>
      </c>
      <c r="Z20" s="47" t="s">
        <v>420</v>
      </c>
      <c r="AA20" s="16" t="s">
        <v>2979</v>
      </c>
      <c r="AB20" s="47" t="s">
        <v>2688</v>
      </c>
      <c r="AC20" s="47" t="s">
        <v>63</v>
      </c>
      <c r="AD20" s="47" t="s">
        <v>423</v>
      </c>
      <c r="AF20" s="79" t="s">
        <v>158</v>
      </c>
      <c r="AG20" s="16" t="s">
        <v>3076</v>
      </c>
      <c r="AH20" s="14" t="s">
        <v>3095</v>
      </c>
      <c r="AI20" s="74" t="s">
        <v>3096</v>
      </c>
      <c r="AJ20" s="74" t="s">
        <v>3097</v>
      </c>
      <c r="AK20" s="16" t="s">
        <v>70</v>
      </c>
    </row>
    <row r="21" ht="14.25" customHeight="1">
      <c r="A21" s="61">
        <v>19.0</v>
      </c>
      <c r="B21" s="14" t="s">
        <v>3098</v>
      </c>
      <c r="C21" s="14" t="s">
        <v>3099</v>
      </c>
      <c r="D21" s="14" t="s">
        <v>2682</v>
      </c>
      <c r="E21" s="13" t="s">
        <v>298</v>
      </c>
      <c r="F21" s="14" t="s">
        <v>73</v>
      </c>
      <c r="G21" s="13" t="s">
        <v>315</v>
      </c>
      <c r="J21" s="14" t="s">
        <v>3100</v>
      </c>
      <c r="K21" s="16" t="s">
        <v>3098</v>
      </c>
      <c r="L21" s="14" t="s">
        <v>3101</v>
      </c>
      <c r="M21" s="44" t="s">
        <v>298</v>
      </c>
      <c r="N21" s="14" t="s">
        <v>3099</v>
      </c>
      <c r="O21" s="16" t="s">
        <v>3102</v>
      </c>
      <c r="P21" s="44">
        <v>2020.0</v>
      </c>
      <c r="Q21" s="44" t="s">
        <v>2988</v>
      </c>
      <c r="R21" s="14" t="s">
        <v>2989</v>
      </c>
      <c r="S21" s="44" t="s">
        <v>1805</v>
      </c>
      <c r="T21" s="44" t="s">
        <v>2928</v>
      </c>
      <c r="U21" s="44" t="s">
        <v>59</v>
      </c>
      <c r="V21" s="45">
        <v>4.0</v>
      </c>
      <c r="Z21" s="47" t="s">
        <v>420</v>
      </c>
      <c r="AA21" s="16" t="s">
        <v>2979</v>
      </c>
      <c r="AB21" s="47" t="s">
        <v>2688</v>
      </c>
      <c r="AC21" s="47" t="s">
        <v>63</v>
      </c>
      <c r="AD21" s="47" t="s">
        <v>423</v>
      </c>
      <c r="AF21" s="79" t="s">
        <v>2957</v>
      </c>
      <c r="AG21" s="16" t="s">
        <v>2929</v>
      </c>
      <c r="AH21" s="14" t="s">
        <v>3070</v>
      </c>
      <c r="AI21" s="74" t="s">
        <v>3103</v>
      </c>
      <c r="AJ21" s="74" t="s">
        <v>3104</v>
      </c>
      <c r="AK21" s="16" t="s">
        <v>70</v>
      </c>
    </row>
    <row r="22" ht="12.75" customHeight="1">
      <c r="A22" s="61">
        <v>20.0</v>
      </c>
      <c r="B22" s="14" t="s">
        <v>3105</v>
      </c>
      <c r="C22" s="14" t="s">
        <v>3106</v>
      </c>
      <c r="D22" s="14" t="s">
        <v>2682</v>
      </c>
      <c r="E22" s="13" t="s">
        <v>298</v>
      </c>
      <c r="F22" s="14" t="s">
        <v>73</v>
      </c>
      <c r="G22" s="13" t="s">
        <v>315</v>
      </c>
      <c r="J22" s="14" t="s">
        <v>3107</v>
      </c>
      <c r="K22" s="16" t="s">
        <v>3108</v>
      </c>
      <c r="L22" s="14" t="s">
        <v>3109</v>
      </c>
      <c r="M22" s="44" t="s">
        <v>298</v>
      </c>
      <c r="N22" s="14" t="s">
        <v>3106</v>
      </c>
      <c r="O22" s="16" t="s">
        <v>3110</v>
      </c>
      <c r="P22" s="44">
        <v>2022.0</v>
      </c>
      <c r="Q22" s="44" t="s">
        <v>2926</v>
      </c>
      <c r="R22" s="14" t="s">
        <v>3044</v>
      </c>
      <c r="S22" s="44" t="s">
        <v>1805</v>
      </c>
      <c r="T22" s="44" t="s">
        <v>2928</v>
      </c>
      <c r="U22" s="44" t="s">
        <v>59</v>
      </c>
      <c r="V22" s="45">
        <v>4.0</v>
      </c>
      <c r="Z22" s="47" t="s">
        <v>420</v>
      </c>
      <c r="AA22" s="16" t="s">
        <v>2979</v>
      </c>
      <c r="AB22" s="47" t="s">
        <v>2688</v>
      </c>
      <c r="AC22" s="47" t="s">
        <v>63</v>
      </c>
      <c r="AD22" s="47" t="s">
        <v>423</v>
      </c>
      <c r="AF22" s="79" t="s">
        <v>158</v>
      </c>
      <c r="AG22" s="16" t="s">
        <v>3076</v>
      </c>
      <c r="AH22" s="14" t="s">
        <v>3111</v>
      </c>
      <c r="AI22" s="74" t="s">
        <v>3112</v>
      </c>
      <c r="AJ22" s="74" t="s">
        <v>2812</v>
      </c>
      <c r="AK22" s="16" t="s">
        <v>70</v>
      </c>
    </row>
    <row r="23" ht="14.25" customHeight="1">
      <c r="A23" s="61">
        <v>21.0</v>
      </c>
      <c r="B23" s="14" t="s">
        <v>3113</v>
      </c>
      <c r="C23" s="14" t="s">
        <v>3114</v>
      </c>
      <c r="D23" s="14" t="s">
        <v>2682</v>
      </c>
      <c r="E23" s="13" t="s">
        <v>298</v>
      </c>
      <c r="F23" s="14" t="s">
        <v>73</v>
      </c>
      <c r="G23" s="13" t="s">
        <v>315</v>
      </c>
      <c r="J23" s="13" t="s">
        <v>3115</v>
      </c>
      <c r="K23" s="16" t="s">
        <v>3116</v>
      </c>
      <c r="L23" s="14" t="s">
        <v>3117</v>
      </c>
      <c r="M23" s="44" t="s">
        <v>298</v>
      </c>
      <c r="N23" s="14" t="s">
        <v>3114</v>
      </c>
      <c r="O23" s="16" t="s">
        <v>3118</v>
      </c>
      <c r="P23" s="44">
        <v>2022.0</v>
      </c>
      <c r="Q23" s="44" t="s">
        <v>2988</v>
      </c>
      <c r="R23" s="14" t="s">
        <v>2989</v>
      </c>
      <c r="S23" s="44" t="s">
        <v>1805</v>
      </c>
      <c r="T23" s="44" t="s">
        <v>2928</v>
      </c>
      <c r="U23" s="44" t="s">
        <v>59</v>
      </c>
      <c r="V23" s="45">
        <v>4.0</v>
      </c>
      <c r="Z23" s="47" t="s">
        <v>420</v>
      </c>
      <c r="AA23" s="16" t="s">
        <v>2979</v>
      </c>
      <c r="AB23" s="47" t="s">
        <v>2688</v>
      </c>
      <c r="AC23" s="47" t="s">
        <v>63</v>
      </c>
      <c r="AD23" s="47" t="s">
        <v>423</v>
      </c>
      <c r="AF23" s="79" t="s">
        <v>2957</v>
      </c>
      <c r="AG23" s="16" t="s">
        <v>2929</v>
      </c>
      <c r="AH23" s="14" t="s">
        <v>3119</v>
      </c>
      <c r="AI23" s="74" t="s">
        <v>3120</v>
      </c>
      <c r="AJ23" s="74" t="s">
        <v>3121</v>
      </c>
      <c r="AK23" s="16" t="s">
        <v>70</v>
      </c>
    </row>
    <row r="24" ht="12.75" customHeight="1">
      <c r="A24" s="61">
        <v>22.0</v>
      </c>
      <c r="B24" s="14" t="s">
        <v>3122</v>
      </c>
      <c r="C24" s="14" t="s">
        <v>3114</v>
      </c>
      <c r="D24" s="14" t="s">
        <v>2682</v>
      </c>
      <c r="E24" s="13" t="s">
        <v>298</v>
      </c>
      <c r="F24" s="14" t="s">
        <v>73</v>
      </c>
      <c r="G24" s="13" t="s">
        <v>315</v>
      </c>
      <c r="J24" s="13" t="s">
        <v>3123</v>
      </c>
      <c r="K24" s="16" t="s">
        <v>3124</v>
      </c>
      <c r="L24" s="14" t="s">
        <v>3125</v>
      </c>
      <c r="M24" s="44" t="s">
        <v>298</v>
      </c>
      <c r="N24" s="14" t="s">
        <v>3114</v>
      </c>
      <c r="O24" s="16" t="s">
        <v>3126</v>
      </c>
      <c r="P24" s="44">
        <v>2022.0</v>
      </c>
      <c r="Q24" s="44" t="s">
        <v>2926</v>
      </c>
      <c r="R24" s="14" t="s">
        <v>3044</v>
      </c>
      <c r="S24" s="44" t="s">
        <v>1805</v>
      </c>
      <c r="T24" s="44" t="s">
        <v>2928</v>
      </c>
      <c r="U24" s="44" t="s">
        <v>59</v>
      </c>
      <c r="V24" s="45">
        <v>4.0</v>
      </c>
      <c r="Z24" s="47" t="s">
        <v>420</v>
      </c>
      <c r="AA24" s="16" t="s">
        <v>2979</v>
      </c>
      <c r="AB24" s="47" t="s">
        <v>2688</v>
      </c>
      <c r="AC24" s="47" t="s">
        <v>63</v>
      </c>
      <c r="AD24" s="47" t="s">
        <v>423</v>
      </c>
      <c r="AF24" s="79" t="s">
        <v>158</v>
      </c>
      <c r="AG24" s="16" t="s">
        <v>3076</v>
      </c>
      <c r="AH24" s="14" t="s">
        <v>3127</v>
      </c>
      <c r="AI24" s="74" t="s">
        <v>3128</v>
      </c>
      <c r="AJ24" s="74" t="s">
        <v>3129</v>
      </c>
      <c r="AK24" s="16" t="s">
        <v>70</v>
      </c>
    </row>
    <row r="25" ht="14.25" customHeight="1">
      <c r="A25" s="61">
        <v>23.0</v>
      </c>
      <c r="B25" s="14" t="s">
        <v>3130</v>
      </c>
      <c r="C25" s="14" t="s">
        <v>3131</v>
      </c>
      <c r="D25" s="14" t="s">
        <v>2682</v>
      </c>
      <c r="E25" s="13" t="s">
        <v>298</v>
      </c>
      <c r="F25" s="14" t="s">
        <v>73</v>
      </c>
      <c r="G25" s="13" t="s">
        <v>315</v>
      </c>
      <c r="J25" s="14" t="s">
        <v>3132</v>
      </c>
      <c r="K25" s="16" t="s">
        <v>3130</v>
      </c>
      <c r="L25" s="14" t="s">
        <v>3133</v>
      </c>
      <c r="M25" s="44" t="s">
        <v>298</v>
      </c>
      <c r="N25" s="14" t="s">
        <v>3131</v>
      </c>
      <c r="O25" s="16" t="s">
        <v>3134</v>
      </c>
      <c r="P25" s="44">
        <v>2009.0</v>
      </c>
      <c r="Q25" s="44" t="s">
        <v>3135</v>
      </c>
      <c r="R25" s="14" t="s">
        <v>3136</v>
      </c>
      <c r="S25" s="44" t="s">
        <v>1805</v>
      </c>
      <c r="T25" s="44" t="s">
        <v>2928</v>
      </c>
      <c r="U25" s="44" t="s">
        <v>59</v>
      </c>
      <c r="V25" s="45">
        <v>4.0</v>
      </c>
      <c r="Z25" s="47" t="s">
        <v>420</v>
      </c>
      <c r="AA25" s="16" t="s">
        <v>2979</v>
      </c>
      <c r="AB25" s="47" t="s">
        <v>2688</v>
      </c>
      <c r="AC25" s="47" t="s">
        <v>63</v>
      </c>
      <c r="AD25" s="47" t="s">
        <v>423</v>
      </c>
      <c r="AF25" s="79" t="s">
        <v>64</v>
      </c>
      <c r="AG25" s="16" t="s">
        <v>435</v>
      </c>
      <c r="AH25" s="14" t="s">
        <v>3137</v>
      </c>
      <c r="AI25" s="74" t="s">
        <v>3138</v>
      </c>
      <c r="AJ25" s="74" t="s">
        <v>3139</v>
      </c>
      <c r="AK25" s="16" t="s">
        <v>70</v>
      </c>
    </row>
    <row r="26" ht="14.25" customHeight="1">
      <c r="A26" s="61">
        <v>24.0</v>
      </c>
      <c r="B26" s="14" t="s">
        <v>3140</v>
      </c>
      <c r="C26" s="14" t="s">
        <v>3131</v>
      </c>
      <c r="D26" s="14" t="s">
        <v>2682</v>
      </c>
      <c r="E26" s="13" t="s">
        <v>298</v>
      </c>
      <c r="F26" s="14" t="s">
        <v>73</v>
      </c>
      <c r="G26" s="13" t="s">
        <v>315</v>
      </c>
      <c r="J26" s="14" t="s">
        <v>3141</v>
      </c>
      <c r="K26" s="16" t="s">
        <v>3140</v>
      </c>
      <c r="L26" s="14" t="s">
        <v>3142</v>
      </c>
      <c r="M26" s="44" t="s">
        <v>298</v>
      </c>
      <c r="N26" s="14" t="s">
        <v>3131</v>
      </c>
      <c r="O26" s="16" t="s">
        <v>3143</v>
      </c>
      <c r="P26" s="44">
        <v>2022.0</v>
      </c>
      <c r="Q26" s="44" t="s">
        <v>3144</v>
      </c>
      <c r="R26" s="14" t="s">
        <v>3145</v>
      </c>
      <c r="S26" s="44" t="s">
        <v>1805</v>
      </c>
      <c r="T26" s="44" t="s">
        <v>2928</v>
      </c>
      <c r="U26" s="44" t="s">
        <v>59</v>
      </c>
      <c r="V26" s="45">
        <v>4.0</v>
      </c>
      <c r="Z26" s="47" t="s">
        <v>420</v>
      </c>
      <c r="AA26" s="16" t="s">
        <v>2979</v>
      </c>
      <c r="AB26" s="47" t="s">
        <v>2688</v>
      </c>
      <c r="AC26" s="47" t="s">
        <v>63</v>
      </c>
      <c r="AD26" s="47" t="s">
        <v>423</v>
      </c>
      <c r="AF26" s="79" t="s">
        <v>2957</v>
      </c>
      <c r="AG26" s="16" t="s">
        <v>2929</v>
      </c>
      <c r="AH26" s="14" t="s">
        <v>3146</v>
      </c>
      <c r="AI26" s="74" t="s">
        <v>3147</v>
      </c>
      <c r="AJ26" s="74" t="s">
        <v>3148</v>
      </c>
      <c r="AK26" s="16" t="s">
        <v>70</v>
      </c>
    </row>
    <row r="27" ht="14.25" customHeight="1">
      <c r="A27" s="61">
        <v>25.0</v>
      </c>
      <c r="B27" s="14" t="s">
        <v>3149</v>
      </c>
      <c r="C27" s="14" t="s">
        <v>3150</v>
      </c>
      <c r="D27" s="14" t="s">
        <v>2682</v>
      </c>
      <c r="E27" s="13" t="s">
        <v>298</v>
      </c>
      <c r="F27" s="14" t="s">
        <v>73</v>
      </c>
      <c r="G27" s="13" t="s">
        <v>315</v>
      </c>
      <c r="J27" s="14" t="s">
        <v>3151</v>
      </c>
      <c r="K27" s="16" t="s">
        <v>3149</v>
      </c>
      <c r="L27" s="14" t="s">
        <v>3152</v>
      </c>
      <c r="M27" s="44" t="s">
        <v>298</v>
      </c>
      <c r="N27" s="14" t="s">
        <v>3150</v>
      </c>
      <c r="O27" s="16" t="s">
        <v>3153</v>
      </c>
      <c r="P27" s="44">
        <v>2009.0</v>
      </c>
      <c r="Q27" s="44" t="s">
        <v>3135</v>
      </c>
      <c r="R27" s="14" t="s">
        <v>3136</v>
      </c>
      <c r="S27" s="44" t="s">
        <v>1805</v>
      </c>
      <c r="T27" s="44" t="s">
        <v>2928</v>
      </c>
      <c r="U27" s="44" t="s">
        <v>59</v>
      </c>
      <c r="V27" s="45">
        <v>4.0</v>
      </c>
      <c r="Z27" s="47" t="s">
        <v>420</v>
      </c>
      <c r="AA27" s="16" t="s">
        <v>2979</v>
      </c>
      <c r="AB27" s="47" t="s">
        <v>2688</v>
      </c>
      <c r="AC27" s="47" t="s">
        <v>63</v>
      </c>
      <c r="AD27" s="47" t="s">
        <v>423</v>
      </c>
      <c r="AF27" s="79" t="s">
        <v>64</v>
      </c>
      <c r="AG27" s="16" t="s">
        <v>435</v>
      </c>
      <c r="AH27" s="14" t="s">
        <v>3137</v>
      </c>
      <c r="AI27" s="74" t="s">
        <v>3138</v>
      </c>
      <c r="AJ27" s="74" t="s">
        <v>3139</v>
      </c>
      <c r="AK27" s="16" t="s">
        <v>70</v>
      </c>
    </row>
    <row r="28" ht="14.25" customHeight="1">
      <c r="A28" s="61">
        <v>26.0</v>
      </c>
      <c r="B28" s="14" t="s">
        <v>3154</v>
      </c>
      <c r="C28" s="14" t="s">
        <v>3155</v>
      </c>
      <c r="D28" s="14" t="s">
        <v>2682</v>
      </c>
      <c r="E28" s="13" t="s">
        <v>298</v>
      </c>
      <c r="F28" s="14" t="s">
        <v>73</v>
      </c>
      <c r="G28" s="13" t="s">
        <v>315</v>
      </c>
      <c r="J28" s="14" t="s">
        <v>3156</v>
      </c>
      <c r="K28" s="16" t="s">
        <v>3154</v>
      </c>
      <c r="L28" s="14" t="s">
        <v>3157</v>
      </c>
      <c r="M28" s="44" t="s">
        <v>298</v>
      </c>
      <c r="N28" s="14" t="s">
        <v>3155</v>
      </c>
      <c r="O28" s="16" t="s">
        <v>3158</v>
      </c>
      <c r="P28" s="44">
        <v>2022.0</v>
      </c>
      <c r="Q28" s="44" t="s">
        <v>3001</v>
      </c>
      <c r="R28" s="14" t="s">
        <v>3002</v>
      </c>
      <c r="S28" s="44" t="s">
        <v>1805</v>
      </c>
      <c r="T28" s="44" t="s">
        <v>2928</v>
      </c>
      <c r="U28" s="44" t="s">
        <v>59</v>
      </c>
      <c r="V28" s="45">
        <v>4.0</v>
      </c>
      <c r="Z28" s="47" t="s">
        <v>420</v>
      </c>
      <c r="AA28" s="16" t="s">
        <v>2979</v>
      </c>
      <c r="AB28" s="47" t="s">
        <v>2688</v>
      </c>
      <c r="AC28" s="47" t="s">
        <v>63</v>
      </c>
      <c r="AD28" s="47" t="s">
        <v>423</v>
      </c>
      <c r="AF28" s="79" t="s">
        <v>2957</v>
      </c>
      <c r="AG28" s="16" t="s">
        <v>2929</v>
      </c>
      <c r="AH28" s="14" t="s">
        <v>3159</v>
      </c>
      <c r="AI28" s="74" t="s">
        <v>3078</v>
      </c>
      <c r="AJ28" s="74" t="s">
        <v>3079</v>
      </c>
      <c r="AK28" s="16" t="s">
        <v>70</v>
      </c>
    </row>
    <row r="29" ht="14.25" customHeight="1">
      <c r="A29" s="61">
        <v>27.0</v>
      </c>
      <c r="B29" s="14" t="s">
        <v>3160</v>
      </c>
      <c r="C29" s="14" t="s">
        <v>3161</v>
      </c>
      <c r="D29" s="14" t="s">
        <v>2682</v>
      </c>
      <c r="E29" s="13" t="s">
        <v>298</v>
      </c>
      <c r="F29" s="14" t="s">
        <v>73</v>
      </c>
      <c r="G29" s="13" t="s">
        <v>315</v>
      </c>
      <c r="J29" s="14" t="s">
        <v>3162</v>
      </c>
      <c r="K29" s="16" t="s">
        <v>3160</v>
      </c>
      <c r="L29" s="14" t="s">
        <v>3163</v>
      </c>
      <c r="M29" s="44" t="s">
        <v>298</v>
      </c>
      <c r="N29" s="14" t="s">
        <v>3161</v>
      </c>
      <c r="O29" s="16" t="s">
        <v>3164</v>
      </c>
      <c r="P29" s="44">
        <v>2021.0</v>
      </c>
      <c r="Q29" s="44" t="s">
        <v>3001</v>
      </c>
      <c r="R29" s="14" t="s">
        <v>3002</v>
      </c>
      <c r="S29" s="44" t="s">
        <v>1805</v>
      </c>
      <c r="T29" s="44" t="s">
        <v>2928</v>
      </c>
      <c r="U29" s="44" t="s">
        <v>59</v>
      </c>
      <c r="V29" s="45">
        <v>4.0</v>
      </c>
      <c r="Z29" s="47" t="s">
        <v>420</v>
      </c>
      <c r="AA29" s="16" t="s">
        <v>2979</v>
      </c>
      <c r="AB29" s="47" t="s">
        <v>2688</v>
      </c>
      <c r="AC29" s="47" t="s">
        <v>63</v>
      </c>
      <c r="AD29" s="47" t="s">
        <v>423</v>
      </c>
      <c r="AF29" s="79" t="s">
        <v>2957</v>
      </c>
      <c r="AG29" s="16" t="s">
        <v>2929</v>
      </c>
      <c r="AH29" s="14" t="s">
        <v>3165</v>
      </c>
      <c r="AI29" s="74" t="s">
        <v>3166</v>
      </c>
      <c r="AJ29" s="74" t="s">
        <v>3167</v>
      </c>
      <c r="AK29" s="16" t="s">
        <v>70</v>
      </c>
    </row>
    <row r="30" ht="14.25" customHeight="1">
      <c r="A30" s="61">
        <v>28.0</v>
      </c>
      <c r="B30" s="14" t="s">
        <v>3168</v>
      </c>
      <c r="C30" s="14" t="s">
        <v>3169</v>
      </c>
      <c r="D30" s="14" t="s">
        <v>2682</v>
      </c>
      <c r="E30" s="13" t="s">
        <v>298</v>
      </c>
      <c r="F30" s="14" t="s">
        <v>73</v>
      </c>
      <c r="G30" s="13" t="s">
        <v>315</v>
      </c>
      <c r="J30" s="14" t="s">
        <v>3170</v>
      </c>
      <c r="K30" s="16" t="s">
        <v>3168</v>
      </c>
      <c r="L30" s="14" t="s">
        <v>3171</v>
      </c>
      <c r="M30" s="44" t="s">
        <v>298</v>
      </c>
      <c r="N30" s="14" t="s">
        <v>3169</v>
      </c>
      <c r="O30" s="16" t="s">
        <v>3172</v>
      </c>
      <c r="P30" s="44">
        <v>2022.0</v>
      </c>
      <c r="Q30" s="44" t="s">
        <v>3001</v>
      </c>
      <c r="R30" s="14" t="s">
        <v>3002</v>
      </c>
      <c r="S30" s="44" t="s">
        <v>1805</v>
      </c>
      <c r="T30" s="44" t="s">
        <v>2928</v>
      </c>
      <c r="U30" s="44" t="s">
        <v>59</v>
      </c>
      <c r="V30" s="45">
        <v>4.0</v>
      </c>
      <c r="Z30" s="47" t="s">
        <v>420</v>
      </c>
      <c r="AA30" s="16" t="s">
        <v>2979</v>
      </c>
      <c r="AB30" s="47" t="s">
        <v>2688</v>
      </c>
      <c r="AC30" s="47" t="s">
        <v>63</v>
      </c>
      <c r="AD30" s="47" t="s">
        <v>423</v>
      </c>
      <c r="AF30" s="79" t="s">
        <v>2957</v>
      </c>
      <c r="AG30" s="16" t="s">
        <v>2929</v>
      </c>
      <c r="AH30" s="14" t="s">
        <v>3159</v>
      </c>
      <c r="AI30" s="74" t="s">
        <v>3173</v>
      </c>
      <c r="AJ30" s="74" t="s">
        <v>3174</v>
      </c>
      <c r="AK30" s="16" t="s">
        <v>70</v>
      </c>
    </row>
    <row r="31" ht="14.25" customHeight="1">
      <c r="A31" s="61">
        <v>29.0</v>
      </c>
      <c r="B31" s="14" t="s">
        <v>3175</v>
      </c>
      <c r="C31" s="14" t="s">
        <v>3176</v>
      </c>
      <c r="D31" s="14" t="s">
        <v>3177</v>
      </c>
      <c r="E31" s="13" t="s">
        <v>298</v>
      </c>
      <c r="F31" s="14" t="s">
        <v>73</v>
      </c>
      <c r="G31" s="13" t="s">
        <v>315</v>
      </c>
      <c r="J31" s="14" t="s">
        <v>3178</v>
      </c>
      <c r="K31" s="16" t="s">
        <v>3175</v>
      </c>
      <c r="L31" s="14" t="s">
        <v>3179</v>
      </c>
      <c r="M31" s="44" t="s">
        <v>298</v>
      </c>
      <c r="N31" s="14" t="s">
        <v>3176</v>
      </c>
      <c r="O31" s="16" t="s">
        <v>3180</v>
      </c>
      <c r="P31" s="44">
        <v>2016.0</v>
      </c>
      <c r="Q31" s="44" t="s">
        <v>3181</v>
      </c>
      <c r="R31" s="14" t="s">
        <v>3182</v>
      </c>
      <c r="S31" s="44" t="s">
        <v>1805</v>
      </c>
      <c r="T31" s="44" t="s">
        <v>2928</v>
      </c>
      <c r="U31" s="44" t="s">
        <v>59</v>
      </c>
      <c r="V31" s="45">
        <v>3.0</v>
      </c>
      <c r="Z31" s="47" t="s">
        <v>420</v>
      </c>
      <c r="AA31" s="16" t="s">
        <v>3177</v>
      </c>
      <c r="AB31" s="16" t="s">
        <v>3177</v>
      </c>
      <c r="AC31" s="47" t="s">
        <v>63</v>
      </c>
      <c r="AD31" s="47" t="s">
        <v>423</v>
      </c>
      <c r="AF31" s="79" t="s">
        <v>2957</v>
      </c>
      <c r="AG31" s="16" t="s">
        <v>2929</v>
      </c>
      <c r="AH31" s="14" t="s">
        <v>3183</v>
      </c>
      <c r="AI31" s="74" t="s">
        <v>3184</v>
      </c>
      <c r="AJ31" s="74" t="s">
        <v>3185</v>
      </c>
      <c r="AK31" s="16" t="s">
        <v>70</v>
      </c>
    </row>
    <row r="32" ht="14.25" customHeight="1">
      <c r="A32" s="61">
        <v>30.0</v>
      </c>
      <c r="B32" s="14" t="s">
        <v>3186</v>
      </c>
      <c r="C32" s="14" t="s">
        <v>3187</v>
      </c>
      <c r="D32" s="14" t="s">
        <v>3188</v>
      </c>
      <c r="E32" s="13" t="s">
        <v>298</v>
      </c>
      <c r="F32" s="14" t="s">
        <v>73</v>
      </c>
      <c r="G32" s="13" t="s">
        <v>315</v>
      </c>
      <c r="J32" s="14" t="s">
        <v>3189</v>
      </c>
      <c r="K32" s="16" t="s">
        <v>3186</v>
      </c>
      <c r="L32" s="14" t="s">
        <v>3190</v>
      </c>
      <c r="M32" s="44" t="s">
        <v>298</v>
      </c>
      <c r="N32" s="14" t="s">
        <v>3187</v>
      </c>
      <c r="O32" s="16" t="s">
        <v>3191</v>
      </c>
      <c r="P32" s="44">
        <v>2022.0</v>
      </c>
      <c r="Q32" s="44" t="s">
        <v>3001</v>
      </c>
      <c r="R32" s="14" t="s">
        <v>3002</v>
      </c>
      <c r="S32" s="44" t="s">
        <v>1805</v>
      </c>
      <c r="T32" s="44" t="s">
        <v>2928</v>
      </c>
      <c r="U32" s="44" t="s">
        <v>59</v>
      </c>
      <c r="V32" s="45">
        <v>3.0</v>
      </c>
      <c r="Z32" s="47" t="s">
        <v>420</v>
      </c>
      <c r="AA32" s="16" t="s">
        <v>3192</v>
      </c>
      <c r="AB32" s="16" t="s">
        <v>3188</v>
      </c>
      <c r="AC32" s="47" t="s">
        <v>63</v>
      </c>
      <c r="AD32" s="47" t="s">
        <v>423</v>
      </c>
      <c r="AF32" s="79" t="s">
        <v>158</v>
      </c>
      <c r="AG32" s="16" t="s">
        <v>3193</v>
      </c>
      <c r="AH32" s="14" t="s">
        <v>3194</v>
      </c>
      <c r="AI32" s="74" t="s">
        <v>3195</v>
      </c>
      <c r="AJ32" s="74" t="s">
        <v>3196</v>
      </c>
      <c r="AK32" s="16" t="s">
        <v>70</v>
      </c>
    </row>
    <row r="33" ht="14.25" customHeight="1">
      <c r="A33" s="61">
        <v>31.0</v>
      </c>
      <c r="B33" s="14" t="s">
        <v>3197</v>
      </c>
      <c r="C33" s="14" t="s">
        <v>3198</v>
      </c>
      <c r="D33" s="14" t="s">
        <v>3024</v>
      </c>
      <c r="E33" s="13" t="s">
        <v>298</v>
      </c>
      <c r="F33" s="14" t="s">
        <v>73</v>
      </c>
      <c r="G33" s="13" t="s">
        <v>315</v>
      </c>
      <c r="J33" s="13" t="s">
        <v>3199</v>
      </c>
      <c r="K33" s="16" t="s">
        <v>3197</v>
      </c>
      <c r="L33" s="14" t="s">
        <v>3200</v>
      </c>
      <c r="M33" s="44" t="s">
        <v>298</v>
      </c>
      <c r="N33" s="14" t="s">
        <v>3198</v>
      </c>
      <c r="O33" s="16" t="s">
        <v>3201</v>
      </c>
      <c r="P33" s="44">
        <v>1984.0</v>
      </c>
      <c r="Q33" s="44" t="s">
        <v>2954</v>
      </c>
      <c r="R33" s="14" t="s">
        <v>3202</v>
      </c>
      <c r="S33" s="44" t="s">
        <v>1805</v>
      </c>
      <c r="T33" s="44" t="s">
        <v>2928</v>
      </c>
      <c r="U33" s="44" t="s">
        <v>59</v>
      </c>
      <c r="V33" s="45">
        <v>4.0</v>
      </c>
      <c r="Z33" s="47" t="s">
        <v>420</v>
      </c>
      <c r="AA33" s="16" t="s">
        <v>3003</v>
      </c>
      <c r="AB33" s="47" t="s">
        <v>2688</v>
      </c>
      <c r="AC33" s="47" t="s">
        <v>63</v>
      </c>
      <c r="AD33" s="47" t="s">
        <v>423</v>
      </c>
      <c r="AF33" s="79" t="s">
        <v>2957</v>
      </c>
      <c r="AG33" s="16" t="s">
        <v>2929</v>
      </c>
      <c r="AH33" s="14" t="s">
        <v>3203</v>
      </c>
      <c r="AI33" s="74" t="s">
        <v>3204</v>
      </c>
      <c r="AJ33" s="74" t="s">
        <v>3205</v>
      </c>
      <c r="AK33" s="16" t="s">
        <v>70</v>
      </c>
    </row>
    <row r="34" ht="14.25" customHeight="1">
      <c r="A34" s="61">
        <v>32.0</v>
      </c>
      <c r="B34" s="14" t="s">
        <v>3206</v>
      </c>
      <c r="C34" s="14" t="s">
        <v>3207</v>
      </c>
      <c r="D34" s="14" t="s">
        <v>3024</v>
      </c>
      <c r="E34" s="13" t="s">
        <v>298</v>
      </c>
      <c r="F34" s="14" t="s">
        <v>73</v>
      </c>
      <c r="G34" s="13" t="s">
        <v>315</v>
      </c>
      <c r="J34" s="13" t="s">
        <v>3208</v>
      </c>
      <c r="K34" s="16" t="s">
        <v>3206</v>
      </c>
      <c r="L34" s="14" t="s">
        <v>3209</v>
      </c>
      <c r="M34" s="44" t="s">
        <v>298</v>
      </c>
      <c r="N34" s="14" t="s">
        <v>3207</v>
      </c>
      <c r="O34" s="16" t="s">
        <v>3210</v>
      </c>
      <c r="P34" s="44">
        <v>1991.0</v>
      </c>
      <c r="Q34" s="44" t="s">
        <v>2954</v>
      </c>
      <c r="R34" s="14" t="s">
        <v>3202</v>
      </c>
      <c r="S34" s="44" t="s">
        <v>1805</v>
      </c>
      <c r="T34" s="44" t="s">
        <v>2928</v>
      </c>
      <c r="U34" s="44" t="s">
        <v>59</v>
      </c>
      <c r="V34" s="45">
        <v>4.0</v>
      </c>
      <c r="Z34" s="47" t="s">
        <v>420</v>
      </c>
      <c r="AA34" s="16" t="s">
        <v>3003</v>
      </c>
      <c r="AB34" s="47" t="s">
        <v>2688</v>
      </c>
      <c r="AC34" s="47" t="s">
        <v>63</v>
      </c>
      <c r="AD34" s="47" t="s">
        <v>423</v>
      </c>
      <c r="AF34" s="79" t="s">
        <v>2957</v>
      </c>
      <c r="AG34" s="16" t="s">
        <v>2929</v>
      </c>
      <c r="AH34" s="14" t="s">
        <v>3211</v>
      </c>
      <c r="AI34" s="74" t="s">
        <v>3212</v>
      </c>
      <c r="AJ34" s="74" t="s">
        <v>3213</v>
      </c>
      <c r="AK34" s="16" t="s">
        <v>70</v>
      </c>
    </row>
    <row r="35" ht="14.25" customHeight="1">
      <c r="A35" s="61">
        <v>33.0</v>
      </c>
      <c r="B35" s="14" t="s">
        <v>3214</v>
      </c>
      <c r="C35" s="14" t="s">
        <v>3215</v>
      </c>
      <c r="D35" s="14" t="s">
        <v>3024</v>
      </c>
      <c r="E35" s="13" t="s">
        <v>298</v>
      </c>
      <c r="F35" s="14" t="s">
        <v>73</v>
      </c>
      <c r="G35" s="13" t="s">
        <v>315</v>
      </c>
      <c r="J35" s="14" t="s">
        <v>3216</v>
      </c>
      <c r="K35" s="16" t="s">
        <v>3214</v>
      </c>
      <c r="L35" s="14" t="s">
        <v>3217</v>
      </c>
      <c r="M35" s="44" t="s">
        <v>298</v>
      </c>
      <c r="N35" s="14" t="s">
        <v>3215</v>
      </c>
      <c r="O35" s="16" t="s">
        <v>3218</v>
      </c>
      <c r="P35" s="44">
        <v>2020.0</v>
      </c>
      <c r="Q35" s="44" t="s">
        <v>2988</v>
      </c>
      <c r="R35" s="14" t="s">
        <v>2989</v>
      </c>
      <c r="S35" s="44" t="s">
        <v>1805</v>
      </c>
      <c r="T35" s="44" t="s">
        <v>2928</v>
      </c>
      <c r="U35" s="44" t="s">
        <v>59</v>
      </c>
      <c r="V35" s="45">
        <v>4.0</v>
      </c>
      <c r="Z35" s="47" t="s">
        <v>420</v>
      </c>
      <c r="AA35" s="16" t="s">
        <v>3003</v>
      </c>
      <c r="AB35" s="47" t="s">
        <v>2688</v>
      </c>
      <c r="AC35" s="47" t="s">
        <v>63</v>
      </c>
      <c r="AD35" s="47" t="s">
        <v>423</v>
      </c>
      <c r="AF35" s="79" t="s">
        <v>2957</v>
      </c>
      <c r="AG35" s="16" t="s">
        <v>2929</v>
      </c>
      <c r="AH35" s="14" t="s">
        <v>3219</v>
      </c>
      <c r="AI35" s="74" t="s">
        <v>3037</v>
      </c>
      <c r="AJ35" s="74" t="s">
        <v>3038</v>
      </c>
      <c r="AK35" s="16" t="s">
        <v>70</v>
      </c>
    </row>
    <row r="36" ht="14.25" customHeight="1">
      <c r="A36" s="61">
        <v>34.0</v>
      </c>
      <c r="B36" s="14" t="s">
        <v>3220</v>
      </c>
      <c r="C36" s="14" t="s">
        <v>3221</v>
      </c>
      <c r="D36" s="14" t="s">
        <v>2682</v>
      </c>
      <c r="E36" s="13" t="s">
        <v>298</v>
      </c>
      <c r="F36" s="14" t="s">
        <v>73</v>
      </c>
      <c r="G36" s="13" t="s">
        <v>315</v>
      </c>
      <c r="J36" s="13" t="s">
        <v>3222</v>
      </c>
      <c r="K36" s="16" t="s">
        <v>3220</v>
      </c>
      <c r="L36" s="14" t="s">
        <v>3223</v>
      </c>
      <c r="M36" s="44" t="s">
        <v>298</v>
      </c>
      <c r="N36" s="14" t="s">
        <v>3221</v>
      </c>
      <c r="O36" s="16" t="s">
        <v>3224</v>
      </c>
      <c r="P36" s="44">
        <v>2016.0</v>
      </c>
      <c r="Q36" s="44" t="s">
        <v>3085</v>
      </c>
      <c r="R36" s="14" t="s">
        <v>3086</v>
      </c>
      <c r="S36" s="44" t="s">
        <v>1805</v>
      </c>
      <c r="T36" s="44" t="s">
        <v>2928</v>
      </c>
      <c r="U36" s="44" t="s">
        <v>59</v>
      </c>
      <c r="V36" s="45">
        <v>4.0</v>
      </c>
      <c r="Z36" s="47" t="s">
        <v>420</v>
      </c>
      <c r="AA36" s="16" t="s">
        <v>2979</v>
      </c>
      <c r="AB36" s="47" t="s">
        <v>2688</v>
      </c>
      <c r="AC36" s="47" t="s">
        <v>63</v>
      </c>
      <c r="AD36" s="47" t="s">
        <v>423</v>
      </c>
      <c r="AF36" s="79" t="s">
        <v>2957</v>
      </c>
      <c r="AG36" s="16" t="s">
        <v>2929</v>
      </c>
      <c r="AH36" s="14" t="s">
        <v>3225</v>
      </c>
      <c r="AI36" s="74" t="s">
        <v>3226</v>
      </c>
      <c r="AJ36" s="74" t="s">
        <v>3227</v>
      </c>
      <c r="AK36" s="16" t="s">
        <v>70</v>
      </c>
    </row>
    <row r="37" ht="14.25" customHeight="1">
      <c r="A37" s="61">
        <v>35.0</v>
      </c>
      <c r="B37" s="14" t="s">
        <v>3228</v>
      </c>
      <c r="C37" s="14" t="s">
        <v>3229</v>
      </c>
      <c r="D37" s="14" t="s">
        <v>2682</v>
      </c>
      <c r="E37" s="13" t="s">
        <v>298</v>
      </c>
      <c r="F37" s="14" t="s">
        <v>73</v>
      </c>
      <c r="G37" s="13" t="s">
        <v>315</v>
      </c>
      <c r="J37" s="13" t="s">
        <v>3230</v>
      </c>
      <c r="K37" s="16" t="s">
        <v>3228</v>
      </c>
      <c r="L37" s="14" t="s">
        <v>3231</v>
      </c>
      <c r="M37" s="44" t="s">
        <v>298</v>
      </c>
      <c r="N37" s="14" t="s">
        <v>3229</v>
      </c>
      <c r="O37" s="16" t="s">
        <v>3232</v>
      </c>
      <c r="P37" s="44">
        <v>2022.0</v>
      </c>
      <c r="Q37" s="44" t="s">
        <v>3233</v>
      </c>
      <c r="R37" s="14" t="s">
        <v>3234</v>
      </c>
      <c r="S37" s="44" t="s">
        <v>1805</v>
      </c>
      <c r="T37" s="44" t="s">
        <v>2928</v>
      </c>
      <c r="U37" s="44" t="s">
        <v>59</v>
      </c>
      <c r="V37" s="45">
        <v>4.0</v>
      </c>
      <c r="Z37" s="47" t="s">
        <v>420</v>
      </c>
      <c r="AA37" s="16" t="s">
        <v>2979</v>
      </c>
      <c r="AB37" s="47" t="s">
        <v>2688</v>
      </c>
      <c r="AC37" s="47" t="s">
        <v>63</v>
      </c>
      <c r="AD37" s="47" t="s">
        <v>423</v>
      </c>
      <c r="AF37" s="79" t="s">
        <v>2957</v>
      </c>
      <c r="AG37" s="16" t="s">
        <v>2929</v>
      </c>
      <c r="AH37" s="14" t="s">
        <v>3235</v>
      </c>
      <c r="AI37" s="74" t="s">
        <v>3236</v>
      </c>
      <c r="AJ37" s="74" t="s">
        <v>2846</v>
      </c>
      <c r="AK37" s="16" t="s">
        <v>70</v>
      </c>
    </row>
    <row r="38" ht="14.25" customHeight="1">
      <c r="A38" s="61">
        <v>36.0</v>
      </c>
      <c r="B38" s="13" t="s">
        <v>3237</v>
      </c>
      <c r="C38" s="13" t="s">
        <v>3238</v>
      </c>
      <c r="D38" s="14" t="s">
        <v>2682</v>
      </c>
      <c r="E38" s="13" t="s">
        <v>298</v>
      </c>
      <c r="F38" s="14" t="s">
        <v>73</v>
      </c>
      <c r="G38" s="13" t="s">
        <v>315</v>
      </c>
      <c r="J38" s="13" t="s">
        <v>3239</v>
      </c>
      <c r="K38" s="77" t="s">
        <v>3237</v>
      </c>
      <c r="L38" s="14" t="s">
        <v>3240</v>
      </c>
      <c r="M38" s="44" t="s">
        <v>298</v>
      </c>
      <c r="N38" s="13" t="s">
        <v>3238</v>
      </c>
      <c r="O38" s="16" t="s">
        <v>3241</v>
      </c>
      <c r="P38" s="44">
        <v>1998.0</v>
      </c>
      <c r="Q38" s="44" t="s">
        <v>2926</v>
      </c>
      <c r="R38" s="14" t="s">
        <v>3044</v>
      </c>
      <c r="S38" s="44" t="s">
        <v>1805</v>
      </c>
      <c r="T38" s="44" t="s">
        <v>2928</v>
      </c>
      <c r="U38" s="44" t="s">
        <v>59</v>
      </c>
      <c r="V38" s="45">
        <v>4.0</v>
      </c>
      <c r="Z38" s="47" t="s">
        <v>420</v>
      </c>
      <c r="AA38" s="16" t="s">
        <v>2979</v>
      </c>
      <c r="AB38" s="47" t="s">
        <v>2688</v>
      </c>
      <c r="AC38" s="47" t="s">
        <v>63</v>
      </c>
      <c r="AD38" s="47" t="s">
        <v>423</v>
      </c>
      <c r="AF38" s="79" t="s">
        <v>158</v>
      </c>
      <c r="AG38" s="16" t="s">
        <v>3045</v>
      </c>
      <c r="AH38" s="14" t="s">
        <v>3242</v>
      </c>
      <c r="AI38" s="74" t="s">
        <v>3047</v>
      </c>
      <c r="AJ38" s="74" t="s">
        <v>3048</v>
      </c>
      <c r="AK38" s="16" t="s">
        <v>70</v>
      </c>
    </row>
    <row r="39" ht="14.25" customHeight="1">
      <c r="A39" s="61">
        <v>37.0</v>
      </c>
      <c r="B39" s="14" t="s">
        <v>3243</v>
      </c>
      <c r="C39" s="14" t="s">
        <v>3244</v>
      </c>
      <c r="D39" s="14" t="s">
        <v>2682</v>
      </c>
      <c r="E39" s="13" t="s">
        <v>298</v>
      </c>
      <c r="F39" s="14" t="s">
        <v>73</v>
      </c>
      <c r="G39" s="13" t="s">
        <v>315</v>
      </c>
      <c r="J39" s="13" t="s">
        <v>3245</v>
      </c>
      <c r="K39" s="16" t="s">
        <v>3243</v>
      </c>
      <c r="L39" s="14" t="s">
        <v>3246</v>
      </c>
      <c r="M39" s="44" t="s">
        <v>298</v>
      </c>
      <c r="N39" s="14" t="s">
        <v>3244</v>
      </c>
      <c r="O39" s="16" t="s">
        <v>3247</v>
      </c>
      <c r="P39" s="44">
        <v>2012.0</v>
      </c>
      <c r="Q39" s="44" t="s">
        <v>3001</v>
      </c>
      <c r="R39" s="14" t="s">
        <v>3002</v>
      </c>
      <c r="S39" s="44" t="s">
        <v>1805</v>
      </c>
      <c r="T39" s="44" t="s">
        <v>2928</v>
      </c>
      <c r="U39" s="44" t="s">
        <v>59</v>
      </c>
      <c r="V39" s="45">
        <v>4.0</v>
      </c>
      <c r="Z39" s="47" t="s">
        <v>420</v>
      </c>
      <c r="AA39" s="16" t="s">
        <v>2979</v>
      </c>
      <c r="AB39" s="47" t="s">
        <v>2688</v>
      </c>
      <c r="AC39" s="47" t="s">
        <v>63</v>
      </c>
      <c r="AD39" s="47" t="s">
        <v>423</v>
      </c>
      <c r="AF39" s="79" t="s">
        <v>2957</v>
      </c>
      <c r="AG39" s="16" t="s">
        <v>2929</v>
      </c>
      <c r="AH39" s="14" t="s">
        <v>3248</v>
      </c>
      <c r="AI39" s="74" t="s">
        <v>3249</v>
      </c>
      <c r="AJ39" s="74" t="s">
        <v>3250</v>
      </c>
      <c r="AK39" s="16" t="s">
        <v>70</v>
      </c>
    </row>
    <row r="40" ht="14.25" customHeight="1">
      <c r="A40" s="61">
        <v>38.0</v>
      </c>
      <c r="B40" s="14" t="s">
        <v>3251</v>
      </c>
      <c r="C40" s="14" t="s">
        <v>3252</v>
      </c>
      <c r="D40" s="14" t="s">
        <v>2682</v>
      </c>
      <c r="E40" s="13" t="s">
        <v>298</v>
      </c>
      <c r="F40" s="14" t="s">
        <v>73</v>
      </c>
      <c r="G40" s="13" t="s">
        <v>315</v>
      </c>
      <c r="J40" s="13" t="s">
        <v>3253</v>
      </c>
      <c r="K40" s="16" t="s">
        <v>3251</v>
      </c>
      <c r="L40" s="14" t="s">
        <v>3254</v>
      </c>
      <c r="M40" s="44" t="s">
        <v>298</v>
      </c>
      <c r="N40" s="14" t="s">
        <v>3252</v>
      </c>
      <c r="O40" s="16" t="s">
        <v>3255</v>
      </c>
      <c r="P40" s="44">
        <v>2014.0</v>
      </c>
      <c r="Q40" s="44" t="s">
        <v>3001</v>
      </c>
      <c r="R40" s="14" t="s">
        <v>3002</v>
      </c>
      <c r="S40" s="44" t="s">
        <v>1805</v>
      </c>
      <c r="T40" s="44" t="s">
        <v>2928</v>
      </c>
      <c r="U40" s="44" t="s">
        <v>59</v>
      </c>
      <c r="V40" s="45">
        <v>4.0</v>
      </c>
      <c r="Z40" s="47" t="s">
        <v>420</v>
      </c>
      <c r="AA40" s="16" t="s">
        <v>2979</v>
      </c>
      <c r="AB40" s="47" t="s">
        <v>2688</v>
      </c>
      <c r="AC40" s="47" t="s">
        <v>63</v>
      </c>
      <c r="AD40" s="47" t="s">
        <v>423</v>
      </c>
      <c r="AF40" s="79" t="s">
        <v>2957</v>
      </c>
      <c r="AG40" s="47" t="s">
        <v>2711</v>
      </c>
      <c r="AH40" s="14" t="s">
        <v>3256</v>
      </c>
      <c r="AI40" s="74" t="s">
        <v>3257</v>
      </c>
      <c r="AJ40" s="74" t="s">
        <v>3258</v>
      </c>
      <c r="AK40" s="16" t="s">
        <v>70</v>
      </c>
    </row>
    <row r="41" ht="14.25" customHeight="1">
      <c r="A41" s="61">
        <v>39.0</v>
      </c>
      <c r="B41" s="14" t="s">
        <v>3259</v>
      </c>
      <c r="C41" s="14" t="s">
        <v>3260</v>
      </c>
      <c r="D41" s="14" t="s">
        <v>2682</v>
      </c>
      <c r="E41" s="13" t="s">
        <v>298</v>
      </c>
      <c r="F41" s="14" t="s">
        <v>73</v>
      </c>
      <c r="G41" s="13" t="s">
        <v>315</v>
      </c>
      <c r="J41" s="13" t="s">
        <v>3261</v>
      </c>
      <c r="K41" s="16" t="s">
        <v>3259</v>
      </c>
      <c r="L41" s="14" t="s">
        <v>3262</v>
      </c>
      <c r="M41" s="44" t="s">
        <v>298</v>
      </c>
      <c r="N41" s="14" t="s">
        <v>3260</v>
      </c>
      <c r="O41" s="16" t="s">
        <v>3263</v>
      </c>
      <c r="P41" s="44">
        <v>2002.0</v>
      </c>
      <c r="Q41" s="44" t="s">
        <v>3001</v>
      </c>
      <c r="R41" s="14" t="s">
        <v>3002</v>
      </c>
      <c r="S41" s="44" t="s">
        <v>1805</v>
      </c>
      <c r="T41" s="44" t="s">
        <v>2928</v>
      </c>
      <c r="U41" s="44" t="s">
        <v>59</v>
      </c>
      <c r="V41" s="45">
        <v>4.0</v>
      </c>
      <c r="Z41" s="47" t="s">
        <v>420</v>
      </c>
      <c r="AA41" s="16" t="s">
        <v>2979</v>
      </c>
      <c r="AB41" s="47" t="s">
        <v>2688</v>
      </c>
      <c r="AC41" s="47" t="s">
        <v>63</v>
      </c>
      <c r="AD41" s="47" t="s">
        <v>423</v>
      </c>
      <c r="AF41" s="79" t="s">
        <v>2957</v>
      </c>
      <c r="AG41" s="16" t="s">
        <v>2929</v>
      </c>
      <c r="AH41" s="14" t="s">
        <v>3159</v>
      </c>
      <c r="AI41" s="74" t="s">
        <v>3264</v>
      </c>
      <c r="AJ41" s="74" t="s">
        <v>3265</v>
      </c>
      <c r="AK41" s="16" t="s">
        <v>70</v>
      </c>
    </row>
    <row r="42" ht="14.25" customHeight="1">
      <c r="A42" s="61">
        <v>40.0</v>
      </c>
      <c r="B42" s="14" t="s">
        <v>3266</v>
      </c>
      <c r="C42" s="14" t="s">
        <v>3267</v>
      </c>
      <c r="D42" s="14" t="s">
        <v>2682</v>
      </c>
      <c r="E42" s="13" t="s">
        <v>298</v>
      </c>
      <c r="F42" s="14" t="s">
        <v>73</v>
      </c>
      <c r="G42" s="13" t="s">
        <v>315</v>
      </c>
      <c r="J42" s="13" t="s">
        <v>3268</v>
      </c>
      <c r="K42" s="16" t="s">
        <v>3266</v>
      </c>
      <c r="L42" s="14" t="s">
        <v>3269</v>
      </c>
      <c r="M42" s="44" t="s">
        <v>298</v>
      </c>
      <c r="N42" s="14" t="s">
        <v>3267</v>
      </c>
      <c r="O42" s="16" t="s">
        <v>3270</v>
      </c>
      <c r="P42" s="44">
        <v>2020.0</v>
      </c>
      <c r="Q42" s="44" t="s">
        <v>3001</v>
      </c>
      <c r="R42" s="14" t="s">
        <v>3002</v>
      </c>
      <c r="S42" s="44" t="s">
        <v>1805</v>
      </c>
      <c r="T42" s="44" t="s">
        <v>2928</v>
      </c>
      <c r="U42" s="44" t="s">
        <v>59</v>
      </c>
      <c r="V42" s="45">
        <v>4.0</v>
      </c>
      <c r="Z42" s="47" t="s">
        <v>420</v>
      </c>
      <c r="AA42" s="16" t="s">
        <v>2979</v>
      </c>
      <c r="AB42" s="47" t="s">
        <v>2688</v>
      </c>
      <c r="AC42" s="47" t="s">
        <v>63</v>
      </c>
      <c r="AD42" s="47" t="s">
        <v>423</v>
      </c>
      <c r="AF42" s="79" t="s">
        <v>2957</v>
      </c>
      <c r="AG42" s="16" t="s">
        <v>2929</v>
      </c>
      <c r="AH42" s="14" t="s">
        <v>3271</v>
      </c>
      <c r="AI42" s="74" t="s">
        <v>3272</v>
      </c>
      <c r="AJ42" s="74" t="s">
        <v>3273</v>
      </c>
      <c r="AK42" s="16" t="s">
        <v>70</v>
      </c>
    </row>
    <row r="43" ht="12.75" customHeight="1">
      <c r="A43" s="61">
        <v>41.0</v>
      </c>
      <c r="B43" s="14" t="s">
        <v>3274</v>
      </c>
      <c r="C43" s="14" t="s">
        <v>3050</v>
      </c>
      <c r="D43" s="14" t="s">
        <v>2682</v>
      </c>
      <c r="E43" s="13" t="s">
        <v>298</v>
      </c>
      <c r="F43" s="14" t="s">
        <v>73</v>
      </c>
      <c r="G43" s="13" t="s">
        <v>315</v>
      </c>
      <c r="J43" s="13" t="s">
        <v>3275</v>
      </c>
      <c r="K43" s="16" t="s">
        <v>3274</v>
      </c>
      <c r="L43" s="14" t="s">
        <v>3052</v>
      </c>
      <c r="M43" s="44" t="s">
        <v>298</v>
      </c>
      <c r="N43" s="14" t="s">
        <v>3050</v>
      </c>
      <c r="O43" s="16" t="s">
        <v>3276</v>
      </c>
      <c r="P43" s="44">
        <v>1997.0</v>
      </c>
      <c r="Q43" s="44" t="s">
        <v>2926</v>
      </c>
      <c r="R43" s="14" t="s">
        <v>3044</v>
      </c>
      <c r="S43" s="44" t="s">
        <v>1805</v>
      </c>
      <c r="T43" s="44" t="s">
        <v>2928</v>
      </c>
      <c r="U43" s="44" t="s">
        <v>59</v>
      </c>
      <c r="V43" s="45">
        <v>4.0</v>
      </c>
      <c r="Z43" s="47" t="s">
        <v>420</v>
      </c>
      <c r="AA43" s="16" t="s">
        <v>2979</v>
      </c>
      <c r="AB43" s="47" t="s">
        <v>2688</v>
      </c>
      <c r="AC43" s="47" t="s">
        <v>63</v>
      </c>
      <c r="AD43" s="47" t="s">
        <v>423</v>
      </c>
      <c r="AF43" s="79" t="s">
        <v>2957</v>
      </c>
      <c r="AG43" s="16" t="s">
        <v>2929</v>
      </c>
      <c r="AH43" s="14" t="s">
        <v>3277</v>
      </c>
      <c r="AI43" s="74" t="s">
        <v>3055</v>
      </c>
      <c r="AJ43" s="74" t="s">
        <v>3056</v>
      </c>
      <c r="AK43" s="16" t="s">
        <v>70</v>
      </c>
    </row>
    <row r="44" ht="12.75" customHeight="1">
      <c r="A44" s="61">
        <v>42.0</v>
      </c>
      <c r="B44" s="14" t="s">
        <v>3278</v>
      </c>
      <c r="C44" s="14" t="s">
        <v>3050</v>
      </c>
      <c r="D44" s="14" t="s">
        <v>2682</v>
      </c>
      <c r="E44" s="13" t="s">
        <v>298</v>
      </c>
      <c r="F44" s="14" t="s">
        <v>73</v>
      </c>
      <c r="G44" s="13" t="s">
        <v>315</v>
      </c>
      <c r="J44" s="13" t="s">
        <v>3279</v>
      </c>
      <c r="K44" s="16" t="s">
        <v>3278</v>
      </c>
      <c r="L44" s="14" t="s">
        <v>3280</v>
      </c>
      <c r="M44" s="44" t="s">
        <v>298</v>
      </c>
      <c r="N44" s="14" t="s">
        <v>3050</v>
      </c>
      <c r="O44" s="16" t="s">
        <v>3281</v>
      </c>
      <c r="P44" s="44">
        <v>2004.0</v>
      </c>
      <c r="Q44" s="44" t="s">
        <v>3001</v>
      </c>
      <c r="R44" s="14" t="s">
        <v>3002</v>
      </c>
      <c r="S44" s="44" t="s">
        <v>1805</v>
      </c>
      <c r="T44" s="44" t="s">
        <v>2928</v>
      </c>
      <c r="U44" s="44" t="s">
        <v>59</v>
      </c>
      <c r="V44" s="45">
        <v>4.0</v>
      </c>
      <c r="Z44" s="47" t="s">
        <v>420</v>
      </c>
      <c r="AA44" s="16" t="s">
        <v>2979</v>
      </c>
      <c r="AB44" s="47" t="s">
        <v>2688</v>
      </c>
      <c r="AC44" s="47" t="s">
        <v>63</v>
      </c>
      <c r="AD44" s="47" t="s">
        <v>423</v>
      </c>
      <c r="AF44" s="79" t="s">
        <v>2957</v>
      </c>
      <c r="AG44" s="16" t="s">
        <v>2929</v>
      </c>
      <c r="AH44" s="14" t="s">
        <v>3282</v>
      </c>
      <c r="AI44" s="74" t="s">
        <v>3283</v>
      </c>
      <c r="AJ44" s="74" t="s">
        <v>3284</v>
      </c>
      <c r="AK44" s="16" t="s">
        <v>70</v>
      </c>
    </row>
    <row r="45" ht="12.75" customHeight="1">
      <c r="A45" s="61">
        <v>43.0</v>
      </c>
      <c r="B45" s="14" t="s">
        <v>3285</v>
      </c>
      <c r="C45" s="14" t="s">
        <v>3050</v>
      </c>
      <c r="D45" s="14" t="s">
        <v>2682</v>
      </c>
      <c r="E45" s="13" t="s">
        <v>298</v>
      </c>
      <c r="F45" s="14" t="s">
        <v>73</v>
      </c>
      <c r="G45" s="13" t="s">
        <v>315</v>
      </c>
      <c r="J45" s="13" t="s">
        <v>3286</v>
      </c>
      <c r="K45" s="16" t="s">
        <v>3285</v>
      </c>
      <c r="L45" s="14" t="s">
        <v>3287</v>
      </c>
      <c r="M45" s="44" t="s">
        <v>298</v>
      </c>
      <c r="N45" s="14" t="s">
        <v>3050</v>
      </c>
      <c r="O45" s="16" t="s">
        <v>3288</v>
      </c>
      <c r="P45" s="44">
        <v>2020.0</v>
      </c>
      <c r="Q45" s="44" t="s">
        <v>3001</v>
      </c>
      <c r="R45" s="14" t="s">
        <v>3002</v>
      </c>
      <c r="S45" s="44" t="s">
        <v>1805</v>
      </c>
      <c r="T45" s="44" t="s">
        <v>2928</v>
      </c>
      <c r="U45" s="44" t="s">
        <v>59</v>
      </c>
      <c r="V45" s="45">
        <v>4.0</v>
      </c>
      <c r="Z45" s="47" t="s">
        <v>420</v>
      </c>
      <c r="AA45" s="16" t="s">
        <v>2979</v>
      </c>
      <c r="AB45" s="47" t="s">
        <v>2688</v>
      </c>
      <c r="AC45" s="47" t="s">
        <v>63</v>
      </c>
      <c r="AD45" s="47" t="s">
        <v>423</v>
      </c>
      <c r="AF45" s="79" t="s">
        <v>2957</v>
      </c>
      <c r="AG45" s="16" t="s">
        <v>2929</v>
      </c>
      <c r="AH45" s="14" t="s">
        <v>3289</v>
      </c>
      <c r="AI45" s="74" t="s">
        <v>3290</v>
      </c>
      <c r="AJ45" s="74" t="s">
        <v>3037</v>
      </c>
      <c r="AK45" s="16" t="s">
        <v>70</v>
      </c>
    </row>
    <row r="46" ht="12.75" customHeight="1">
      <c r="A46" s="61">
        <v>44.0</v>
      </c>
      <c r="B46" s="14" t="s">
        <v>3291</v>
      </c>
      <c r="C46" s="14" t="s">
        <v>3292</v>
      </c>
      <c r="D46" s="14" t="s">
        <v>2682</v>
      </c>
      <c r="E46" s="13" t="s">
        <v>298</v>
      </c>
      <c r="F46" s="14" t="s">
        <v>73</v>
      </c>
      <c r="G46" s="13" t="s">
        <v>315</v>
      </c>
      <c r="J46" s="13" t="s">
        <v>3293</v>
      </c>
      <c r="K46" s="16" t="s">
        <v>3291</v>
      </c>
      <c r="L46" s="14" t="s">
        <v>3294</v>
      </c>
      <c r="M46" s="44" t="s">
        <v>298</v>
      </c>
      <c r="N46" s="14" t="s">
        <v>3292</v>
      </c>
      <c r="O46" s="16" t="s">
        <v>3295</v>
      </c>
      <c r="P46" s="44">
        <v>2006.0</v>
      </c>
      <c r="Q46" s="44" t="s">
        <v>3233</v>
      </c>
      <c r="R46" s="14" t="s">
        <v>3234</v>
      </c>
      <c r="S46" s="44" t="s">
        <v>1805</v>
      </c>
      <c r="T46" s="44" t="s">
        <v>2928</v>
      </c>
      <c r="U46" s="44" t="s">
        <v>59</v>
      </c>
      <c r="V46" s="45">
        <v>4.0</v>
      </c>
      <c r="Z46" s="47" t="s">
        <v>420</v>
      </c>
      <c r="AA46" s="16" t="s">
        <v>2979</v>
      </c>
      <c r="AB46" s="47" t="s">
        <v>2688</v>
      </c>
      <c r="AC46" s="47" t="s">
        <v>63</v>
      </c>
      <c r="AD46" s="47" t="s">
        <v>423</v>
      </c>
      <c r="AF46" s="79" t="s">
        <v>2957</v>
      </c>
      <c r="AG46" s="16" t="s">
        <v>2929</v>
      </c>
      <c r="AH46" s="14" t="s">
        <v>3296</v>
      </c>
      <c r="AI46" s="74" t="s">
        <v>3297</v>
      </c>
      <c r="AJ46" s="74" t="s">
        <v>3298</v>
      </c>
      <c r="AK46" s="16" t="s">
        <v>70</v>
      </c>
    </row>
    <row r="47" ht="12.75" customHeight="1">
      <c r="A47" s="61">
        <v>45.0</v>
      </c>
      <c r="B47" s="14" t="s">
        <v>3299</v>
      </c>
      <c r="C47" s="14" t="s">
        <v>3300</v>
      </c>
      <c r="D47" s="14" t="s">
        <v>2682</v>
      </c>
      <c r="E47" s="13" t="s">
        <v>298</v>
      </c>
      <c r="F47" s="14" t="s">
        <v>73</v>
      </c>
      <c r="G47" s="13" t="s">
        <v>315</v>
      </c>
      <c r="J47" s="13" t="s">
        <v>3301</v>
      </c>
      <c r="K47" s="16" t="s">
        <v>3299</v>
      </c>
      <c r="L47" s="14" t="s">
        <v>3302</v>
      </c>
      <c r="M47" s="44" t="s">
        <v>298</v>
      </c>
      <c r="N47" s="14" t="s">
        <v>3300</v>
      </c>
      <c r="O47" s="16" t="s">
        <v>3303</v>
      </c>
      <c r="P47" s="44">
        <v>2014.0</v>
      </c>
      <c r="Q47" s="44" t="s">
        <v>3001</v>
      </c>
      <c r="R47" s="14" t="s">
        <v>3002</v>
      </c>
      <c r="S47" s="44" t="s">
        <v>1805</v>
      </c>
      <c r="T47" s="44" t="s">
        <v>2928</v>
      </c>
      <c r="U47" s="44" t="s">
        <v>59</v>
      </c>
      <c r="V47" s="45">
        <v>4.0</v>
      </c>
      <c r="Z47" s="47" t="s">
        <v>420</v>
      </c>
      <c r="AA47" s="16" t="s">
        <v>2979</v>
      </c>
      <c r="AB47" s="47" t="s">
        <v>2688</v>
      </c>
      <c r="AC47" s="47" t="s">
        <v>63</v>
      </c>
      <c r="AD47" s="47" t="s">
        <v>423</v>
      </c>
      <c r="AF47" s="79" t="s">
        <v>2957</v>
      </c>
      <c r="AG47" s="16" t="s">
        <v>2929</v>
      </c>
      <c r="AH47" s="14" t="s">
        <v>3159</v>
      </c>
      <c r="AI47" s="74" t="s">
        <v>3304</v>
      </c>
      <c r="AJ47" s="74" t="s">
        <v>3305</v>
      </c>
      <c r="AK47" s="16" t="s">
        <v>70</v>
      </c>
    </row>
    <row r="48" ht="12.75" customHeight="1">
      <c r="A48" s="61">
        <v>46.0</v>
      </c>
      <c r="B48" s="14" t="s">
        <v>3306</v>
      </c>
      <c r="C48" s="14" t="s">
        <v>3307</v>
      </c>
      <c r="D48" s="14" t="s">
        <v>2682</v>
      </c>
      <c r="E48" s="13" t="s">
        <v>298</v>
      </c>
      <c r="F48" s="14" t="s">
        <v>73</v>
      </c>
      <c r="G48" s="13" t="s">
        <v>315</v>
      </c>
      <c r="J48" s="13" t="s">
        <v>3308</v>
      </c>
      <c r="K48" s="16" t="s">
        <v>3306</v>
      </c>
      <c r="L48" s="14" t="s">
        <v>3309</v>
      </c>
      <c r="M48" s="44" t="s">
        <v>298</v>
      </c>
      <c r="N48" s="14" t="s">
        <v>3307</v>
      </c>
      <c r="O48" s="16" t="s">
        <v>3310</v>
      </c>
      <c r="P48" s="44">
        <v>2013.0</v>
      </c>
      <c r="Q48" s="44" t="s">
        <v>3001</v>
      </c>
      <c r="R48" s="14" t="s">
        <v>3002</v>
      </c>
      <c r="S48" s="44" t="s">
        <v>1805</v>
      </c>
      <c r="T48" s="44" t="s">
        <v>2928</v>
      </c>
      <c r="U48" s="44" t="s">
        <v>59</v>
      </c>
      <c r="V48" s="45">
        <v>4.0</v>
      </c>
      <c r="Z48" s="47" t="s">
        <v>420</v>
      </c>
      <c r="AA48" s="16" t="s">
        <v>2979</v>
      </c>
      <c r="AB48" s="47" t="s">
        <v>2688</v>
      </c>
      <c r="AC48" s="47" t="s">
        <v>63</v>
      </c>
      <c r="AD48" s="47" t="s">
        <v>423</v>
      </c>
      <c r="AF48" s="79" t="s">
        <v>2957</v>
      </c>
      <c r="AG48" s="16" t="s">
        <v>2929</v>
      </c>
      <c r="AH48" s="14" t="s">
        <v>3311</v>
      </c>
      <c r="AI48" s="74" t="s">
        <v>3312</v>
      </c>
      <c r="AJ48" s="74" t="s">
        <v>3313</v>
      </c>
      <c r="AK48" s="16" t="s">
        <v>70</v>
      </c>
    </row>
    <row r="49" ht="12.75" customHeight="1">
      <c r="A49" s="61">
        <v>47.0</v>
      </c>
      <c r="B49" s="14" t="s">
        <v>3314</v>
      </c>
      <c r="C49" s="14" t="s">
        <v>3315</v>
      </c>
      <c r="D49" s="14" t="s">
        <v>2682</v>
      </c>
      <c r="E49" s="13" t="s">
        <v>298</v>
      </c>
      <c r="F49" s="14" t="s">
        <v>73</v>
      </c>
      <c r="G49" s="13" t="s">
        <v>315</v>
      </c>
      <c r="J49" s="13" t="s">
        <v>3316</v>
      </c>
      <c r="K49" s="16" t="s">
        <v>3314</v>
      </c>
      <c r="L49" s="14" t="s">
        <v>3317</v>
      </c>
      <c r="M49" s="44" t="s">
        <v>298</v>
      </c>
      <c r="N49" s="14" t="s">
        <v>3315</v>
      </c>
      <c r="O49" s="16" t="s">
        <v>3318</v>
      </c>
      <c r="P49" s="44">
        <v>2005.0</v>
      </c>
      <c r="Q49" s="44" t="s">
        <v>2926</v>
      </c>
      <c r="R49" s="14" t="s">
        <v>3044</v>
      </c>
      <c r="S49" s="44" t="s">
        <v>1805</v>
      </c>
      <c r="T49" s="44" t="s">
        <v>2928</v>
      </c>
      <c r="U49" s="44" t="s">
        <v>59</v>
      </c>
      <c r="V49" s="45">
        <v>4.0</v>
      </c>
      <c r="Z49" s="47" t="s">
        <v>420</v>
      </c>
      <c r="AA49" s="16" t="s">
        <v>2979</v>
      </c>
      <c r="AB49" s="47" t="s">
        <v>2688</v>
      </c>
      <c r="AC49" s="47" t="s">
        <v>63</v>
      </c>
      <c r="AD49" s="47" t="s">
        <v>423</v>
      </c>
      <c r="AF49" s="79" t="s">
        <v>158</v>
      </c>
      <c r="AG49" s="16" t="s">
        <v>3319</v>
      </c>
      <c r="AH49" s="14" t="s">
        <v>3320</v>
      </c>
      <c r="AI49" s="74" t="s">
        <v>3321</v>
      </c>
      <c r="AJ49" s="74" t="s">
        <v>3322</v>
      </c>
      <c r="AK49" s="16" t="s">
        <v>70</v>
      </c>
    </row>
    <row r="50" ht="12.75" customHeight="1">
      <c r="A50" s="61">
        <v>48.0</v>
      </c>
      <c r="B50" s="14" t="s">
        <v>3323</v>
      </c>
      <c r="C50" s="14" t="s">
        <v>3315</v>
      </c>
      <c r="D50" s="14" t="s">
        <v>2682</v>
      </c>
      <c r="E50" s="13" t="s">
        <v>298</v>
      </c>
      <c r="F50" s="14" t="s">
        <v>73</v>
      </c>
      <c r="G50" s="13" t="s">
        <v>315</v>
      </c>
      <c r="J50" s="13" t="s">
        <v>3324</v>
      </c>
      <c r="K50" s="16" t="s">
        <v>3323</v>
      </c>
      <c r="L50" s="14" t="s">
        <v>3325</v>
      </c>
      <c r="M50" s="44" t="s">
        <v>298</v>
      </c>
      <c r="N50" s="14" t="s">
        <v>3315</v>
      </c>
      <c r="O50" s="16" t="s">
        <v>3326</v>
      </c>
      <c r="P50" s="44">
        <v>2008.0</v>
      </c>
      <c r="Q50" s="44" t="s">
        <v>2926</v>
      </c>
      <c r="R50" s="14" t="s">
        <v>3044</v>
      </c>
      <c r="S50" s="44" t="s">
        <v>1805</v>
      </c>
      <c r="T50" s="44" t="s">
        <v>2928</v>
      </c>
      <c r="U50" s="44" t="s">
        <v>59</v>
      </c>
      <c r="V50" s="45">
        <v>4.0</v>
      </c>
      <c r="Z50" s="47" t="s">
        <v>420</v>
      </c>
      <c r="AA50" s="16" t="s">
        <v>2979</v>
      </c>
      <c r="AB50" s="47" t="s">
        <v>2688</v>
      </c>
      <c r="AC50" s="47" t="s">
        <v>63</v>
      </c>
      <c r="AD50" s="47" t="s">
        <v>423</v>
      </c>
      <c r="AF50" s="79" t="s">
        <v>158</v>
      </c>
      <c r="AG50" s="16" t="s">
        <v>2943</v>
      </c>
      <c r="AH50" s="14" t="s">
        <v>3327</v>
      </c>
      <c r="AI50" s="74" t="s">
        <v>3328</v>
      </c>
      <c r="AJ50" s="74" t="s">
        <v>3329</v>
      </c>
      <c r="AK50" s="16" t="s">
        <v>70</v>
      </c>
    </row>
    <row r="51" ht="12.75" customHeight="1">
      <c r="A51" s="61">
        <v>49.0</v>
      </c>
      <c r="B51" s="14" t="s">
        <v>3330</v>
      </c>
      <c r="C51" s="14" t="s">
        <v>3331</v>
      </c>
      <c r="D51" s="14" t="s">
        <v>2682</v>
      </c>
      <c r="E51" s="13" t="s">
        <v>298</v>
      </c>
      <c r="F51" s="14" t="s">
        <v>73</v>
      </c>
      <c r="G51" s="13" t="s">
        <v>315</v>
      </c>
      <c r="J51" s="13" t="s">
        <v>3332</v>
      </c>
      <c r="K51" s="16" t="s">
        <v>3330</v>
      </c>
      <c r="L51" s="14" t="s">
        <v>3333</v>
      </c>
      <c r="M51" s="44" t="s">
        <v>298</v>
      </c>
      <c r="N51" s="14" t="s">
        <v>3331</v>
      </c>
      <c r="O51" s="16" t="s">
        <v>3334</v>
      </c>
      <c r="P51" s="44">
        <v>2016.0</v>
      </c>
      <c r="Q51" s="44" t="s">
        <v>3001</v>
      </c>
      <c r="R51" s="14" t="s">
        <v>3002</v>
      </c>
      <c r="S51" s="44" t="s">
        <v>1805</v>
      </c>
      <c r="T51" s="44" t="s">
        <v>2928</v>
      </c>
      <c r="U51" s="44" t="s">
        <v>59</v>
      </c>
      <c r="V51" s="45">
        <v>4.0</v>
      </c>
      <c r="Z51" s="47" t="s">
        <v>420</v>
      </c>
      <c r="AA51" s="16" t="s">
        <v>2979</v>
      </c>
      <c r="AB51" s="47" t="s">
        <v>2688</v>
      </c>
      <c r="AC51" s="47" t="s">
        <v>63</v>
      </c>
      <c r="AD51" s="47" t="s">
        <v>423</v>
      </c>
      <c r="AF51" s="79" t="s">
        <v>2957</v>
      </c>
      <c r="AG51" s="16" t="s">
        <v>2929</v>
      </c>
      <c r="AH51" s="14" t="s">
        <v>3159</v>
      </c>
      <c r="AI51" s="74" t="s">
        <v>3335</v>
      </c>
      <c r="AJ51" s="74" t="s">
        <v>3336</v>
      </c>
      <c r="AK51" s="16" t="s">
        <v>70</v>
      </c>
    </row>
    <row r="52" ht="12.75" customHeight="1">
      <c r="A52" s="61">
        <v>50.0</v>
      </c>
      <c r="B52" s="14" t="s">
        <v>3337</v>
      </c>
      <c r="C52" s="14" t="s">
        <v>3338</v>
      </c>
      <c r="D52" s="14" t="s">
        <v>2682</v>
      </c>
      <c r="E52" s="13" t="s">
        <v>298</v>
      </c>
      <c r="F52" s="14" t="s">
        <v>73</v>
      </c>
      <c r="G52" s="13" t="s">
        <v>315</v>
      </c>
      <c r="J52" s="13" t="s">
        <v>3339</v>
      </c>
      <c r="K52" s="16" t="s">
        <v>3337</v>
      </c>
      <c r="L52" s="14" t="s">
        <v>3340</v>
      </c>
      <c r="M52" s="44" t="s">
        <v>298</v>
      </c>
      <c r="N52" s="14" t="s">
        <v>3338</v>
      </c>
      <c r="O52" s="16" t="s">
        <v>3341</v>
      </c>
      <c r="P52" s="44">
        <v>2006.0</v>
      </c>
      <c r="Q52" s="44" t="s">
        <v>3001</v>
      </c>
      <c r="R52" s="14" t="s">
        <v>3002</v>
      </c>
      <c r="S52" s="44" t="s">
        <v>1805</v>
      </c>
      <c r="T52" s="44" t="s">
        <v>2928</v>
      </c>
      <c r="U52" s="44" t="s">
        <v>59</v>
      </c>
      <c r="V52" s="45">
        <v>4.0</v>
      </c>
      <c r="Z52" s="47" t="s">
        <v>420</v>
      </c>
      <c r="AA52" s="16" t="s">
        <v>2979</v>
      </c>
      <c r="AB52" s="47" t="s">
        <v>2688</v>
      </c>
      <c r="AC52" s="47" t="s">
        <v>63</v>
      </c>
      <c r="AD52" s="47" t="s">
        <v>423</v>
      </c>
      <c r="AF52" s="79" t="s">
        <v>2957</v>
      </c>
      <c r="AG52" s="16" t="s">
        <v>2929</v>
      </c>
      <c r="AH52" s="14" t="s">
        <v>3159</v>
      </c>
      <c r="AI52" s="74" t="s">
        <v>3342</v>
      </c>
      <c r="AJ52" s="74" t="s">
        <v>3343</v>
      </c>
      <c r="AK52" s="16" t="s">
        <v>70</v>
      </c>
    </row>
    <row r="53" ht="12.75" customHeight="1">
      <c r="A53" s="61">
        <v>51.0</v>
      </c>
      <c r="B53" s="14" t="s">
        <v>3344</v>
      </c>
      <c r="C53" s="14" t="s">
        <v>3345</v>
      </c>
      <c r="D53" s="14" t="s">
        <v>2682</v>
      </c>
      <c r="E53" s="13" t="s">
        <v>298</v>
      </c>
      <c r="F53" s="14" t="s">
        <v>73</v>
      </c>
      <c r="G53" s="13" t="s">
        <v>315</v>
      </c>
      <c r="J53" s="13" t="s">
        <v>3346</v>
      </c>
      <c r="K53" s="16" t="s">
        <v>3344</v>
      </c>
      <c r="L53" s="14" t="s">
        <v>3347</v>
      </c>
      <c r="M53" s="44" t="s">
        <v>298</v>
      </c>
      <c r="N53" s="14" t="s">
        <v>3345</v>
      </c>
      <c r="O53" s="16" t="s">
        <v>3348</v>
      </c>
      <c r="P53" s="44">
        <v>2019.0</v>
      </c>
      <c r="Q53" s="44" t="s">
        <v>3001</v>
      </c>
      <c r="R53" s="14" t="s">
        <v>3002</v>
      </c>
      <c r="S53" s="44" t="s">
        <v>1805</v>
      </c>
      <c r="T53" s="44" t="s">
        <v>2928</v>
      </c>
      <c r="U53" s="44" t="s">
        <v>59</v>
      </c>
      <c r="V53" s="45">
        <v>4.0</v>
      </c>
      <c r="Z53" s="47" t="s">
        <v>420</v>
      </c>
      <c r="AA53" s="16" t="s">
        <v>2979</v>
      </c>
      <c r="AB53" s="47" t="s">
        <v>2688</v>
      </c>
      <c r="AC53" s="47" t="s">
        <v>63</v>
      </c>
      <c r="AD53" s="47" t="s">
        <v>423</v>
      </c>
      <c r="AF53" s="79" t="s">
        <v>2957</v>
      </c>
      <c r="AG53" s="16" t="s">
        <v>2929</v>
      </c>
      <c r="AH53" s="14" t="s">
        <v>3159</v>
      </c>
      <c r="AI53" s="74" t="s">
        <v>3349</v>
      </c>
      <c r="AJ53" s="74" t="s">
        <v>3350</v>
      </c>
      <c r="AK53" s="16" t="s">
        <v>70</v>
      </c>
    </row>
    <row r="54" ht="12.75" customHeight="1">
      <c r="A54" s="61">
        <v>52.0</v>
      </c>
      <c r="B54" s="14" t="s">
        <v>3351</v>
      </c>
      <c r="C54" s="14" t="s">
        <v>3352</v>
      </c>
      <c r="D54" s="14" t="s">
        <v>2682</v>
      </c>
      <c r="E54" s="13" t="s">
        <v>298</v>
      </c>
      <c r="F54" s="14" t="s">
        <v>73</v>
      </c>
      <c r="G54" s="13" t="s">
        <v>315</v>
      </c>
      <c r="J54" s="13" t="s">
        <v>3353</v>
      </c>
      <c r="K54" s="16" t="s">
        <v>3351</v>
      </c>
      <c r="L54" s="14" t="s">
        <v>3354</v>
      </c>
      <c r="M54" s="44" t="s">
        <v>298</v>
      </c>
      <c r="N54" s="14" t="s">
        <v>3352</v>
      </c>
      <c r="O54" s="16" t="s">
        <v>3355</v>
      </c>
      <c r="P54" s="44">
        <v>2002.0</v>
      </c>
      <c r="Q54" s="44" t="s">
        <v>3135</v>
      </c>
      <c r="R54" s="14" t="s">
        <v>3136</v>
      </c>
      <c r="S54" s="44" t="s">
        <v>1805</v>
      </c>
      <c r="T54" s="44" t="s">
        <v>2928</v>
      </c>
      <c r="U54" s="44" t="s">
        <v>59</v>
      </c>
      <c r="V54" s="45">
        <v>4.0</v>
      </c>
      <c r="Z54" s="47" t="s">
        <v>420</v>
      </c>
      <c r="AA54" s="16" t="s">
        <v>2979</v>
      </c>
      <c r="AB54" s="47" t="s">
        <v>2688</v>
      </c>
      <c r="AC54" s="47" t="s">
        <v>63</v>
      </c>
      <c r="AD54" s="47" t="s">
        <v>423</v>
      </c>
      <c r="AF54" s="79" t="s">
        <v>64</v>
      </c>
      <c r="AG54" s="16" t="s">
        <v>435</v>
      </c>
      <c r="AH54" s="14" t="s">
        <v>3137</v>
      </c>
      <c r="AI54" s="74" t="s">
        <v>3356</v>
      </c>
      <c r="AJ54" s="74" t="s">
        <v>3357</v>
      </c>
      <c r="AK54" s="16" t="s">
        <v>70</v>
      </c>
    </row>
    <row r="55" ht="12.75" customHeight="1">
      <c r="A55" s="61">
        <v>53.0</v>
      </c>
      <c r="B55" s="14" t="s">
        <v>3358</v>
      </c>
      <c r="C55" s="14" t="s">
        <v>3352</v>
      </c>
      <c r="D55" s="14" t="s">
        <v>2682</v>
      </c>
      <c r="E55" s="13" t="s">
        <v>298</v>
      </c>
      <c r="F55" s="14" t="s">
        <v>73</v>
      </c>
      <c r="G55" s="13" t="s">
        <v>315</v>
      </c>
      <c r="J55" s="13" t="s">
        <v>3359</v>
      </c>
      <c r="K55" s="16" t="s">
        <v>3358</v>
      </c>
      <c r="L55" s="14" t="s">
        <v>3360</v>
      </c>
      <c r="M55" s="44" t="s">
        <v>298</v>
      </c>
      <c r="N55" s="14" t="s">
        <v>3352</v>
      </c>
      <c r="O55" s="16" t="s">
        <v>3361</v>
      </c>
      <c r="P55" s="44">
        <v>2017.0</v>
      </c>
      <c r="Q55" s="44" t="s">
        <v>2926</v>
      </c>
      <c r="R55" s="14" t="s">
        <v>2927</v>
      </c>
      <c r="S55" s="44" t="s">
        <v>1805</v>
      </c>
      <c r="T55" s="44" t="s">
        <v>2928</v>
      </c>
      <c r="U55" s="44" t="s">
        <v>59</v>
      </c>
      <c r="V55" s="45">
        <v>4.0</v>
      </c>
      <c r="Z55" s="47" t="s">
        <v>420</v>
      </c>
      <c r="AA55" s="16" t="s">
        <v>2979</v>
      </c>
      <c r="AB55" s="47" t="s">
        <v>2688</v>
      </c>
      <c r="AC55" s="47" t="s">
        <v>63</v>
      </c>
      <c r="AD55" s="47" t="s">
        <v>423</v>
      </c>
      <c r="AF55" s="79" t="s">
        <v>2957</v>
      </c>
      <c r="AG55" s="16" t="s">
        <v>2929</v>
      </c>
      <c r="AH55" s="14" t="s">
        <v>3362</v>
      </c>
      <c r="AI55" s="74" t="s">
        <v>3363</v>
      </c>
      <c r="AJ55" s="74" t="s">
        <v>3364</v>
      </c>
      <c r="AK55" s="16" t="s">
        <v>70</v>
      </c>
    </row>
    <row r="56" ht="12.75" customHeight="1">
      <c r="A56" s="61">
        <v>54.0</v>
      </c>
      <c r="B56" s="14" t="s">
        <v>3365</v>
      </c>
      <c r="C56" s="14" t="s">
        <v>3366</v>
      </c>
      <c r="D56" s="14" t="s">
        <v>2682</v>
      </c>
      <c r="E56" s="13" t="s">
        <v>298</v>
      </c>
      <c r="F56" s="14" t="s">
        <v>73</v>
      </c>
      <c r="G56" s="13" t="s">
        <v>315</v>
      </c>
      <c r="J56" s="13" t="s">
        <v>3367</v>
      </c>
      <c r="K56" s="16" t="s">
        <v>3365</v>
      </c>
      <c r="L56" s="14" t="s">
        <v>3368</v>
      </c>
      <c r="M56" s="44" t="s">
        <v>298</v>
      </c>
      <c r="N56" s="14" t="s">
        <v>3366</v>
      </c>
      <c r="O56" s="16" t="s">
        <v>3369</v>
      </c>
      <c r="P56" s="44">
        <v>2004.0</v>
      </c>
      <c r="Q56" s="44" t="s">
        <v>3370</v>
      </c>
      <c r="R56" s="14" t="s">
        <v>3371</v>
      </c>
      <c r="S56" s="44" t="s">
        <v>1805</v>
      </c>
      <c r="T56" s="44" t="s">
        <v>2928</v>
      </c>
      <c r="U56" s="44" t="s">
        <v>59</v>
      </c>
      <c r="V56" s="45">
        <v>4.0</v>
      </c>
      <c r="Z56" s="47" t="s">
        <v>420</v>
      </c>
      <c r="AA56" s="16" t="s">
        <v>2979</v>
      </c>
      <c r="AB56" s="47" t="s">
        <v>2688</v>
      </c>
      <c r="AC56" s="47" t="s">
        <v>63</v>
      </c>
      <c r="AD56" s="47" t="s">
        <v>423</v>
      </c>
      <c r="AF56" s="79" t="s">
        <v>64</v>
      </c>
      <c r="AG56" s="16" t="s">
        <v>2786</v>
      </c>
      <c r="AH56" s="14" t="s">
        <v>3372</v>
      </c>
      <c r="AI56" s="74" t="s">
        <v>3373</v>
      </c>
      <c r="AJ56" s="74" t="s">
        <v>3374</v>
      </c>
      <c r="AK56" s="16" t="s">
        <v>70</v>
      </c>
    </row>
    <row r="57" ht="12.75" customHeight="1">
      <c r="A57" s="61">
        <v>55.0</v>
      </c>
      <c r="B57" s="14" t="s">
        <v>3375</v>
      </c>
      <c r="C57" s="14" t="s">
        <v>3376</v>
      </c>
      <c r="D57" s="14" t="s">
        <v>2682</v>
      </c>
      <c r="E57" s="13" t="s">
        <v>298</v>
      </c>
      <c r="F57" s="14" t="s">
        <v>73</v>
      </c>
      <c r="G57" s="13" t="s">
        <v>315</v>
      </c>
      <c r="J57" s="13" t="s">
        <v>3377</v>
      </c>
      <c r="K57" s="16" t="s">
        <v>3375</v>
      </c>
      <c r="L57" s="14" t="s">
        <v>3378</v>
      </c>
      <c r="M57" s="44" t="s">
        <v>298</v>
      </c>
      <c r="N57" s="14" t="s">
        <v>3376</v>
      </c>
      <c r="O57" s="16" t="s">
        <v>3379</v>
      </c>
      <c r="P57" s="44">
        <v>1991.0</v>
      </c>
      <c r="Q57" s="44" t="s">
        <v>3001</v>
      </c>
      <c r="R57" s="14" t="s">
        <v>3002</v>
      </c>
      <c r="S57" s="44" t="s">
        <v>1805</v>
      </c>
      <c r="T57" s="44" t="s">
        <v>2928</v>
      </c>
      <c r="U57" s="44" t="s">
        <v>59</v>
      </c>
      <c r="V57" s="45">
        <v>4.0</v>
      </c>
      <c r="Z57" s="47" t="s">
        <v>420</v>
      </c>
      <c r="AA57" s="16" t="s">
        <v>2979</v>
      </c>
      <c r="AB57" s="47" t="s">
        <v>2688</v>
      </c>
      <c r="AC57" s="47" t="s">
        <v>63</v>
      </c>
      <c r="AD57" s="47" t="s">
        <v>423</v>
      </c>
      <c r="AF57" s="79" t="s">
        <v>2957</v>
      </c>
      <c r="AG57" s="16" t="s">
        <v>2929</v>
      </c>
      <c r="AH57" s="14" t="s">
        <v>3159</v>
      </c>
      <c r="AI57" s="74" t="s">
        <v>3380</v>
      </c>
      <c r="AJ57" s="74" t="s">
        <v>3381</v>
      </c>
      <c r="AK57" s="16" t="s">
        <v>70</v>
      </c>
    </row>
    <row r="58" ht="12.75" customHeight="1">
      <c r="A58" s="61">
        <v>56.0</v>
      </c>
      <c r="B58" s="14" t="s">
        <v>3382</v>
      </c>
      <c r="C58" s="14" t="s">
        <v>3058</v>
      </c>
      <c r="D58" s="14" t="s">
        <v>2682</v>
      </c>
      <c r="E58" s="13" t="s">
        <v>298</v>
      </c>
      <c r="F58" s="14" t="s">
        <v>73</v>
      </c>
      <c r="G58" s="13" t="s">
        <v>315</v>
      </c>
      <c r="J58" s="13" t="s">
        <v>3383</v>
      </c>
      <c r="K58" s="16" t="s">
        <v>3382</v>
      </c>
      <c r="M58" s="44" t="s">
        <v>298</v>
      </c>
      <c r="N58" s="14" t="s">
        <v>3058</v>
      </c>
      <c r="O58" s="16" t="s">
        <v>3384</v>
      </c>
      <c r="P58" s="44">
        <v>2007.0</v>
      </c>
      <c r="Q58" s="44" t="s">
        <v>3370</v>
      </c>
      <c r="R58" s="14" t="s">
        <v>3371</v>
      </c>
      <c r="S58" s="44" t="s">
        <v>1805</v>
      </c>
      <c r="T58" s="44" t="s">
        <v>2928</v>
      </c>
      <c r="U58" s="44" t="s">
        <v>59</v>
      </c>
      <c r="V58" s="45">
        <v>4.0</v>
      </c>
      <c r="Z58" s="47" t="s">
        <v>420</v>
      </c>
      <c r="AA58" s="16" t="s">
        <v>2979</v>
      </c>
      <c r="AB58" s="47" t="s">
        <v>2688</v>
      </c>
      <c r="AC58" s="47" t="s">
        <v>63</v>
      </c>
      <c r="AD58" s="47" t="s">
        <v>423</v>
      </c>
      <c r="AF58" s="79" t="s">
        <v>64</v>
      </c>
      <c r="AG58" s="47" t="s">
        <v>2711</v>
      </c>
      <c r="AH58" s="14" t="s">
        <v>3385</v>
      </c>
      <c r="AI58" s="74" t="s">
        <v>3386</v>
      </c>
      <c r="AJ58" s="74" t="s">
        <v>3387</v>
      </c>
      <c r="AK58" s="16" t="s">
        <v>70</v>
      </c>
    </row>
    <row r="59" ht="12.75" customHeight="1">
      <c r="A59" s="61">
        <v>57.0</v>
      </c>
      <c r="B59" s="14" t="s">
        <v>3388</v>
      </c>
      <c r="C59" s="14" t="s">
        <v>3389</v>
      </c>
      <c r="D59" s="14" t="s">
        <v>2682</v>
      </c>
      <c r="E59" s="13" t="s">
        <v>298</v>
      </c>
      <c r="F59" s="14" t="s">
        <v>73</v>
      </c>
      <c r="G59" s="13" t="s">
        <v>315</v>
      </c>
      <c r="J59" s="13" t="s">
        <v>3390</v>
      </c>
      <c r="K59" s="16" t="s">
        <v>3388</v>
      </c>
      <c r="L59" s="14" t="s">
        <v>3391</v>
      </c>
      <c r="M59" s="44" t="s">
        <v>298</v>
      </c>
      <c r="N59" s="14" t="s">
        <v>3389</v>
      </c>
      <c r="O59" s="16" t="s">
        <v>3392</v>
      </c>
      <c r="P59" s="44">
        <v>2017.0</v>
      </c>
      <c r="Q59" s="44" t="s">
        <v>2988</v>
      </c>
      <c r="R59" s="14" t="s">
        <v>2989</v>
      </c>
      <c r="S59" s="44" t="s">
        <v>1805</v>
      </c>
      <c r="T59" s="44" t="s">
        <v>2928</v>
      </c>
      <c r="U59" s="44" t="s">
        <v>59</v>
      </c>
      <c r="V59" s="45">
        <v>4.0</v>
      </c>
      <c r="Z59" s="47" t="s">
        <v>420</v>
      </c>
      <c r="AA59" s="16" t="s">
        <v>2979</v>
      </c>
      <c r="AB59" s="47" t="s">
        <v>2688</v>
      </c>
      <c r="AC59" s="47" t="s">
        <v>63</v>
      </c>
      <c r="AD59" s="47" t="s">
        <v>423</v>
      </c>
      <c r="AF59" s="79" t="s">
        <v>2957</v>
      </c>
      <c r="AG59" s="16" t="s">
        <v>2929</v>
      </c>
      <c r="AH59" s="14" t="s">
        <v>3393</v>
      </c>
      <c r="AI59" s="74" t="s">
        <v>3394</v>
      </c>
      <c r="AJ59" s="74" t="s">
        <v>3395</v>
      </c>
      <c r="AK59" s="16" t="s">
        <v>70</v>
      </c>
    </row>
    <row r="60" ht="12.75" customHeight="1">
      <c r="A60" s="61">
        <v>58.0</v>
      </c>
      <c r="B60" s="14" t="s">
        <v>3396</v>
      </c>
      <c r="C60" s="14" t="s">
        <v>3397</v>
      </c>
      <c r="D60" s="14" t="s">
        <v>2682</v>
      </c>
      <c r="E60" s="13" t="s">
        <v>298</v>
      </c>
      <c r="F60" s="14" t="s">
        <v>73</v>
      </c>
      <c r="G60" s="13" t="s">
        <v>315</v>
      </c>
      <c r="J60" s="13" t="s">
        <v>3398</v>
      </c>
      <c r="K60" s="16" t="s">
        <v>3396</v>
      </c>
      <c r="L60" s="14" t="s">
        <v>3399</v>
      </c>
      <c r="M60" s="44" t="s">
        <v>298</v>
      </c>
      <c r="N60" s="14" t="s">
        <v>3397</v>
      </c>
      <c r="O60" s="16" t="s">
        <v>3400</v>
      </c>
      <c r="P60" s="44">
        <v>2003.0</v>
      </c>
      <c r="Q60" s="44" t="s">
        <v>3135</v>
      </c>
      <c r="R60" s="14" t="s">
        <v>3136</v>
      </c>
      <c r="S60" s="44" t="s">
        <v>1805</v>
      </c>
      <c r="T60" s="44" t="s">
        <v>2928</v>
      </c>
      <c r="U60" s="44" t="s">
        <v>59</v>
      </c>
      <c r="V60" s="45">
        <v>4.0</v>
      </c>
      <c r="Z60" s="47" t="s">
        <v>420</v>
      </c>
      <c r="AA60" s="16" t="s">
        <v>2979</v>
      </c>
      <c r="AB60" s="47" t="s">
        <v>2688</v>
      </c>
      <c r="AC60" s="47" t="s">
        <v>63</v>
      </c>
      <c r="AD60" s="47" t="s">
        <v>423</v>
      </c>
      <c r="AF60" s="79" t="s">
        <v>64</v>
      </c>
      <c r="AG60" s="16" t="s">
        <v>2677</v>
      </c>
      <c r="AH60" s="14" t="s">
        <v>3401</v>
      </c>
      <c r="AI60" s="74" t="s">
        <v>3402</v>
      </c>
      <c r="AJ60" s="74" t="s">
        <v>3403</v>
      </c>
      <c r="AK60" s="16" t="s">
        <v>70</v>
      </c>
    </row>
    <row r="61" ht="12.75" customHeight="1">
      <c r="A61" s="61">
        <v>59.0</v>
      </c>
      <c r="B61" s="14" t="s">
        <v>3404</v>
      </c>
      <c r="C61" s="14" t="s">
        <v>3405</v>
      </c>
      <c r="D61" s="14" t="s">
        <v>2682</v>
      </c>
      <c r="E61" s="13" t="s">
        <v>298</v>
      </c>
      <c r="F61" s="14" t="s">
        <v>73</v>
      </c>
      <c r="G61" s="13" t="s">
        <v>315</v>
      </c>
      <c r="J61" s="13" t="s">
        <v>3406</v>
      </c>
      <c r="K61" s="16" t="s">
        <v>3407</v>
      </c>
      <c r="L61" s="14" t="s">
        <v>3408</v>
      </c>
      <c r="M61" s="44" t="s">
        <v>298</v>
      </c>
      <c r="N61" s="14" t="s">
        <v>3405</v>
      </c>
      <c r="O61" s="16" t="s">
        <v>3409</v>
      </c>
      <c r="P61" s="44">
        <v>2022.0</v>
      </c>
      <c r="Q61" s="44" t="s">
        <v>2988</v>
      </c>
      <c r="R61" s="14" t="s">
        <v>2989</v>
      </c>
      <c r="S61" s="44" t="s">
        <v>1805</v>
      </c>
      <c r="T61" s="44" t="s">
        <v>2928</v>
      </c>
      <c r="U61" s="44" t="s">
        <v>59</v>
      </c>
      <c r="V61" s="45">
        <v>4.0</v>
      </c>
      <c r="Z61" s="47" t="s">
        <v>420</v>
      </c>
      <c r="AA61" s="16" t="s">
        <v>2979</v>
      </c>
      <c r="AB61" s="47" t="s">
        <v>2688</v>
      </c>
      <c r="AC61" s="47" t="s">
        <v>63</v>
      </c>
      <c r="AD61" s="47" t="s">
        <v>423</v>
      </c>
      <c r="AF61" s="79" t="s">
        <v>2957</v>
      </c>
      <c r="AG61" s="16" t="s">
        <v>2929</v>
      </c>
      <c r="AH61" s="14" t="s">
        <v>3410</v>
      </c>
      <c r="AI61" s="74" t="s">
        <v>3411</v>
      </c>
      <c r="AJ61" s="74" t="s">
        <v>3412</v>
      </c>
      <c r="AK61" s="16" t="s">
        <v>70</v>
      </c>
    </row>
    <row r="62" ht="12.75" customHeight="1">
      <c r="A62" s="61">
        <v>60.0</v>
      </c>
      <c r="B62" s="14" t="s">
        <v>3413</v>
      </c>
      <c r="C62" s="14" t="s">
        <v>3414</v>
      </c>
      <c r="D62" s="14" t="s">
        <v>2682</v>
      </c>
      <c r="E62" s="13" t="s">
        <v>298</v>
      </c>
      <c r="F62" s="14" t="s">
        <v>73</v>
      </c>
      <c r="G62" s="13" t="s">
        <v>315</v>
      </c>
      <c r="J62" s="13" t="s">
        <v>3415</v>
      </c>
      <c r="K62" s="16" t="s">
        <v>3416</v>
      </c>
      <c r="L62" s="14" t="s">
        <v>3417</v>
      </c>
      <c r="M62" s="44" t="s">
        <v>298</v>
      </c>
      <c r="N62" s="14" t="s">
        <v>3414</v>
      </c>
      <c r="O62" s="16" t="s">
        <v>3418</v>
      </c>
      <c r="P62" s="44">
        <v>1993.0</v>
      </c>
      <c r="Q62" s="44" t="s">
        <v>3370</v>
      </c>
      <c r="R62" s="14" t="s">
        <v>3371</v>
      </c>
      <c r="S62" s="44" t="s">
        <v>1805</v>
      </c>
      <c r="T62" s="44" t="s">
        <v>2928</v>
      </c>
      <c r="U62" s="44" t="s">
        <v>59</v>
      </c>
      <c r="V62" s="45">
        <v>4.0</v>
      </c>
      <c r="Z62" s="47" t="s">
        <v>420</v>
      </c>
      <c r="AA62" s="16" t="s">
        <v>2979</v>
      </c>
      <c r="AB62" s="47" t="s">
        <v>2688</v>
      </c>
      <c r="AC62" s="47" t="s">
        <v>63</v>
      </c>
      <c r="AD62" s="47" t="s">
        <v>423</v>
      </c>
      <c r="AF62" s="79" t="s">
        <v>64</v>
      </c>
      <c r="AG62" s="16" t="s">
        <v>66</v>
      </c>
      <c r="AH62" s="14" t="s">
        <v>3419</v>
      </c>
      <c r="AI62" s="74" t="s">
        <v>3420</v>
      </c>
      <c r="AJ62" s="74" t="s">
        <v>3421</v>
      </c>
      <c r="AK62" s="16" t="s">
        <v>70</v>
      </c>
    </row>
    <row r="63" ht="12.75" customHeight="1">
      <c r="A63" s="61">
        <v>61.0</v>
      </c>
      <c r="B63" s="14" t="s">
        <v>3422</v>
      </c>
      <c r="C63" s="14" t="s">
        <v>3221</v>
      </c>
      <c r="D63" s="14" t="s">
        <v>2682</v>
      </c>
      <c r="E63" s="13" t="s">
        <v>298</v>
      </c>
      <c r="F63" s="14" t="s">
        <v>73</v>
      </c>
      <c r="G63" s="13" t="s">
        <v>315</v>
      </c>
      <c r="J63" s="13" t="s">
        <v>3423</v>
      </c>
      <c r="K63" s="16" t="s">
        <v>3424</v>
      </c>
      <c r="M63" s="44" t="s">
        <v>298</v>
      </c>
      <c r="N63" s="14" t="s">
        <v>3221</v>
      </c>
      <c r="O63" s="16" t="s">
        <v>3425</v>
      </c>
      <c r="P63" s="44">
        <v>2011.0</v>
      </c>
      <c r="Q63" s="44" t="s">
        <v>2926</v>
      </c>
      <c r="R63" s="14" t="s">
        <v>3044</v>
      </c>
      <c r="S63" s="44" t="s">
        <v>1805</v>
      </c>
      <c r="T63" s="44" t="s">
        <v>2928</v>
      </c>
      <c r="U63" s="44" t="s">
        <v>59</v>
      </c>
      <c r="V63" s="45">
        <v>4.0</v>
      </c>
      <c r="Z63" s="47" t="s">
        <v>420</v>
      </c>
      <c r="AA63" s="16" t="s">
        <v>2979</v>
      </c>
      <c r="AB63" s="47" t="s">
        <v>2688</v>
      </c>
      <c r="AC63" s="47" t="s">
        <v>63</v>
      </c>
      <c r="AD63" s="47" t="s">
        <v>423</v>
      </c>
      <c r="AF63" s="79" t="s">
        <v>2957</v>
      </c>
      <c r="AG63" s="16" t="s">
        <v>2929</v>
      </c>
      <c r="AH63" s="14" t="s">
        <v>3426</v>
      </c>
      <c r="AI63" s="74" t="s">
        <v>3427</v>
      </c>
      <c r="AJ63" s="74" t="s">
        <v>3428</v>
      </c>
      <c r="AK63" s="16" t="s">
        <v>70</v>
      </c>
    </row>
    <row r="64" ht="12.75" customHeight="1">
      <c r="A64" s="61">
        <v>62.0</v>
      </c>
      <c r="B64" s="14" t="s">
        <v>3429</v>
      </c>
      <c r="C64" s="14" t="s">
        <v>3430</v>
      </c>
      <c r="D64" s="14" t="s">
        <v>2682</v>
      </c>
      <c r="E64" s="13" t="s">
        <v>298</v>
      </c>
      <c r="F64" s="14" t="s">
        <v>73</v>
      </c>
      <c r="G64" s="13" t="s">
        <v>315</v>
      </c>
      <c r="J64" s="13" t="s">
        <v>3431</v>
      </c>
      <c r="K64" s="16" t="s">
        <v>3432</v>
      </c>
      <c r="L64" s="14" t="s">
        <v>3433</v>
      </c>
      <c r="M64" s="44" t="s">
        <v>298</v>
      </c>
      <c r="N64" s="14" t="s">
        <v>3430</v>
      </c>
      <c r="O64" s="16" t="s">
        <v>3434</v>
      </c>
      <c r="P64" s="44">
        <v>2021.0</v>
      </c>
      <c r="Q64" s="44" t="s">
        <v>3435</v>
      </c>
      <c r="R64" s="14" t="s">
        <v>3436</v>
      </c>
      <c r="S64" s="44" t="s">
        <v>1805</v>
      </c>
      <c r="T64" s="44" t="s">
        <v>2928</v>
      </c>
      <c r="U64" s="44" t="s">
        <v>59</v>
      </c>
      <c r="V64" s="45">
        <v>4.0</v>
      </c>
      <c r="Z64" s="47" t="s">
        <v>420</v>
      </c>
      <c r="AA64" s="16" t="s">
        <v>2979</v>
      </c>
      <c r="AB64" s="47" t="s">
        <v>2688</v>
      </c>
      <c r="AC64" s="47" t="s">
        <v>63</v>
      </c>
      <c r="AD64" s="47" t="s">
        <v>423</v>
      </c>
      <c r="AF64" s="79" t="s">
        <v>2957</v>
      </c>
      <c r="AG64" s="16" t="s">
        <v>2929</v>
      </c>
      <c r="AH64" s="14" t="s">
        <v>3437</v>
      </c>
      <c r="AI64" s="74" t="s">
        <v>3438</v>
      </c>
      <c r="AJ64" s="74" t="s">
        <v>3439</v>
      </c>
      <c r="AK64" s="16" t="s">
        <v>70</v>
      </c>
    </row>
    <row r="65" ht="12.75" customHeight="1">
      <c r="A65" s="61">
        <v>63.0</v>
      </c>
      <c r="B65" s="14" t="s">
        <v>3440</v>
      </c>
      <c r="C65" s="14" t="s">
        <v>3441</v>
      </c>
      <c r="D65" s="14" t="s">
        <v>2682</v>
      </c>
      <c r="E65" s="13" t="s">
        <v>298</v>
      </c>
      <c r="F65" s="14" t="s">
        <v>73</v>
      </c>
      <c r="G65" s="13" t="s">
        <v>315</v>
      </c>
      <c r="J65" s="13" t="s">
        <v>3442</v>
      </c>
      <c r="K65" s="16" t="s">
        <v>3443</v>
      </c>
      <c r="L65" s="14" t="s">
        <v>3444</v>
      </c>
      <c r="M65" s="44" t="s">
        <v>298</v>
      </c>
      <c r="N65" s="14" t="s">
        <v>3441</v>
      </c>
      <c r="O65" s="16" t="s">
        <v>3445</v>
      </c>
      <c r="P65" s="44">
        <v>2021.0</v>
      </c>
      <c r="Q65" s="44" t="s">
        <v>3435</v>
      </c>
      <c r="R65" s="14" t="s">
        <v>3436</v>
      </c>
      <c r="S65" s="44" t="s">
        <v>1805</v>
      </c>
      <c r="T65" s="44" t="s">
        <v>2928</v>
      </c>
      <c r="U65" s="44" t="s">
        <v>59</v>
      </c>
      <c r="V65" s="45">
        <v>4.0</v>
      </c>
      <c r="Z65" s="47" t="s">
        <v>420</v>
      </c>
      <c r="AA65" s="16" t="s">
        <v>2979</v>
      </c>
      <c r="AB65" s="47" t="s">
        <v>2688</v>
      </c>
      <c r="AC65" s="47" t="s">
        <v>63</v>
      </c>
      <c r="AD65" s="47" t="s">
        <v>423</v>
      </c>
      <c r="AF65" s="79" t="s">
        <v>2957</v>
      </c>
      <c r="AG65" s="16" t="s">
        <v>2929</v>
      </c>
      <c r="AH65" s="14" t="s">
        <v>3437</v>
      </c>
      <c r="AI65" s="74" t="s">
        <v>3438</v>
      </c>
      <c r="AJ65" s="74" t="s">
        <v>3439</v>
      </c>
      <c r="AK65" s="16" t="s">
        <v>70</v>
      </c>
    </row>
    <row r="66" ht="12.75" customHeight="1">
      <c r="A66" s="61">
        <v>64.0</v>
      </c>
      <c r="B66" s="14" t="s">
        <v>3446</v>
      </c>
      <c r="C66" s="14" t="s">
        <v>3307</v>
      </c>
      <c r="D66" s="14" t="s">
        <v>2682</v>
      </c>
      <c r="E66" s="13" t="s">
        <v>298</v>
      </c>
      <c r="F66" s="14" t="s">
        <v>73</v>
      </c>
      <c r="G66" s="13" t="s">
        <v>315</v>
      </c>
      <c r="J66" s="13" t="s">
        <v>3447</v>
      </c>
      <c r="K66" s="16" t="s">
        <v>3448</v>
      </c>
      <c r="L66" s="14" t="s">
        <v>3449</v>
      </c>
      <c r="M66" s="44" t="s">
        <v>298</v>
      </c>
      <c r="N66" s="14" t="s">
        <v>3307</v>
      </c>
      <c r="O66" s="16" t="s">
        <v>3450</v>
      </c>
      <c r="P66" s="44">
        <v>2019.0</v>
      </c>
      <c r="Q66" s="44" t="s">
        <v>3085</v>
      </c>
      <c r="R66" s="14" t="s">
        <v>3086</v>
      </c>
      <c r="S66" s="44" t="s">
        <v>1805</v>
      </c>
      <c r="T66" s="44" t="s">
        <v>2928</v>
      </c>
      <c r="U66" s="44" t="s">
        <v>59</v>
      </c>
      <c r="V66" s="45">
        <v>4.0</v>
      </c>
      <c r="Z66" s="47" t="s">
        <v>420</v>
      </c>
      <c r="AA66" s="16" t="s">
        <v>2979</v>
      </c>
      <c r="AB66" s="47" t="s">
        <v>2688</v>
      </c>
      <c r="AC66" s="47" t="s">
        <v>63</v>
      </c>
      <c r="AD66" s="47" t="s">
        <v>423</v>
      </c>
      <c r="AF66" s="79" t="s">
        <v>2957</v>
      </c>
      <c r="AG66" s="16" t="s">
        <v>2929</v>
      </c>
      <c r="AH66" s="14" t="s">
        <v>3451</v>
      </c>
      <c r="AI66" s="74" t="s">
        <v>3452</v>
      </c>
      <c r="AJ66" s="74" t="s">
        <v>3453</v>
      </c>
      <c r="AK66" s="16" t="s">
        <v>70</v>
      </c>
    </row>
    <row r="67" ht="12.75" customHeight="1">
      <c r="A67" s="61">
        <v>65.0</v>
      </c>
      <c r="B67" s="14" t="s">
        <v>3454</v>
      </c>
      <c r="C67" s="14" t="s">
        <v>3292</v>
      </c>
      <c r="D67" s="14" t="s">
        <v>2682</v>
      </c>
      <c r="E67" s="13" t="s">
        <v>298</v>
      </c>
      <c r="F67" s="14" t="s">
        <v>73</v>
      </c>
      <c r="G67" s="13" t="s">
        <v>315</v>
      </c>
      <c r="J67" s="13" t="s">
        <v>3455</v>
      </c>
      <c r="K67" s="16" t="s">
        <v>3456</v>
      </c>
      <c r="L67" s="14" t="s">
        <v>3457</v>
      </c>
      <c r="M67" s="44" t="s">
        <v>298</v>
      </c>
      <c r="N67" s="14" t="s">
        <v>3292</v>
      </c>
      <c r="O67" s="16" t="s">
        <v>3458</v>
      </c>
      <c r="P67" s="44">
        <v>2014.0</v>
      </c>
      <c r="Q67" s="44" t="s">
        <v>3001</v>
      </c>
      <c r="R67" s="14" t="s">
        <v>3002</v>
      </c>
      <c r="S67" s="44" t="s">
        <v>1805</v>
      </c>
      <c r="T67" s="44" t="s">
        <v>2928</v>
      </c>
      <c r="U67" s="44" t="s">
        <v>59</v>
      </c>
      <c r="V67" s="45">
        <v>4.0</v>
      </c>
      <c r="Z67" s="47" t="s">
        <v>420</v>
      </c>
      <c r="AA67" s="16" t="s">
        <v>2979</v>
      </c>
      <c r="AB67" s="47" t="s">
        <v>2688</v>
      </c>
      <c r="AC67" s="47" t="s">
        <v>63</v>
      </c>
      <c r="AD67" s="47" t="s">
        <v>423</v>
      </c>
      <c r="AF67" s="79" t="s">
        <v>64</v>
      </c>
      <c r="AG67" s="16" t="s">
        <v>2758</v>
      </c>
      <c r="AH67" s="14" t="s">
        <v>3159</v>
      </c>
      <c r="AI67" s="74" t="s">
        <v>3459</v>
      </c>
      <c r="AJ67" s="74" t="s">
        <v>3460</v>
      </c>
      <c r="AK67" s="16" t="s">
        <v>70</v>
      </c>
    </row>
    <row r="68" ht="12.75" customHeight="1">
      <c r="A68" s="61">
        <v>66.0</v>
      </c>
      <c r="B68" s="14" t="s">
        <v>3461</v>
      </c>
      <c r="C68" s="14" t="s">
        <v>3462</v>
      </c>
      <c r="D68" s="14" t="s">
        <v>2682</v>
      </c>
      <c r="E68" s="13" t="s">
        <v>298</v>
      </c>
      <c r="F68" s="14" t="s">
        <v>73</v>
      </c>
      <c r="G68" s="13" t="s">
        <v>315</v>
      </c>
      <c r="J68" s="14" t="s">
        <v>3463</v>
      </c>
      <c r="K68" s="16" t="s">
        <v>3461</v>
      </c>
      <c r="L68" s="14" t="s">
        <v>3464</v>
      </c>
      <c r="M68" s="44" t="s">
        <v>298</v>
      </c>
      <c r="N68" s="14" t="s">
        <v>3462</v>
      </c>
      <c r="O68" s="16" t="s">
        <v>3465</v>
      </c>
      <c r="P68" s="44">
        <v>1964.0</v>
      </c>
      <c r="Q68" s="44" t="s">
        <v>3466</v>
      </c>
      <c r="R68" s="14" t="s">
        <v>3467</v>
      </c>
      <c r="S68" s="44" t="s">
        <v>1805</v>
      </c>
      <c r="T68" s="44" t="s">
        <v>2928</v>
      </c>
      <c r="U68" s="44" t="s">
        <v>59</v>
      </c>
      <c r="V68" s="45">
        <v>4.0</v>
      </c>
      <c r="Z68" s="47" t="s">
        <v>420</v>
      </c>
      <c r="AA68" s="16" t="s">
        <v>2979</v>
      </c>
      <c r="AB68" s="47" t="s">
        <v>2688</v>
      </c>
      <c r="AC68" s="47" t="s">
        <v>63</v>
      </c>
      <c r="AD68" s="47" t="s">
        <v>423</v>
      </c>
      <c r="AF68" s="79" t="s">
        <v>158</v>
      </c>
      <c r="AG68" s="16" t="s">
        <v>3062</v>
      </c>
      <c r="AH68" s="14" t="s">
        <v>3468</v>
      </c>
      <c r="AI68" s="74" t="s">
        <v>3469</v>
      </c>
      <c r="AJ68" s="74" t="s">
        <v>3470</v>
      </c>
      <c r="AK68" s="16" t="s">
        <v>70</v>
      </c>
    </row>
    <row r="69" ht="12.75" customHeight="1">
      <c r="A69" s="61">
        <v>67.0</v>
      </c>
      <c r="B69" s="14" t="s">
        <v>3471</v>
      </c>
      <c r="C69" s="13" t="s">
        <v>3472</v>
      </c>
      <c r="D69" s="14" t="s">
        <v>2705</v>
      </c>
      <c r="E69" s="13" t="s">
        <v>298</v>
      </c>
      <c r="F69" s="14" t="s">
        <v>73</v>
      </c>
      <c r="G69" s="13" t="s">
        <v>315</v>
      </c>
      <c r="J69" s="13" t="s">
        <v>3473</v>
      </c>
      <c r="K69" s="16" t="s">
        <v>3471</v>
      </c>
      <c r="L69" s="14" t="s">
        <v>3474</v>
      </c>
      <c r="M69" s="44" t="s">
        <v>298</v>
      </c>
      <c r="N69" s="13" t="s">
        <v>3472</v>
      </c>
      <c r="O69" s="16" t="s">
        <v>3475</v>
      </c>
      <c r="P69" s="44">
        <v>2020.0</v>
      </c>
      <c r="Q69" s="44" t="s">
        <v>2926</v>
      </c>
      <c r="R69" s="14" t="s">
        <v>2927</v>
      </c>
      <c r="S69" s="44" t="s">
        <v>1805</v>
      </c>
      <c r="T69" s="44" t="s">
        <v>2928</v>
      </c>
      <c r="U69" s="44" t="s">
        <v>59</v>
      </c>
      <c r="V69" s="45">
        <v>5.0</v>
      </c>
      <c r="Z69" s="47" t="s">
        <v>420</v>
      </c>
      <c r="AA69" s="47" t="s">
        <v>2833</v>
      </c>
      <c r="AB69" s="47" t="s">
        <v>2741</v>
      </c>
      <c r="AC69" s="47" t="s">
        <v>63</v>
      </c>
      <c r="AD69" s="47" t="s">
        <v>423</v>
      </c>
      <c r="AF69" s="79" t="s">
        <v>2957</v>
      </c>
      <c r="AG69" s="16" t="s">
        <v>2929</v>
      </c>
      <c r="AH69" s="14" t="s">
        <v>3476</v>
      </c>
      <c r="AI69" s="74" t="s">
        <v>3477</v>
      </c>
      <c r="AJ69" s="74" t="s">
        <v>3478</v>
      </c>
      <c r="AK69" s="16" t="s">
        <v>70</v>
      </c>
    </row>
    <row r="70" ht="12.75" customHeight="1">
      <c r="A70" s="61">
        <v>68.0</v>
      </c>
      <c r="B70" s="14" t="s">
        <v>3479</v>
      </c>
      <c r="C70" s="14" t="s">
        <v>3480</v>
      </c>
      <c r="D70" s="14" t="s">
        <v>3481</v>
      </c>
      <c r="E70" s="13" t="s">
        <v>298</v>
      </c>
      <c r="F70" s="14" t="s">
        <v>73</v>
      </c>
      <c r="G70" s="13" t="s">
        <v>315</v>
      </c>
      <c r="J70" s="14" t="s">
        <v>3482</v>
      </c>
      <c r="K70" s="16" t="s">
        <v>3479</v>
      </c>
      <c r="L70" s="14" t="s">
        <v>3483</v>
      </c>
      <c r="M70" s="44" t="s">
        <v>298</v>
      </c>
      <c r="N70" s="14" t="s">
        <v>3480</v>
      </c>
      <c r="O70" s="16" t="s">
        <v>3484</v>
      </c>
      <c r="P70" s="44">
        <v>2020.0</v>
      </c>
      <c r="Q70" s="44" t="s">
        <v>3001</v>
      </c>
      <c r="R70" s="14" t="s">
        <v>3002</v>
      </c>
      <c r="S70" s="44" t="s">
        <v>1805</v>
      </c>
      <c r="T70" s="44" t="s">
        <v>2928</v>
      </c>
      <c r="U70" s="44" t="s">
        <v>59</v>
      </c>
      <c r="V70" s="45">
        <v>3.0</v>
      </c>
      <c r="Z70" s="47" t="s">
        <v>420</v>
      </c>
      <c r="AA70" s="16" t="s">
        <v>3485</v>
      </c>
      <c r="AB70" s="47" t="s">
        <v>2834</v>
      </c>
      <c r="AC70" s="47" t="s">
        <v>63</v>
      </c>
      <c r="AD70" s="47" t="s">
        <v>423</v>
      </c>
      <c r="AF70" s="79" t="s">
        <v>2957</v>
      </c>
      <c r="AG70" s="16" t="s">
        <v>2929</v>
      </c>
      <c r="AH70" s="14" t="s">
        <v>3486</v>
      </c>
      <c r="AI70" s="74" t="s">
        <v>3487</v>
      </c>
      <c r="AJ70" s="74" t="s">
        <v>3488</v>
      </c>
      <c r="AK70" s="16" t="s">
        <v>70</v>
      </c>
    </row>
    <row r="71" ht="12.75" customHeight="1">
      <c r="A71" s="61">
        <v>69.0</v>
      </c>
      <c r="B71" s="14" t="s">
        <v>3489</v>
      </c>
      <c r="C71" s="14" t="s">
        <v>3490</v>
      </c>
      <c r="D71" s="14" t="s">
        <v>2893</v>
      </c>
      <c r="E71" s="13" t="s">
        <v>298</v>
      </c>
      <c r="F71" s="14" t="s">
        <v>73</v>
      </c>
      <c r="G71" s="13" t="s">
        <v>315</v>
      </c>
      <c r="I71" s="44"/>
      <c r="J71" s="14" t="s">
        <v>3491</v>
      </c>
      <c r="K71" s="16" t="s">
        <v>3489</v>
      </c>
      <c r="L71" s="14" t="s">
        <v>3492</v>
      </c>
      <c r="M71" s="44" t="s">
        <v>298</v>
      </c>
      <c r="N71" s="14" t="s">
        <v>3490</v>
      </c>
      <c r="O71" s="16" t="s">
        <v>3493</v>
      </c>
      <c r="P71" s="44">
        <v>2020.0</v>
      </c>
      <c r="Q71" s="44" t="s">
        <v>2893</v>
      </c>
      <c r="R71" s="14" t="s">
        <v>2897</v>
      </c>
      <c r="S71" s="44" t="s">
        <v>2898</v>
      </c>
      <c r="T71" s="44" t="s">
        <v>250</v>
      </c>
      <c r="U71" s="44" t="s">
        <v>59</v>
      </c>
      <c r="V71" s="45">
        <v>7.0</v>
      </c>
      <c r="Z71" s="47" t="s">
        <v>420</v>
      </c>
      <c r="AA71" s="47" t="s">
        <v>61</v>
      </c>
      <c r="AB71" s="16" t="s">
        <v>3494</v>
      </c>
      <c r="AC71" s="47" t="s">
        <v>63</v>
      </c>
      <c r="AD71" s="47" t="s">
        <v>423</v>
      </c>
      <c r="AF71" s="79" t="s">
        <v>2957</v>
      </c>
      <c r="AG71" s="16" t="s">
        <v>2929</v>
      </c>
      <c r="AH71" s="14" t="s">
        <v>3495</v>
      </c>
      <c r="AI71" s="74" t="s">
        <v>3496</v>
      </c>
      <c r="AJ71" s="74" t="s">
        <v>3496</v>
      </c>
      <c r="AK71" s="16" t="s">
        <v>70</v>
      </c>
    </row>
    <row r="72" ht="12.75" customHeight="1">
      <c r="A72" s="61">
        <v>70.0</v>
      </c>
      <c r="B72" s="14" t="s">
        <v>3497</v>
      </c>
      <c r="C72" s="14" t="s">
        <v>3498</v>
      </c>
      <c r="D72" s="14" t="s">
        <v>3499</v>
      </c>
      <c r="E72" s="13" t="s">
        <v>298</v>
      </c>
      <c r="F72" s="14" t="s">
        <v>73</v>
      </c>
      <c r="G72" s="13" t="s">
        <v>315</v>
      </c>
      <c r="I72" s="44"/>
      <c r="J72" s="13" t="s">
        <v>3500</v>
      </c>
      <c r="K72" s="16" t="s">
        <v>3497</v>
      </c>
      <c r="L72" s="14" t="s">
        <v>3501</v>
      </c>
      <c r="M72" s="44" t="s">
        <v>298</v>
      </c>
      <c r="N72" s="14" t="s">
        <v>3498</v>
      </c>
      <c r="O72" s="16" t="s">
        <v>3502</v>
      </c>
      <c r="P72" s="44">
        <v>2006.0</v>
      </c>
      <c r="Q72" s="44" t="s">
        <v>2954</v>
      </c>
      <c r="R72" s="14" t="s">
        <v>3202</v>
      </c>
      <c r="S72" s="44" t="s">
        <v>1805</v>
      </c>
      <c r="T72" s="44" t="s">
        <v>2928</v>
      </c>
      <c r="U72" s="44" t="s">
        <v>59</v>
      </c>
      <c r="V72" s="45">
        <v>3.0</v>
      </c>
      <c r="Z72" s="47" t="s">
        <v>420</v>
      </c>
      <c r="AA72" s="16" t="s">
        <v>2674</v>
      </c>
      <c r="AB72" s="47" t="s">
        <v>2750</v>
      </c>
      <c r="AC72" s="47" t="s">
        <v>63</v>
      </c>
      <c r="AD72" s="47" t="s">
        <v>423</v>
      </c>
      <c r="AF72" s="79" t="s">
        <v>158</v>
      </c>
      <c r="AG72" s="16" t="s">
        <v>3062</v>
      </c>
      <c r="AH72" s="14" t="s">
        <v>3503</v>
      </c>
      <c r="AI72" s="74" t="s">
        <v>3504</v>
      </c>
      <c r="AJ72" s="74" t="s">
        <v>3505</v>
      </c>
      <c r="AK72" s="16" t="s">
        <v>70</v>
      </c>
    </row>
    <row r="73" ht="12.75" customHeight="1">
      <c r="A73" s="61">
        <v>71.0</v>
      </c>
      <c r="B73" s="13" t="s">
        <v>3506</v>
      </c>
      <c r="C73" s="14" t="s">
        <v>3507</v>
      </c>
      <c r="D73" s="14" t="s">
        <v>3499</v>
      </c>
      <c r="E73" s="13" t="s">
        <v>298</v>
      </c>
      <c r="F73" s="14" t="s">
        <v>73</v>
      </c>
      <c r="G73" s="13" t="s">
        <v>315</v>
      </c>
      <c r="I73" s="44"/>
      <c r="J73" s="13" t="s">
        <v>3508</v>
      </c>
      <c r="K73" s="77" t="s">
        <v>3506</v>
      </c>
      <c r="L73" s="14" t="s">
        <v>3509</v>
      </c>
      <c r="M73" s="44" t="s">
        <v>298</v>
      </c>
      <c r="N73" s="14" t="s">
        <v>3507</v>
      </c>
      <c r="O73" s="16" t="s">
        <v>3510</v>
      </c>
      <c r="P73" s="44">
        <v>1997.0</v>
      </c>
      <c r="Q73" s="44" t="s">
        <v>2954</v>
      </c>
      <c r="R73" s="14" t="s">
        <v>3202</v>
      </c>
      <c r="S73" s="44" t="s">
        <v>1805</v>
      </c>
      <c r="T73" s="44" t="s">
        <v>2928</v>
      </c>
      <c r="U73" s="44" t="s">
        <v>59</v>
      </c>
      <c r="V73" s="45">
        <v>3.0</v>
      </c>
      <c r="Z73" s="47" t="s">
        <v>420</v>
      </c>
      <c r="AA73" s="16" t="s">
        <v>2674</v>
      </c>
      <c r="AB73" s="47" t="s">
        <v>2750</v>
      </c>
      <c r="AC73" s="47" t="s">
        <v>63</v>
      </c>
      <c r="AD73" s="47" t="s">
        <v>423</v>
      </c>
      <c r="AF73" s="79" t="s">
        <v>158</v>
      </c>
      <c r="AG73" s="16" t="s">
        <v>3045</v>
      </c>
      <c r="AH73" s="14" t="s">
        <v>3511</v>
      </c>
      <c r="AI73" s="74" t="s">
        <v>2805</v>
      </c>
      <c r="AJ73" s="74" t="s">
        <v>2806</v>
      </c>
      <c r="AK73" s="16" t="s">
        <v>70</v>
      </c>
    </row>
    <row r="74" ht="12.75" customHeight="1">
      <c r="A74" s="61">
        <v>72.0</v>
      </c>
      <c r="B74" s="14" t="s">
        <v>3512</v>
      </c>
      <c r="C74" s="14" t="s">
        <v>3513</v>
      </c>
      <c r="D74" s="14" t="s">
        <v>3499</v>
      </c>
      <c r="E74" s="13" t="s">
        <v>298</v>
      </c>
      <c r="F74" s="14" t="s">
        <v>73</v>
      </c>
      <c r="G74" s="13" t="s">
        <v>315</v>
      </c>
      <c r="I74" s="44"/>
      <c r="J74" s="13" t="s">
        <v>3514</v>
      </c>
      <c r="K74" s="16" t="s">
        <v>3512</v>
      </c>
      <c r="L74" s="14" t="s">
        <v>3515</v>
      </c>
      <c r="M74" s="44" t="s">
        <v>298</v>
      </c>
      <c r="N74" s="14" t="s">
        <v>3513</v>
      </c>
      <c r="O74" s="16" t="s">
        <v>3516</v>
      </c>
      <c r="P74" s="44">
        <v>1997.0</v>
      </c>
      <c r="Q74" s="44" t="s">
        <v>2954</v>
      </c>
      <c r="R74" s="14" t="s">
        <v>3202</v>
      </c>
      <c r="S74" s="44" t="s">
        <v>1805</v>
      </c>
      <c r="T74" s="44" t="s">
        <v>2928</v>
      </c>
      <c r="U74" s="44" t="s">
        <v>59</v>
      </c>
      <c r="V74" s="45">
        <v>3.0</v>
      </c>
      <c r="Z74" s="47" t="s">
        <v>420</v>
      </c>
      <c r="AA74" s="16" t="s">
        <v>2674</v>
      </c>
      <c r="AB74" s="47" t="s">
        <v>2675</v>
      </c>
      <c r="AC74" s="47" t="s">
        <v>63</v>
      </c>
      <c r="AD74" s="47" t="s">
        <v>423</v>
      </c>
      <c r="AF74" s="79" t="s">
        <v>64</v>
      </c>
      <c r="AG74" s="16" t="s">
        <v>3517</v>
      </c>
      <c r="AH74" s="14" t="s">
        <v>3518</v>
      </c>
      <c r="AI74" s="74" t="s">
        <v>3519</v>
      </c>
      <c r="AJ74" s="74" t="s">
        <v>3520</v>
      </c>
      <c r="AK74" s="16" t="s">
        <v>70</v>
      </c>
    </row>
    <row r="75" ht="12.75" customHeight="1">
      <c r="A75" s="61">
        <v>73.0</v>
      </c>
      <c r="B75" s="14" t="s">
        <v>3521</v>
      </c>
      <c r="C75" s="14" t="s">
        <v>3522</v>
      </c>
      <c r="D75" s="14" t="s">
        <v>3499</v>
      </c>
      <c r="E75" s="13" t="s">
        <v>298</v>
      </c>
      <c r="F75" s="14" t="s">
        <v>73</v>
      </c>
      <c r="G75" s="13" t="s">
        <v>315</v>
      </c>
      <c r="I75" s="44"/>
      <c r="J75" s="13" t="s">
        <v>3523</v>
      </c>
      <c r="K75" s="16" t="s">
        <v>3521</v>
      </c>
      <c r="L75" s="14" t="s">
        <v>3524</v>
      </c>
      <c r="M75" s="44" t="s">
        <v>298</v>
      </c>
      <c r="N75" s="14" t="s">
        <v>3522</v>
      </c>
      <c r="O75" s="16" t="s">
        <v>3525</v>
      </c>
      <c r="P75" s="44">
        <v>1999.0</v>
      </c>
      <c r="Q75" s="44" t="s">
        <v>2954</v>
      </c>
      <c r="R75" s="14" t="s">
        <v>3202</v>
      </c>
      <c r="S75" s="44" t="s">
        <v>1805</v>
      </c>
      <c r="T75" s="44" t="s">
        <v>2928</v>
      </c>
      <c r="U75" s="44" t="s">
        <v>59</v>
      </c>
      <c r="V75" s="45">
        <v>3.0</v>
      </c>
      <c r="Z75" s="47" t="s">
        <v>420</v>
      </c>
      <c r="AA75" s="16" t="s">
        <v>2674</v>
      </c>
      <c r="AB75" s="47" t="s">
        <v>2675</v>
      </c>
      <c r="AC75" s="47" t="s">
        <v>63</v>
      </c>
      <c r="AD75" s="47" t="s">
        <v>423</v>
      </c>
      <c r="AF75" s="79" t="s">
        <v>2957</v>
      </c>
      <c r="AG75" s="16" t="s">
        <v>2929</v>
      </c>
      <c r="AH75" s="14" t="s">
        <v>3526</v>
      </c>
      <c r="AI75" s="74" t="s">
        <v>3527</v>
      </c>
      <c r="AJ75" s="74" t="s">
        <v>3528</v>
      </c>
      <c r="AK75" s="16" t="s">
        <v>70</v>
      </c>
    </row>
    <row r="76" ht="12.75" customHeight="1">
      <c r="A76" s="61">
        <v>74.0</v>
      </c>
      <c r="B76" s="14" t="s">
        <v>3529</v>
      </c>
      <c r="C76" s="14" t="s">
        <v>3530</v>
      </c>
      <c r="D76" s="14" t="s">
        <v>3499</v>
      </c>
      <c r="E76" s="13" t="s">
        <v>298</v>
      </c>
      <c r="F76" s="14" t="s">
        <v>73</v>
      </c>
      <c r="G76" s="13" t="s">
        <v>315</v>
      </c>
      <c r="I76" s="44"/>
      <c r="J76" s="13" t="s">
        <v>3531</v>
      </c>
      <c r="K76" s="16" t="s">
        <v>3529</v>
      </c>
      <c r="L76" s="14" t="s">
        <v>3532</v>
      </c>
      <c r="M76" s="44" t="s">
        <v>298</v>
      </c>
      <c r="N76" s="14" t="s">
        <v>3530</v>
      </c>
      <c r="O76" s="16" t="s">
        <v>3533</v>
      </c>
      <c r="P76" s="44">
        <v>2003.0</v>
      </c>
      <c r="Q76" s="44" t="s">
        <v>2954</v>
      </c>
      <c r="R76" s="14" t="s">
        <v>3202</v>
      </c>
      <c r="S76" s="44" t="s">
        <v>1805</v>
      </c>
      <c r="T76" s="44" t="s">
        <v>2928</v>
      </c>
      <c r="U76" s="44" t="s">
        <v>59</v>
      </c>
      <c r="V76" s="45">
        <v>3.0</v>
      </c>
      <c r="Z76" s="47" t="s">
        <v>420</v>
      </c>
      <c r="AA76" s="16" t="s">
        <v>2674</v>
      </c>
      <c r="AB76" s="47" t="s">
        <v>2675</v>
      </c>
      <c r="AC76" s="47" t="s">
        <v>63</v>
      </c>
      <c r="AD76" s="47" t="s">
        <v>423</v>
      </c>
      <c r="AF76" s="79" t="s">
        <v>64</v>
      </c>
      <c r="AG76" s="16" t="s">
        <v>2758</v>
      </c>
      <c r="AH76" s="14" t="s">
        <v>3534</v>
      </c>
      <c r="AI76" s="74" t="s">
        <v>3535</v>
      </c>
      <c r="AJ76" s="74" t="s">
        <v>3536</v>
      </c>
      <c r="AK76" s="16" t="s">
        <v>70</v>
      </c>
    </row>
    <row r="77" ht="12.75" customHeight="1">
      <c r="A77" s="61">
        <v>75.0</v>
      </c>
      <c r="B77" s="14" t="s">
        <v>3537</v>
      </c>
      <c r="C77" s="14" t="s">
        <v>3538</v>
      </c>
      <c r="D77" s="14" t="s">
        <v>3499</v>
      </c>
      <c r="E77" s="13" t="s">
        <v>298</v>
      </c>
      <c r="F77" s="14" t="s">
        <v>73</v>
      </c>
      <c r="G77" s="13" t="s">
        <v>315</v>
      </c>
      <c r="I77" s="44"/>
      <c r="J77" s="13" t="s">
        <v>3539</v>
      </c>
      <c r="K77" s="16" t="s">
        <v>3537</v>
      </c>
      <c r="L77" s="14" t="s">
        <v>3540</v>
      </c>
      <c r="M77" s="44" t="s">
        <v>298</v>
      </c>
      <c r="N77" s="14" t="s">
        <v>3538</v>
      </c>
      <c r="O77" s="16" t="s">
        <v>3541</v>
      </c>
      <c r="P77" s="44">
        <v>2005.0</v>
      </c>
      <c r="Q77" s="44" t="s">
        <v>2954</v>
      </c>
      <c r="R77" s="14" t="s">
        <v>3202</v>
      </c>
      <c r="S77" s="44" t="s">
        <v>1805</v>
      </c>
      <c r="T77" s="44" t="s">
        <v>2928</v>
      </c>
      <c r="U77" s="44" t="s">
        <v>59</v>
      </c>
      <c r="V77" s="45">
        <v>3.0</v>
      </c>
      <c r="Z77" s="47" t="s">
        <v>420</v>
      </c>
      <c r="AA77" s="16" t="s">
        <v>2674</v>
      </c>
      <c r="AB77" s="47" t="s">
        <v>2675</v>
      </c>
      <c r="AC77" s="47" t="s">
        <v>63</v>
      </c>
      <c r="AD77" s="47" t="s">
        <v>423</v>
      </c>
      <c r="AF77" s="79" t="s">
        <v>158</v>
      </c>
      <c r="AG77" s="16" t="s">
        <v>3062</v>
      </c>
      <c r="AH77" s="14" t="s">
        <v>3542</v>
      </c>
      <c r="AI77" s="74" t="s">
        <v>3543</v>
      </c>
      <c r="AJ77" s="74" t="s">
        <v>3544</v>
      </c>
      <c r="AK77" s="16" t="s">
        <v>70</v>
      </c>
    </row>
    <row r="78" ht="15.0" customHeight="1">
      <c r="A78" s="61">
        <v>76.0</v>
      </c>
      <c r="B78" s="14" t="s">
        <v>3545</v>
      </c>
      <c r="C78" s="14" t="s">
        <v>3546</v>
      </c>
      <c r="D78" s="14" t="s">
        <v>3499</v>
      </c>
      <c r="E78" s="13" t="s">
        <v>298</v>
      </c>
      <c r="F78" s="14" t="s">
        <v>73</v>
      </c>
      <c r="G78" s="13" t="s">
        <v>315</v>
      </c>
      <c r="I78" s="44"/>
      <c r="J78" s="13" t="s">
        <v>3547</v>
      </c>
      <c r="K78" s="16" t="s">
        <v>3545</v>
      </c>
      <c r="L78" s="14" t="s">
        <v>3548</v>
      </c>
      <c r="M78" s="44" t="s">
        <v>298</v>
      </c>
      <c r="N78" s="14" t="s">
        <v>3546</v>
      </c>
      <c r="O78" s="16" t="s">
        <v>3549</v>
      </c>
      <c r="P78" s="44">
        <v>2006.0</v>
      </c>
      <c r="Q78" s="44" t="s">
        <v>2954</v>
      </c>
      <c r="R78" s="14" t="s">
        <v>3202</v>
      </c>
      <c r="S78" s="44" t="s">
        <v>1805</v>
      </c>
      <c r="T78" s="44" t="s">
        <v>2928</v>
      </c>
      <c r="U78" s="44" t="s">
        <v>59</v>
      </c>
      <c r="V78" s="45">
        <v>3.0</v>
      </c>
      <c r="Z78" s="47" t="s">
        <v>420</v>
      </c>
      <c r="AA78" s="16" t="s">
        <v>2674</v>
      </c>
      <c r="AB78" s="47" t="s">
        <v>2675</v>
      </c>
      <c r="AC78" s="47" t="s">
        <v>63</v>
      </c>
      <c r="AD78" s="47" t="s">
        <v>423</v>
      </c>
      <c r="AF78" s="79" t="s">
        <v>158</v>
      </c>
      <c r="AG78" s="16" t="s">
        <v>2943</v>
      </c>
      <c r="AH78" s="14" t="s">
        <v>3550</v>
      </c>
      <c r="AI78" s="74" t="s">
        <v>3551</v>
      </c>
      <c r="AJ78" s="74" t="s">
        <v>3551</v>
      </c>
      <c r="AK78" s="16" t="s">
        <v>70</v>
      </c>
    </row>
    <row r="79" ht="12.75" customHeight="1">
      <c r="A79" s="61">
        <v>77.0</v>
      </c>
      <c r="B79" s="14" t="s">
        <v>3552</v>
      </c>
      <c r="C79" s="14" t="s">
        <v>3553</v>
      </c>
      <c r="D79" s="14" t="s">
        <v>3499</v>
      </c>
      <c r="E79" s="13" t="s">
        <v>298</v>
      </c>
      <c r="F79" s="14" t="s">
        <v>73</v>
      </c>
      <c r="G79" s="13" t="s">
        <v>315</v>
      </c>
      <c r="I79" s="44"/>
      <c r="J79" s="13" t="s">
        <v>3554</v>
      </c>
      <c r="K79" s="16" t="s">
        <v>3552</v>
      </c>
      <c r="L79" s="14" t="s">
        <v>3555</v>
      </c>
      <c r="M79" s="44" t="s">
        <v>298</v>
      </c>
      <c r="N79" s="14" t="s">
        <v>3553</v>
      </c>
      <c r="O79" s="16" t="s">
        <v>3556</v>
      </c>
      <c r="P79" s="44">
        <v>2010.0</v>
      </c>
      <c r="Q79" s="44" t="s">
        <v>2954</v>
      </c>
      <c r="R79" s="14" t="s">
        <v>3202</v>
      </c>
      <c r="S79" s="44" t="s">
        <v>1805</v>
      </c>
      <c r="T79" s="44" t="s">
        <v>2928</v>
      </c>
      <c r="U79" s="44" t="s">
        <v>59</v>
      </c>
      <c r="V79" s="45">
        <v>3.0</v>
      </c>
      <c r="Z79" s="47" t="s">
        <v>420</v>
      </c>
      <c r="AA79" s="16" t="s">
        <v>2674</v>
      </c>
      <c r="AB79" s="47" t="s">
        <v>2675</v>
      </c>
      <c r="AC79" s="47" t="s">
        <v>63</v>
      </c>
      <c r="AD79" s="47" t="s">
        <v>423</v>
      </c>
      <c r="AF79" s="79" t="s">
        <v>2957</v>
      </c>
      <c r="AG79" s="47" t="s">
        <v>2711</v>
      </c>
      <c r="AH79" s="14" t="s">
        <v>3557</v>
      </c>
      <c r="AI79" s="74" t="s">
        <v>3558</v>
      </c>
      <c r="AJ79" s="74" t="s">
        <v>3559</v>
      </c>
      <c r="AK79" s="16" t="s">
        <v>70</v>
      </c>
    </row>
    <row r="80" ht="12.75" customHeight="1">
      <c r="A80" s="61">
        <v>78.0</v>
      </c>
      <c r="B80" s="14" t="s">
        <v>3560</v>
      </c>
      <c r="C80" s="14" t="s">
        <v>3561</v>
      </c>
      <c r="D80" s="14" t="s">
        <v>3499</v>
      </c>
      <c r="E80" s="13" t="s">
        <v>298</v>
      </c>
      <c r="F80" s="14" t="s">
        <v>73</v>
      </c>
      <c r="G80" s="13" t="s">
        <v>315</v>
      </c>
      <c r="I80" s="44"/>
      <c r="J80" s="13" t="s">
        <v>3562</v>
      </c>
      <c r="K80" s="16" t="s">
        <v>3560</v>
      </c>
      <c r="L80" s="14" t="s">
        <v>3563</v>
      </c>
      <c r="M80" s="44" t="s">
        <v>298</v>
      </c>
      <c r="N80" s="14" t="s">
        <v>3561</v>
      </c>
      <c r="O80" s="16" t="s">
        <v>3564</v>
      </c>
      <c r="P80" s="44">
        <v>2011.0</v>
      </c>
      <c r="Q80" s="44" t="s">
        <v>2954</v>
      </c>
      <c r="R80" s="14" t="s">
        <v>3202</v>
      </c>
      <c r="S80" s="44" t="s">
        <v>1805</v>
      </c>
      <c r="T80" s="44" t="s">
        <v>2928</v>
      </c>
      <c r="U80" s="44" t="s">
        <v>59</v>
      </c>
      <c r="V80" s="45">
        <v>3.0</v>
      </c>
      <c r="Z80" s="47" t="s">
        <v>420</v>
      </c>
      <c r="AA80" s="16" t="s">
        <v>2674</v>
      </c>
      <c r="AB80" s="47" t="s">
        <v>2675</v>
      </c>
      <c r="AC80" s="47" t="s">
        <v>63</v>
      </c>
      <c r="AD80" s="47" t="s">
        <v>423</v>
      </c>
      <c r="AF80" s="79" t="s">
        <v>2957</v>
      </c>
      <c r="AG80" s="16" t="s">
        <v>2929</v>
      </c>
      <c r="AH80" s="14" t="s">
        <v>3565</v>
      </c>
      <c r="AI80" s="74" t="s">
        <v>2889</v>
      </c>
      <c r="AJ80" s="74" t="s">
        <v>2890</v>
      </c>
      <c r="AK80" s="16" t="s">
        <v>70</v>
      </c>
    </row>
    <row r="81" ht="12.75" customHeight="1">
      <c r="A81" s="61">
        <v>79.0</v>
      </c>
      <c r="B81" s="14" t="s">
        <v>3566</v>
      </c>
      <c r="C81" s="14" t="s">
        <v>3567</v>
      </c>
      <c r="D81" s="14" t="s">
        <v>3499</v>
      </c>
      <c r="E81" s="13" t="s">
        <v>298</v>
      </c>
      <c r="F81" s="14" t="s">
        <v>73</v>
      </c>
      <c r="G81" s="13" t="s">
        <v>315</v>
      </c>
      <c r="I81" s="44"/>
      <c r="J81" s="13" t="s">
        <v>3568</v>
      </c>
      <c r="K81" s="16" t="s">
        <v>3566</v>
      </c>
      <c r="L81" s="14" t="s">
        <v>3569</v>
      </c>
      <c r="M81" s="44" t="s">
        <v>298</v>
      </c>
      <c r="N81" s="14" t="s">
        <v>3567</v>
      </c>
      <c r="O81" s="16" t="s">
        <v>3570</v>
      </c>
      <c r="P81" s="44">
        <v>2014.0</v>
      </c>
      <c r="Q81" s="44" t="s">
        <v>2954</v>
      </c>
      <c r="R81" s="14" t="s">
        <v>3202</v>
      </c>
      <c r="S81" s="44" t="s">
        <v>1805</v>
      </c>
      <c r="T81" s="44" t="s">
        <v>2928</v>
      </c>
      <c r="U81" s="44" t="s">
        <v>59</v>
      </c>
      <c r="V81" s="45">
        <v>3.0</v>
      </c>
      <c r="Z81" s="47" t="s">
        <v>420</v>
      </c>
      <c r="AA81" s="16" t="s">
        <v>2674</v>
      </c>
      <c r="AB81" s="47" t="s">
        <v>2675</v>
      </c>
      <c r="AC81" s="47" t="s">
        <v>63</v>
      </c>
      <c r="AD81" s="47" t="s">
        <v>423</v>
      </c>
      <c r="AF81" s="79" t="s">
        <v>158</v>
      </c>
      <c r="AG81" s="47" t="s">
        <v>2711</v>
      </c>
      <c r="AH81" s="14" t="s">
        <v>3571</v>
      </c>
      <c r="AI81" s="74" t="s">
        <v>3572</v>
      </c>
      <c r="AJ81" s="74" t="s">
        <v>3573</v>
      </c>
      <c r="AK81" s="16" t="s">
        <v>70</v>
      </c>
    </row>
    <row r="82" ht="12.75" customHeight="1">
      <c r="A82" s="61">
        <v>80.0</v>
      </c>
      <c r="B82" s="14" t="s">
        <v>3574</v>
      </c>
      <c r="C82" s="14" t="s">
        <v>3575</v>
      </c>
      <c r="D82" s="14" t="s">
        <v>3499</v>
      </c>
      <c r="E82" s="13" t="s">
        <v>298</v>
      </c>
      <c r="F82" s="14" t="s">
        <v>73</v>
      </c>
      <c r="G82" s="13" t="s">
        <v>315</v>
      </c>
      <c r="I82" s="44"/>
      <c r="J82" s="13" t="s">
        <v>3576</v>
      </c>
      <c r="K82" s="16" t="s">
        <v>3574</v>
      </c>
      <c r="L82" s="14" t="s">
        <v>3577</v>
      </c>
      <c r="M82" s="44" t="s">
        <v>298</v>
      </c>
      <c r="N82" s="14" t="s">
        <v>3575</v>
      </c>
      <c r="O82" s="16" t="s">
        <v>3578</v>
      </c>
      <c r="P82" s="44">
        <v>2014.0</v>
      </c>
      <c r="Q82" s="44" t="s">
        <v>2954</v>
      </c>
      <c r="R82" s="14" t="s">
        <v>3202</v>
      </c>
      <c r="S82" s="44" t="s">
        <v>1805</v>
      </c>
      <c r="T82" s="44" t="s">
        <v>2928</v>
      </c>
      <c r="U82" s="44" t="s">
        <v>59</v>
      </c>
      <c r="V82" s="45">
        <v>3.0</v>
      </c>
      <c r="Z82" s="47" t="s">
        <v>420</v>
      </c>
      <c r="AA82" s="16" t="s">
        <v>2674</v>
      </c>
      <c r="AB82" s="47" t="s">
        <v>2675</v>
      </c>
      <c r="AC82" s="47" t="s">
        <v>63</v>
      </c>
      <c r="AD82" s="47" t="s">
        <v>423</v>
      </c>
      <c r="AF82" s="79" t="s">
        <v>2957</v>
      </c>
      <c r="AG82" s="16" t="s">
        <v>2929</v>
      </c>
      <c r="AH82" s="14" t="s">
        <v>3579</v>
      </c>
      <c r="AI82" s="74" t="s">
        <v>3580</v>
      </c>
      <c r="AJ82" s="74" t="s">
        <v>3581</v>
      </c>
      <c r="AK82" s="16" t="s">
        <v>70</v>
      </c>
    </row>
    <row r="83" ht="12.75" customHeight="1">
      <c r="A83" s="61">
        <v>81.0</v>
      </c>
      <c r="B83" s="14" t="s">
        <v>3582</v>
      </c>
      <c r="C83" s="14" t="s">
        <v>3583</v>
      </c>
      <c r="D83" s="14" t="s">
        <v>3499</v>
      </c>
      <c r="E83" s="13" t="s">
        <v>298</v>
      </c>
      <c r="F83" s="14" t="s">
        <v>73</v>
      </c>
      <c r="G83" s="13" t="s">
        <v>315</v>
      </c>
      <c r="I83" s="44"/>
      <c r="J83" s="13" t="s">
        <v>3584</v>
      </c>
      <c r="K83" s="16" t="s">
        <v>3582</v>
      </c>
      <c r="L83" s="14" t="s">
        <v>3585</v>
      </c>
      <c r="M83" s="44" t="s">
        <v>298</v>
      </c>
      <c r="N83" s="14" t="s">
        <v>3583</v>
      </c>
      <c r="O83" s="16" t="s">
        <v>3586</v>
      </c>
      <c r="P83" s="44">
        <v>2017.0</v>
      </c>
      <c r="Q83" s="44" t="s">
        <v>2954</v>
      </c>
      <c r="R83" s="14" t="s">
        <v>3202</v>
      </c>
      <c r="S83" s="44" t="s">
        <v>1805</v>
      </c>
      <c r="T83" s="44" t="s">
        <v>2928</v>
      </c>
      <c r="U83" s="44" t="s">
        <v>59</v>
      </c>
      <c r="V83" s="45">
        <v>3.0</v>
      </c>
      <c r="Z83" s="47" t="s">
        <v>420</v>
      </c>
      <c r="AA83" s="16" t="s">
        <v>2674</v>
      </c>
      <c r="AB83" s="47" t="s">
        <v>2750</v>
      </c>
      <c r="AC83" s="47" t="s">
        <v>63</v>
      </c>
      <c r="AD83" s="47" t="s">
        <v>423</v>
      </c>
      <c r="AF83" s="79" t="s">
        <v>2957</v>
      </c>
      <c r="AG83" s="16" t="s">
        <v>2929</v>
      </c>
      <c r="AH83" s="14" t="s">
        <v>3587</v>
      </c>
      <c r="AI83" s="74" t="s">
        <v>3588</v>
      </c>
      <c r="AJ83" s="74" t="s">
        <v>3589</v>
      </c>
      <c r="AK83" s="16" t="s">
        <v>70</v>
      </c>
    </row>
    <row r="84" ht="12.75" customHeight="1">
      <c r="A84" s="61">
        <v>82.0</v>
      </c>
      <c r="B84" s="14" t="s">
        <v>3590</v>
      </c>
      <c r="C84" s="14" t="s">
        <v>3591</v>
      </c>
      <c r="D84" s="14" t="s">
        <v>3499</v>
      </c>
      <c r="E84" s="13" t="s">
        <v>298</v>
      </c>
      <c r="F84" s="14" t="s">
        <v>73</v>
      </c>
      <c r="G84" s="13" t="s">
        <v>315</v>
      </c>
      <c r="I84" s="44"/>
      <c r="J84" s="13" t="s">
        <v>3592</v>
      </c>
      <c r="K84" s="16" t="s">
        <v>3590</v>
      </c>
      <c r="L84" s="14" t="s">
        <v>3593</v>
      </c>
      <c r="M84" s="44" t="s">
        <v>298</v>
      </c>
      <c r="N84" s="14" t="s">
        <v>3591</v>
      </c>
      <c r="O84" s="16" t="s">
        <v>3594</v>
      </c>
      <c r="P84" s="44">
        <v>2017.0</v>
      </c>
      <c r="Q84" s="44" t="s">
        <v>2954</v>
      </c>
      <c r="R84" s="14" t="s">
        <v>3202</v>
      </c>
      <c r="S84" s="44" t="s">
        <v>1805</v>
      </c>
      <c r="T84" s="44" t="s">
        <v>2928</v>
      </c>
      <c r="U84" s="44" t="s">
        <v>59</v>
      </c>
      <c r="V84" s="45">
        <v>3.0</v>
      </c>
      <c r="Z84" s="47" t="s">
        <v>420</v>
      </c>
      <c r="AA84" s="16" t="s">
        <v>2674</v>
      </c>
      <c r="AB84" s="47" t="s">
        <v>2750</v>
      </c>
      <c r="AC84" s="47" t="s">
        <v>63</v>
      </c>
      <c r="AD84" s="47" t="s">
        <v>423</v>
      </c>
      <c r="AF84" s="79" t="s">
        <v>158</v>
      </c>
      <c r="AG84" s="16" t="s">
        <v>3062</v>
      </c>
      <c r="AH84" s="14" t="s">
        <v>3595</v>
      </c>
      <c r="AI84" s="74" t="s">
        <v>3596</v>
      </c>
      <c r="AJ84" s="74" t="s">
        <v>3597</v>
      </c>
      <c r="AK84" s="16" t="s">
        <v>70</v>
      </c>
    </row>
    <row r="85" ht="12.75" customHeight="1">
      <c r="A85" s="61">
        <v>83.0</v>
      </c>
      <c r="B85" s="14" t="s">
        <v>3598</v>
      </c>
      <c r="C85" s="14" t="s">
        <v>3599</v>
      </c>
      <c r="D85" s="14" t="s">
        <v>3499</v>
      </c>
      <c r="E85" s="13" t="s">
        <v>298</v>
      </c>
      <c r="F85" s="14" t="s">
        <v>73</v>
      </c>
      <c r="G85" s="13" t="s">
        <v>315</v>
      </c>
      <c r="I85" s="44"/>
      <c r="J85" s="13" t="s">
        <v>3600</v>
      </c>
      <c r="K85" s="16" t="s">
        <v>3598</v>
      </c>
      <c r="L85" s="14" t="s">
        <v>3601</v>
      </c>
      <c r="M85" s="44" t="s">
        <v>298</v>
      </c>
      <c r="N85" s="14" t="s">
        <v>3599</v>
      </c>
      <c r="O85" s="16" t="s">
        <v>3602</v>
      </c>
      <c r="P85" s="44">
        <v>2018.0</v>
      </c>
      <c r="Q85" s="44" t="s">
        <v>2954</v>
      </c>
      <c r="R85" s="14" t="s">
        <v>3202</v>
      </c>
      <c r="S85" s="44" t="s">
        <v>1805</v>
      </c>
      <c r="T85" s="44" t="s">
        <v>2928</v>
      </c>
      <c r="U85" s="44" t="s">
        <v>59</v>
      </c>
      <c r="V85" s="45">
        <v>3.0</v>
      </c>
      <c r="Z85" s="47" t="s">
        <v>420</v>
      </c>
      <c r="AA85" s="16" t="s">
        <v>2674</v>
      </c>
      <c r="AB85" s="47" t="s">
        <v>2675</v>
      </c>
      <c r="AC85" s="47" t="s">
        <v>63</v>
      </c>
      <c r="AD85" s="47" t="s">
        <v>423</v>
      </c>
      <c r="AF85" s="79" t="s">
        <v>2957</v>
      </c>
      <c r="AG85" s="16" t="s">
        <v>2929</v>
      </c>
      <c r="AH85" s="14" t="s">
        <v>3603</v>
      </c>
      <c r="AI85" s="74" t="s">
        <v>3604</v>
      </c>
      <c r="AJ85" s="74" t="s">
        <v>3605</v>
      </c>
      <c r="AK85" s="16" t="s">
        <v>70</v>
      </c>
    </row>
    <row r="86" ht="12.75" customHeight="1">
      <c r="A86" s="61">
        <v>84.0</v>
      </c>
      <c r="B86" s="14" t="s">
        <v>3606</v>
      </c>
      <c r="C86" s="14" t="s">
        <v>3607</v>
      </c>
      <c r="D86" s="14" t="s">
        <v>3499</v>
      </c>
      <c r="E86" s="13" t="s">
        <v>298</v>
      </c>
      <c r="F86" s="14" t="s">
        <v>73</v>
      </c>
      <c r="G86" s="13" t="s">
        <v>315</v>
      </c>
      <c r="I86" s="44"/>
      <c r="J86" s="13" t="s">
        <v>3608</v>
      </c>
      <c r="K86" s="16" t="s">
        <v>3606</v>
      </c>
      <c r="L86" s="14" t="s">
        <v>3609</v>
      </c>
      <c r="M86" s="44" t="s">
        <v>298</v>
      </c>
      <c r="N86" s="14" t="s">
        <v>3607</v>
      </c>
      <c r="O86" s="16" t="s">
        <v>3610</v>
      </c>
      <c r="P86" s="44">
        <v>2020.0</v>
      </c>
      <c r="Q86" s="44" t="s">
        <v>2954</v>
      </c>
      <c r="R86" s="14" t="s">
        <v>3202</v>
      </c>
      <c r="S86" s="44" t="s">
        <v>1805</v>
      </c>
      <c r="T86" s="44" t="s">
        <v>2928</v>
      </c>
      <c r="U86" s="44" t="s">
        <v>59</v>
      </c>
      <c r="V86" s="45">
        <v>3.0</v>
      </c>
      <c r="Z86" s="47" t="s">
        <v>420</v>
      </c>
      <c r="AA86" s="16" t="s">
        <v>2674</v>
      </c>
      <c r="AB86" s="47" t="s">
        <v>2750</v>
      </c>
      <c r="AC86" s="47" t="s">
        <v>63</v>
      </c>
      <c r="AD86" s="47" t="s">
        <v>423</v>
      </c>
      <c r="AF86" s="79" t="s">
        <v>2957</v>
      </c>
      <c r="AG86" s="16" t="s">
        <v>2929</v>
      </c>
      <c r="AH86" s="14" t="s">
        <v>3611</v>
      </c>
      <c r="AI86" s="74" t="s">
        <v>3612</v>
      </c>
      <c r="AJ86" s="74" t="s">
        <v>3613</v>
      </c>
      <c r="AK86" s="16" t="s">
        <v>70</v>
      </c>
    </row>
    <row r="87" ht="12.75" customHeight="1">
      <c r="A87" s="61">
        <v>85.0</v>
      </c>
      <c r="B87" s="14" t="s">
        <v>3614</v>
      </c>
      <c r="C87" s="14" t="s">
        <v>3615</v>
      </c>
      <c r="D87" s="14" t="s">
        <v>3499</v>
      </c>
      <c r="E87" s="13" t="s">
        <v>298</v>
      </c>
      <c r="F87" s="14" t="s">
        <v>73</v>
      </c>
      <c r="G87" s="13" t="s">
        <v>315</v>
      </c>
      <c r="I87" s="44"/>
      <c r="J87" s="13" t="s">
        <v>3616</v>
      </c>
      <c r="K87" s="16" t="s">
        <v>3614</v>
      </c>
      <c r="L87" s="14" t="s">
        <v>3617</v>
      </c>
      <c r="M87" s="44" t="s">
        <v>298</v>
      </c>
      <c r="N87" s="14" t="s">
        <v>3615</v>
      </c>
      <c r="O87" s="16" t="s">
        <v>3618</v>
      </c>
      <c r="P87" s="44">
        <v>2020.0</v>
      </c>
      <c r="Q87" s="44" t="s">
        <v>2954</v>
      </c>
      <c r="R87" s="14" t="s">
        <v>3202</v>
      </c>
      <c r="S87" s="44" t="s">
        <v>1805</v>
      </c>
      <c r="T87" s="44" t="s">
        <v>2928</v>
      </c>
      <c r="U87" s="44" t="s">
        <v>59</v>
      </c>
      <c r="V87" s="45">
        <v>3.0</v>
      </c>
      <c r="Z87" s="47" t="s">
        <v>420</v>
      </c>
      <c r="AA87" s="16" t="s">
        <v>2674</v>
      </c>
      <c r="AB87" s="47" t="s">
        <v>2750</v>
      </c>
      <c r="AC87" s="47" t="s">
        <v>63</v>
      </c>
      <c r="AD87" s="47" t="s">
        <v>423</v>
      </c>
      <c r="AF87" s="79" t="s">
        <v>158</v>
      </c>
      <c r="AG87" s="16" t="s">
        <v>3062</v>
      </c>
      <c r="AH87" s="14" t="s">
        <v>3619</v>
      </c>
      <c r="AI87" s="74" t="s">
        <v>3620</v>
      </c>
      <c r="AJ87" s="74" t="s">
        <v>3621</v>
      </c>
      <c r="AK87" s="16" t="s">
        <v>70</v>
      </c>
    </row>
    <row r="88" ht="12.75" customHeight="1">
      <c r="A88" s="61">
        <v>86.0</v>
      </c>
      <c r="B88" s="14" t="s">
        <v>3622</v>
      </c>
      <c r="C88" s="14" t="s">
        <v>3623</v>
      </c>
      <c r="D88" s="14" t="s">
        <v>3499</v>
      </c>
      <c r="E88" s="13" t="s">
        <v>298</v>
      </c>
      <c r="F88" s="14" t="s">
        <v>73</v>
      </c>
      <c r="G88" s="13" t="s">
        <v>315</v>
      </c>
      <c r="I88" s="44"/>
      <c r="J88" s="13" t="s">
        <v>3624</v>
      </c>
      <c r="K88" s="16" t="s">
        <v>3622</v>
      </c>
      <c r="L88" s="14" t="s">
        <v>3625</v>
      </c>
      <c r="M88" s="44" t="s">
        <v>298</v>
      </c>
      <c r="N88" s="14" t="s">
        <v>3623</v>
      </c>
      <c r="O88" s="16" t="s">
        <v>3626</v>
      </c>
      <c r="P88" s="44">
        <v>2021.0</v>
      </c>
      <c r="Q88" s="44" t="s">
        <v>2954</v>
      </c>
      <c r="R88" s="14" t="s">
        <v>3202</v>
      </c>
      <c r="S88" s="44" t="s">
        <v>1805</v>
      </c>
      <c r="T88" s="44" t="s">
        <v>2928</v>
      </c>
      <c r="U88" s="44" t="s">
        <v>59</v>
      </c>
      <c r="V88" s="45">
        <v>3.0</v>
      </c>
      <c r="Z88" s="47" t="s">
        <v>420</v>
      </c>
      <c r="AA88" s="16" t="s">
        <v>2674</v>
      </c>
      <c r="AB88" s="47" t="s">
        <v>2750</v>
      </c>
      <c r="AC88" s="47" t="s">
        <v>63</v>
      </c>
      <c r="AD88" s="47" t="s">
        <v>423</v>
      </c>
      <c r="AF88" s="79" t="s">
        <v>158</v>
      </c>
      <c r="AG88" s="16" t="s">
        <v>3062</v>
      </c>
      <c r="AH88" s="14" t="s">
        <v>3627</v>
      </c>
      <c r="AI88" s="74" t="s">
        <v>3628</v>
      </c>
      <c r="AJ88" s="74" t="s">
        <v>2313</v>
      </c>
      <c r="AK88" s="16" t="s">
        <v>70</v>
      </c>
    </row>
    <row r="89" ht="12.75" customHeight="1">
      <c r="A89" s="61">
        <v>87.0</v>
      </c>
      <c r="B89" s="14" t="s">
        <v>3629</v>
      </c>
      <c r="C89" s="14" t="s">
        <v>3630</v>
      </c>
      <c r="D89" s="14" t="s">
        <v>3499</v>
      </c>
      <c r="E89" s="13" t="s">
        <v>298</v>
      </c>
      <c r="F89" s="14" t="s">
        <v>73</v>
      </c>
      <c r="G89" s="13" t="s">
        <v>315</v>
      </c>
      <c r="I89" s="44"/>
      <c r="J89" s="13" t="s">
        <v>3631</v>
      </c>
      <c r="K89" s="16" t="s">
        <v>3629</v>
      </c>
      <c r="L89" s="14" t="s">
        <v>3632</v>
      </c>
      <c r="M89" s="44" t="s">
        <v>298</v>
      </c>
      <c r="N89" s="14" t="s">
        <v>3630</v>
      </c>
      <c r="O89" s="16" t="s">
        <v>3633</v>
      </c>
      <c r="P89" s="44">
        <v>2021.0</v>
      </c>
      <c r="Q89" s="44" t="s">
        <v>2954</v>
      </c>
      <c r="R89" s="14" t="s">
        <v>3202</v>
      </c>
      <c r="S89" s="44" t="s">
        <v>1805</v>
      </c>
      <c r="T89" s="44" t="s">
        <v>2928</v>
      </c>
      <c r="U89" s="44" t="s">
        <v>59</v>
      </c>
      <c r="V89" s="45">
        <v>3.0</v>
      </c>
      <c r="Z89" s="47" t="s">
        <v>420</v>
      </c>
      <c r="AA89" s="16" t="s">
        <v>2674</v>
      </c>
      <c r="AB89" s="47" t="s">
        <v>2750</v>
      </c>
      <c r="AC89" s="47" t="s">
        <v>63</v>
      </c>
      <c r="AD89" s="47" t="s">
        <v>423</v>
      </c>
      <c r="AF89" s="79" t="s">
        <v>2957</v>
      </c>
      <c r="AG89" s="16" t="s">
        <v>2929</v>
      </c>
      <c r="AH89" s="14" t="s">
        <v>3634</v>
      </c>
      <c r="AI89" s="74" t="s">
        <v>3635</v>
      </c>
      <c r="AJ89" s="74" t="s">
        <v>3636</v>
      </c>
      <c r="AK89" s="16" t="s">
        <v>70</v>
      </c>
    </row>
    <row r="90" ht="12.75" customHeight="1">
      <c r="A90" s="61">
        <v>88.0</v>
      </c>
      <c r="B90" s="14" t="s">
        <v>3637</v>
      </c>
      <c r="C90" s="14" t="s">
        <v>3638</v>
      </c>
      <c r="D90" s="14" t="s">
        <v>3639</v>
      </c>
      <c r="E90" s="13" t="s">
        <v>298</v>
      </c>
      <c r="F90" s="14" t="s">
        <v>73</v>
      </c>
      <c r="G90" s="13" t="s">
        <v>315</v>
      </c>
      <c r="J90" s="14" t="s">
        <v>3640</v>
      </c>
      <c r="K90" s="16" t="s">
        <v>3637</v>
      </c>
      <c r="L90" s="14" t="s">
        <v>3641</v>
      </c>
      <c r="M90" s="44" t="s">
        <v>298</v>
      </c>
      <c r="N90" s="14" t="s">
        <v>3638</v>
      </c>
      <c r="O90" s="16" t="s">
        <v>3642</v>
      </c>
      <c r="P90" s="44">
        <v>2014.0</v>
      </c>
      <c r="Q90" s="44" t="s">
        <v>3643</v>
      </c>
      <c r="R90" s="14" t="s">
        <v>3644</v>
      </c>
      <c r="S90" s="44" t="s">
        <v>1805</v>
      </c>
      <c r="T90" s="44" t="s">
        <v>2928</v>
      </c>
      <c r="U90" s="44" t="s">
        <v>59</v>
      </c>
      <c r="V90" s="45">
        <v>5.0</v>
      </c>
      <c r="Z90" s="47" t="s">
        <v>420</v>
      </c>
      <c r="AA90" s="16" t="s">
        <v>3645</v>
      </c>
      <c r="AB90" s="47" t="s">
        <v>2741</v>
      </c>
      <c r="AC90" s="47" t="s">
        <v>63</v>
      </c>
      <c r="AD90" s="47" t="s">
        <v>423</v>
      </c>
      <c r="AF90" s="79" t="s">
        <v>64</v>
      </c>
      <c r="AG90" s="16" t="s">
        <v>2729</v>
      </c>
      <c r="AH90" s="14" t="s">
        <v>3646</v>
      </c>
      <c r="AI90" s="74" t="s">
        <v>3647</v>
      </c>
      <c r="AJ90" s="74" t="s">
        <v>3647</v>
      </c>
      <c r="AK90" s="16" t="s">
        <v>70</v>
      </c>
    </row>
    <row r="91" ht="12.75" customHeight="1">
      <c r="A91" s="61">
        <v>89.0</v>
      </c>
      <c r="B91" s="14" t="s">
        <v>3648</v>
      </c>
      <c r="C91" s="13" t="s">
        <v>3649</v>
      </c>
      <c r="D91" s="14" t="s">
        <v>2682</v>
      </c>
      <c r="E91" s="13" t="s">
        <v>298</v>
      </c>
      <c r="F91" s="14" t="s">
        <v>73</v>
      </c>
      <c r="G91" s="13" t="s">
        <v>315</v>
      </c>
      <c r="J91" s="13" t="s">
        <v>3650</v>
      </c>
      <c r="K91" s="16" t="s">
        <v>3648</v>
      </c>
      <c r="L91" s="14" t="s">
        <v>3651</v>
      </c>
      <c r="M91" s="44" t="s">
        <v>298</v>
      </c>
      <c r="N91" s="13" t="s">
        <v>3649</v>
      </c>
      <c r="O91" s="16" t="s">
        <v>3652</v>
      </c>
      <c r="P91" s="44">
        <v>2006.0</v>
      </c>
      <c r="Q91" s="44" t="s">
        <v>3653</v>
      </c>
      <c r="R91" s="14" t="s">
        <v>3654</v>
      </c>
      <c r="S91" s="44" t="s">
        <v>1805</v>
      </c>
      <c r="T91" s="44" t="s">
        <v>2928</v>
      </c>
      <c r="U91" s="44" t="s">
        <v>59</v>
      </c>
      <c r="V91" s="45">
        <v>4.0</v>
      </c>
      <c r="Z91" s="47" t="s">
        <v>420</v>
      </c>
      <c r="AA91" s="16" t="s">
        <v>2979</v>
      </c>
      <c r="AB91" s="47" t="s">
        <v>2688</v>
      </c>
      <c r="AC91" s="47" t="s">
        <v>63</v>
      </c>
      <c r="AD91" s="47" t="s">
        <v>423</v>
      </c>
      <c r="AF91" s="79" t="s">
        <v>64</v>
      </c>
      <c r="AG91" s="16" t="s">
        <v>435</v>
      </c>
      <c r="AH91" s="14" t="s">
        <v>3655</v>
      </c>
      <c r="AI91" s="74" t="s">
        <v>3656</v>
      </c>
      <c r="AJ91" s="74" t="s">
        <v>3657</v>
      </c>
      <c r="AK91" s="16" t="s">
        <v>70</v>
      </c>
    </row>
    <row r="92" ht="12.75" customHeight="1">
      <c r="A92" s="61">
        <v>90.0</v>
      </c>
      <c r="B92" s="14" t="s">
        <v>3658</v>
      </c>
      <c r="C92" s="14" t="s">
        <v>3659</v>
      </c>
      <c r="D92" s="14" t="s">
        <v>3660</v>
      </c>
      <c r="E92" s="13" t="s">
        <v>298</v>
      </c>
      <c r="F92" s="14" t="s">
        <v>73</v>
      </c>
      <c r="G92" s="13" t="s">
        <v>315</v>
      </c>
      <c r="J92" s="14" t="s">
        <v>3661</v>
      </c>
      <c r="K92" s="16" t="s">
        <v>3658</v>
      </c>
      <c r="L92" s="14" t="s">
        <v>3662</v>
      </c>
      <c r="M92" s="44" t="s">
        <v>298</v>
      </c>
      <c r="N92" s="14" t="s">
        <v>3659</v>
      </c>
      <c r="O92" s="16" t="s">
        <v>3663</v>
      </c>
      <c r="P92" s="44">
        <v>2003.0</v>
      </c>
      <c r="Q92" s="44" t="s">
        <v>3664</v>
      </c>
      <c r="R92" s="14" t="s">
        <v>3665</v>
      </c>
      <c r="S92" s="44" t="s">
        <v>1805</v>
      </c>
      <c r="T92" s="44" t="s">
        <v>2928</v>
      </c>
      <c r="U92" s="44" t="s">
        <v>59</v>
      </c>
      <c r="V92" s="45">
        <v>6.0</v>
      </c>
      <c r="Z92" s="47" t="s">
        <v>420</v>
      </c>
      <c r="AA92" s="16" t="s">
        <v>3666</v>
      </c>
      <c r="AB92" s="47" t="s">
        <v>2741</v>
      </c>
      <c r="AC92" s="47" t="s">
        <v>63</v>
      </c>
      <c r="AD92" s="47" t="s">
        <v>423</v>
      </c>
      <c r="AF92" s="79" t="s">
        <v>2957</v>
      </c>
      <c r="AG92" s="16" t="s">
        <v>2929</v>
      </c>
      <c r="AH92" s="14" t="s">
        <v>3667</v>
      </c>
      <c r="AI92" s="74" t="s">
        <v>3668</v>
      </c>
      <c r="AJ92" s="74" t="s">
        <v>3669</v>
      </c>
      <c r="AK92" s="16" t="s">
        <v>70</v>
      </c>
    </row>
    <row r="93" ht="12.75" customHeight="1">
      <c r="A93" s="61">
        <v>91.0</v>
      </c>
      <c r="B93" s="14" t="s">
        <v>3670</v>
      </c>
      <c r="C93" s="14" t="s">
        <v>3671</v>
      </c>
      <c r="D93" s="14" t="s">
        <v>3660</v>
      </c>
      <c r="E93" s="13" t="s">
        <v>298</v>
      </c>
      <c r="F93" s="14" t="s">
        <v>73</v>
      </c>
      <c r="G93" s="13" t="s">
        <v>315</v>
      </c>
      <c r="J93" s="14" t="s">
        <v>3672</v>
      </c>
      <c r="K93" s="16" t="s">
        <v>3670</v>
      </c>
      <c r="L93" s="14" t="s">
        <v>3673</v>
      </c>
      <c r="M93" s="44" t="s">
        <v>298</v>
      </c>
      <c r="N93" s="14" t="s">
        <v>3671</v>
      </c>
      <c r="O93" s="16" t="s">
        <v>3674</v>
      </c>
      <c r="P93" s="44">
        <v>2010.0</v>
      </c>
      <c r="Q93" s="44" t="s">
        <v>3675</v>
      </c>
      <c r="R93" s="14" t="s">
        <v>3676</v>
      </c>
      <c r="S93" s="44" t="s">
        <v>1805</v>
      </c>
      <c r="T93" s="44" t="s">
        <v>2928</v>
      </c>
      <c r="U93" s="44" t="s">
        <v>59</v>
      </c>
      <c r="V93" s="45">
        <v>6.0</v>
      </c>
      <c r="Z93" s="47" t="s">
        <v>420</v>
      </c>
      <c r="AA93" s="16" t="s">
        <v>3666</v>
      </c>
      <c r="AB93" s="47" t="s">
        <v>2741</v>
      </c>
      <c r="AC93" s="47" t="s">
        <v>63</v>
      </c>
      <c r="AD93" s="47" t="s">
        <v>423</v>
      </c>
      <c r="AF93" s="79" t="s">
        <v>64</v>
      </c>
      <c r="AG93" s="16" t="s">
        <v>2677</v>
      </c>
      <c r="AH93" s="14" t="s">
        <v>3677</v>
      </c>
      <c r="AI93" s="74" t="s">
        <v>3678</v>
      </c>
      <c r="AJ93" s="74" t="s">
        <v>3679</v>
      </c>
      <c r="AK93" s="16" t="s">
        <v>70</v>
      </c>
    </row>
    <row r="94" ht="12.75" customHeight="1">
      <c r="A94" s="61">
        <v>92.0</v>
      </c>
      <c r="B94" s="14" t="s">
        <v>3680</v>
      </c>
      <c r="C94" s="14" t="s">
        <v>3681</v>
      </c>
      <c r="D94" s="14" t="s">
        <v>3660</v>
      </c>
      <c r="E94" s="13" t="s">
        <v>298</v>
      </c>
      <c r="F94" s="14" t="s">
        <v>73</v>
      </c>
      <c r="G94" s="13" t="s">
        <v>315</v>
      </c>
      <c r="J94" s="14" t="s">
        <v>3682</v>
      </c>
      <c r="K94" s="16" t="s">
        <v>3683</v>
      </c>
      <c r="L94" s="14" t="s">
        <v>3684</v>
      </c>
      <c r="M94" s="44" t="s">
        <v>298</v>
      </c>
      <c r="N94" s="14" t="s">
        <v>3681</v>
      </c>
      <c r="O94" s="16" t="s">
        <v>3685</v>
      </c>
      <c r="P94" s="44">
        <v>2022.0</v>
      </c>
      <c r="Q94" s="44" t="s">
        <v>3686</v>
      </c>
      <c r="R94" s="14" t="s">
        <v>3687</v>
      </c>
      <c r="S94" s="44" t="s">
        <v>1805</v>
      </c>
      <c r="T94" s="44" t="s">
        <v>2928</v>
      </c>
      <c r="U94" s="44" t="s">
        <v>59</v>
      </c>
      <c r="V94" s="45">
        <v>6.0</v>
      </c>
      <c r="Z94" s="47" t="s">
        <v>420</v>
      </c>
      <c r="AA94" s="16" t="s">
        <v>3666</v>
      </c>
      <c r="AB94" s="47" t="s">
        <v>2741</v>
      </c>
      <c r="AC94" s="47" t="s">
        <v>63</v>
      </c>
      <c r="AD94" s="47" t="s">
        <v>423</v>
      </c>
      <c r="AF94" s="79" t="s">
        <v>2957</v>
      </c>
      <c r="AG94" s="16" t="s">
        <v>2929</v>
      </c>
      <c r="AH94" s="14" t="s">
        <v>3688</v>
      </c>
      <c r="AI94" s="74" t="s">
        <v>3689</v>
      </c>
      <c r="AJ94" s="74" t="s">
        <v>3690</v>
      </c>
      <c r="AK94" s="16" t="s">
        <v>70</v>
      </c>
    </row>
    <row r="95" ht="12.75" customHeight="1">
      <c r="A95" s="61">
        <v>93.0</v>
      </c>
      <c r="B95" s="14" t="s">
        <v>3691</v>
      </c>
      <c r="C95" s="14" t="s">
        <v>3692</v>
      </c>
      <c r="D95" s="14" t="s">
        <v>2705</v>
      </c>
      <c r="E95" s="13" t="s">
        <v>298</v>
      </c>
      <c r="F95" s="14" t="s">
        <v>73</v>
      </c>
      <c r="G95" s="13" t="s">
        <v>315</v>
      </c>
      <c r="J95" s="14" t="s">
        <v>3693</v>
      </c>
      <c r="K95" s="16" t="s">
        <v>3691</v>
      </c>
      <c r="L95" s="14" t="s">
        <v>3694</v>
      </c>
      <c r="M95" s="44" t="s">
        <v>298</v>
      </c>
      <c r="N95" s="14" t="s">
        <v>3692</v>
      </c>
      <c r="O95" s="16" t="s">
        <v>3695</v>
      </c>
      <c r="P95" s="44">
        <v>2020.0</v>
      </c>
      <c r="Q95" s="44" t="s">
        <v>3001</v>
      </c>
      <c r="R95" s="14" t="s">
        <v>3002</v>
      </c>
      <c r="S95" s="44" t="s">
        <v>1805</v>
      </c>
      <c r="T95" s="44" t="s">
        <v>2928</v>
      </c>
      <c r="U95" s="44" t="s">
        <v>59</v>
      </c>
      <c r="V95" s="45">
        <v>5.0</v>
      </c>
      <c r="Z95" s="47" t="s">
        <v>420</v>
      </c>
      <c r="AA95" s="47" t="s">
        <v>2833</v>
      </c>
      <c r="AB95" s="47" t="s">
        <v>2741</v>
      </c>
      <c r="AC95" s="47" t="s">
        <v>63</v>
      </c>
      <c r="AD95" s="47" t="s">
        <v>423</v>
      </c>
      <c r="AF95" s="79" t="s">
        <v>158</v>
      </c>
      <c r="AG95" s="16" t="s">
        <v>3062</v>
      </c>
      <c r="AH95" s="14" t="s">
        <v>3696</v>
      </c>
      <c r="AI95" s="74" t="s">
        <v>3272</v>
      </c>
      <c r="AJ95" s="74" t="s">
        <v>3273</v>
      </c>
      <c r="AK95" s="16" t="s">
        <v>70</v>
      </c>
    </row>
    <row r="96" ht="12.75" customHeight="1">
      <c r="A96" s="61">
        <v>94.0</v>
      </c>
      <c r="B96" s="14" t="s">
        <v>3697</v>
      </c>
      <c r="C96" s="14" t="s">
        <v>3698</v>
      </c>
      <c r="D96" s="14" t="s">
        <v>2996</v>
      </c>
      <c r="E96" s="13" t="s">
        <v>298</v>
      </c>
      <c r="F96" s="14" t="s">
        <v>73</v>
      </c>
      <c r="G96" s="13" t="s">
        <v>315</v>
      </c>
      <c r="J96" s="14" t="s">
        <v>3699</v>
      </c>
      <c r="K96" s="16" t="s">
        <v>3697</v>
      </c>
      <c r="L96" s="14" t="s">
        <v>3700</v>
      </c>
      <c r="M96" s="44" t="s">
        <v>298</v>
      </c>
      <c r="N96" s="14" t="s">
        <v>3698</v>
      </c>
      <c r="O96" s="16" t="s">
        <v>3701</v>
      </c>
      <c r="P96" s="44">
        <v>2022.0</v>
      </c>
      <c r="Q96" s="44" t="s">
        <v>3702</v>
      </c>
      <c r="R96" s="14" t="s">
        <v>3703</v>
      </c>
      <c r="S96" s="44" t="s">
        <v>1805</v>
      </c>
      <c r="T96" s="44" t="s">
        <v>2928</v>
      </c>
      <c r="U96" s="44" t="s">
        <v>59</v>
      </c>
      <c r="V96" s="45">
        <v>5.0</v>
      </c>
      <c r="Z96" s="47" t="s">
        <v>420</v>
      </c>
      <c r="AA96" s="16" t="s">
        <v>3704</v>
      </c>
      <c r="AB96" s="47" t="s">
        <v>2741</v>
      </c>
      <c r="AC96" s="47" t="s">
        <v>63</v>
      </c>
      <c r="AD96" s="47" t="s">
        <v>423</v>
      </c>
      <c r="AF96" s="79" t="s">
        <v>2957</v>
      </c>
      <c r="AG96" s="16" t="s">
        <v>2929</v>
      </c>
      <c r="AH96" s="14" t="s">
        <v>3705</v>
      </c>
      <c r="AI96" s="74" t="s">
        <v>3411</v>
      </c>
      <c r="AJ96" s="74" t="s">
        <v>3412</v>
      </c>
      <c r="AK96" s="16" t="s">
        <v>70</v>
      </c>
    </row>
    <row r="97" ht="12.75" customHeight="1">
      <c r="A97" s="61">
        <v>95.0</v>
      </c>
      <c r="B97" s="14" t="s">
        <v>3706</v>
      </c>
      <c r="C97" s="14" t="s">
        <v>3707</v>
      </c>
      <c r="D97" s="14" t="s">
        <v>2705</v>
      </c>
      <c r="E97" s="13" t="s">
        <v>298</v>
      </c>
      <c r="F97" s="14" t="s">
        <v>73</v>
      </c>
      <c r="G97" s="13" t="s">
        <v>315</v>
      </c>
      <c r="J97" s="14" t="s">
        <v>3708</v>
      </c>
      <c r="K97" s="16" t="s">
        <v>3706</v>
      </c>
      <c r="L97" s="14" t="s">
        <v>3709</v>
      </c>
      <c r="M97" s="44" t="s">
        <v>298</v>
      </c>
      <c r="N97" s="14" t="s">
        <v>3707</v>
      </c>
      <c r="O97" s="16" t="s">
        <v>3710</v>
      </c>
      <c r="P97" s="44">
        <v>2020.0</v>
      </c>
      <c r="Q97" s="44" t="s">
        <v>3001</v>
      </c>
      <c r="R97" s="14" t="s">
        <v>3002</v>
      </c>
      <c r="S97" s="44" t="s">
        <v>1805</v>
      </c>
      <c r="T97" s="44" t="s">
        <v>2928</v>
      </c>
      <c r="U97" s="44" t="s">
        <v>59</v>
      </c>
      <c r="V97" s="45">
        <v>5.0</v>
      </c>
      <c r="Z97" s="47" t="s">
        <v>420</v>
      </c>
      <c r="AA97" s="47" t="s">
        <v>2833</v>
      </c>
      <c r="AB97" s="47" t="s">
        <v>2741</v>
      </c>
      <c r="AC97" s="47" t="s">
        <v>63</v>
      </c>
      <c r="AD97" s="47" t="s">
        <v>423</v>
      </c>
      <c r="AF97" s="79" t="s">
        <v>2957</v>
      </c>
      <c r="AG97" s="16" t="s">
        <v>2929</v>
      </c>
      <c r="AH97" s="14" t="s">
        <v>3711</v>
      </c>
      <c r="AI97" s="74" t="s">
        <v>3712</v>
      </c>
      <c r="AJ97" s="74" t="s">
        <v>3487</v>
      </c>
      <c r="AK97" s="16" t="s">
        <v>70</v>
      </c>
    </row>
    <row r="98" ht="12.75" customHeight="1">
      <c r="A98" s="61">
        <v>96.0</v>
      </c>
      <c r="B98" s="14" t="s">
        <v>3713</v>
      </c>
      <c r="C98" s="14" t="s">
        <v>3714</v>
      </c>
      <c r="D98" s="14" t="s">
        <v>3715</v>
      </c>
      <c r="E98" s="13" t="s">
        <v>298</v>
      </c>
      <c r="F98" s="14" t="s">
        <v>73</v>
      </c>
      <c r="G98" s="13" t="s">
        <v>315</v>
      </c>
      <c r="J98" s="14" t="s">
        <v>3716</v>
      </c>
      <c r="K98" s="16" t="s">
        <v>3713</v>
      </c>
      <c r="L98" s="14" t="s">
        <v>3717</v>
      </c>
      <c r="M98" s="44" t="s">
        <v>298</v>
      </c>
      <c r="N98" s="14" t="s">
        <v>3714</v>
      </c>
      <c r="O98" s="16" t="s">
        <v>3718</v>
      </c>
      <c r="P98" s="44">
        <v>2022.0</v>
      </c>
      <c r="Q98" s="44" t="s">
        <v>2738</v>
      </c>
      <c r="R98" s="14" t="s">
        <v>3719</v>
      </c>
      <c r="S98" s="44" t="s">
        <v>1805</v>
      </c>
      <c r="T98" s="44" t="s">
        <v>2928</v>
      </c>
      <c r="U98" s="44" t="s">
        <v>59</v>
      </c>
      <c r="V98" s="45">
        <v>5.0</v>
      </c>
      <c r="Z98" s="47" t="s">
        <v>420</v>
      </c>
      <c r="AA98" s="16" t="s">
        <v>3720</v>
      </c>
      <c r="AB98" s="47" t="s">
        <v>2741</v>
      </c>
      <c r="AC98" s="47" t="s">
        <v>63</v>
      </c>
      <c r="AD98" s="47" t="s">
        <v>423</v>
      </c>
      <c r="AF98" s="79" t="s">
        <v>2957</v>
      </c>
      <c r="AG98" s="16" t="s">
        <v>2929</v>
      </c>
      <c r="AH98" s="14" t="s">
        <v>3721</v>
      </c>
      <c r="AI98" s="74" t="s">
        <v>3722</v>
      </c>
      <c r="AJ98" s="74" t="s">
        <v>3723</v>
      </c>
      <c r="AK98" s="16" t="s">
        <v>70</v>
      </c>
    </row>
    <row r="99" ht="12.75" customHeight="1">
      <c r="A99" s="61">
        <v>97.0</v>
      </c>
      <c r="B99" s="14" t="s">
        <v>3724</v>
      </c>
      <c r="C99" s="14" t="s">
        <v>3725</v>
      </c>
      <c r="D99" s="14" t="s">
        <v>3660</v>
      </c>
      <c r="E99" s="13" t="s">
        <v>298</v>
      </c>
      <c r="F99" s="14" t="s">
        <v>73</v>
      </c>
      <c r="G99" s="13" t="s">
        <v>315</v>
      </c>
      <c r="J99" s="14" t="s">
        <v>3726</v>
      </c>
      <c r="K99" s="16" t="s">
        <v>3724</v>
      </c>
      <c r="L99" s="14" t="s">
        <v>3727</v>
      </c>
      <c r="M99" s="44" t="s">
        <v>298</v>
      </c>
      <c r="N99" s="14" t="s">
        <v>3725</v>
      </c>
      <c r="O99" s="16" t="s">
        <v>3728</v>
      </c>
      <c r="P99" s="44">
        <v>2022.0</v>
      </c>
      <c r="Q99" s="44" t="s">
        <v>2867</v>
      </c>
      <c r="R99" s="14" t="s">
        <v>3729</v>
      </c>
      <c r="S99" s="44" t="s">
        <v>1805</v>
      </c>
      <c r="T99" s="44" t="s">
        <v>2928</v>
      </c>
      <c r="U99" s="44" t="s">
        <v>59</v>
      </c>
      <c r="V99" s="45">
        <v>6.0</v>
      </c>
      <c r="Z99" s="47" t="s">
        <v>420</v>
      </c>
      <c r="AA99" s="16" t="s">
        <v>3666</v>
      </c>
      <c r="AB99" s="47" t="s">
        <v>2741</v>
      </c>
      <c r="AC99" s="47" t="s">
        <v>63</v>
      </c>
      <c r="AD99" s="47" t="s">
        <v>423</v>
      </c>
      <c r="AF99" s="79" t="s">
        <v>2957</v>
      </c>
      <c r="AG99" s="16" t="s">
        <v>2929</v>
      </c>
      <c r="AH99" s="14" t="s">
        <v>3730</v>
      </c>
      <c r="AI99" s="74" t="s">
        <v>3731</v>
      </c>
      <c r="AJ99" s="74" t="s">
        <v>3732</v>
      </c>
      <c r="AK99" s="16" t="s">
        <v>70</v>
      </c>
    </row>
    <row r="100" ht="12.75" customHeight="1">
      <c r="A100" s="61">
        <v>98.0</v>
      </c>
      <c r="B100" s="14" t="s">
        <v>3733</v>
      </c>
      <c r="C100" s="14" t="s">
        <v>3734</v>
      </c>
      <c r="D100" s="14" t="s">
        <v>3660</v>
      </c>
      <c r="E100" s="13" t="s">
        <v>298</v>
      </c>
      <c r="F100" s="14" t="s">
        <v>73</v>
      </c>
      <c r="G100" s="13" t="s">
        <v>315</v>
      </c>
      <c r="J100" s="14" t="s">
        <v>3735</v>
      </c>
      <c r="K100" s="16" t="s">
        <v>3733</v>
      </c>
      <c r="L100" s="14" t="s">
        <v>3736</v>
      </c>
      <c r="M100" s="44" t="s">
        <v>298</v>
      </c>
      <c r="N100" s="14" t="s">
        <v>3734</v>
      </c>
      <c r="O100" s="16" t="s">
        <v>3737</v>
      </c>
      <c r="P100" s="44">
        <v>2022.0</v>
      </c>
      <c r="Q100" s="44" t="s">
        <v>2867</v>
      </c>
      <c r="R100" s="14" t="s">
        <v>3729</v>
      </c>
      <c r="S100" s="44" t="s">
        <v>1805</v>
      </c>
      <c r="T100" s="44" t="s">
        <v>2928</v>
      </c>
      <c r="U100" s="44" t="s">
        <v>59</v>
      </c>
      <c r="V100" s="45">
        <v>6.0</v>
      </c>
      <c r="Z100" s="47" t="s">
        <v>420</v>
      </c>
      <c r="AA100" s="16" t="s">
        <v>3666</v>
      </c>
      <c r="AB100" s="47" t="s">
        <v>2741</v>
      </c>
      <c r="AC100" s="47" t="s">
        <v>63</v>
      </c>
      <c r="AD100" s="47" t="s">
        <v>423</v>
      </c>
      <c r="AF100" s="79" t="s">
        <v>2957</v>
      </c>
      <c r="AG100" s="16" t="s">
        <v>2929</v>
      </c>
      <c r="AH100" s="14" t="s">
        <v>3730</v>
      </c>
      <c r="AI100" s="74" t="s">
        <v>3738</v>
      </c>
      <c r="AJ100" s="74" t="s">
        <v>3739</v>
      </c>
      <c r="AK100" s="16" t="s">
        <v>70</v>
      </c>
    </row>
    <row r="101" ht="12.75" customHeight="1">
      <c r="A101" s="61">
        <v>99.0</v>
      </c>
      <c r="B101" s="14" t="s">
        <v>3740</v>
      </c>
      <c r="C101" s="14" t="s">
        <v>3741</v>
      </c>
      <c r="D101" s="14" t="s">
        <v>2705</v>
      </c>
      <c r="E101" s="13" t="s">
        <v>298</v>
      </c>
      <c r="F101" s="14" t="s">
        <v>73</v>
      </c>
      <c r="G101" s="13" t="s">
        <v>315</v>
      </c>
      <c r="J101" s="14" t="s">
        <v>3742</v>
      </c>
      <c r="K101" s="16" t="s">
        <v>3740</v>
      </c>
      <c r="L101" s="14" t="s">
        <v>3743</v>
      </c>
      <c r="M101" s="44" t="s">
        <v>298</v>
      </c>
      <c r="N101" s="14" t="s">
        <v>3741</v>
      </c>
      <c r="O101" s="16" t="s">
        <v>3744</v>
      </c>
      <c r="P101" s="44">
        <v>2023.0</v>
      </c>
      <c r="Q101" s="44" t="s">
        <v>2867</v>
      </c>
      <c r="R101" s="14" t="s">
        <v>3729</v>
      </c>
      <c r="S101" s="44" t="s">
        <v>1805</v>
      </c>
      <c r="T101" s="44" t="s">
        <v>2928</v>
      </c>
      <c r="U101" s="44" t="s">
        <v>59</v>
      </c>
      <c r="V101" s="45">
        <v>5.0</v>
      </c>
      <c r="Z101" s="47" t="s">
        <v>420</v>
      </c>
      <c r="AA101" s="47" t="s">
        <v>2833</v>
      </c>
      <c r="AB101" s="47" t="s">
        <v>2741</v>
      </c>
      <c r="AC101" s="47" t="s">
        <v>63</v>
      </c>
      <c r="AD101" s="47" t="s">
        <v>423</v>
      </c>
      <c r="AF101" s="79" t="s">
        <v>2957</v>
      </c>
      <c r="AG101" s="16" t="s">
        <v>2929</v>
      </c>
      <c r="AH101" s="14" t="s">
        <v>3730</v>
      </c>
      <c r="AI101" s="74" t="s">
        <v>3745</v>
      </c>
      <c r="AJ101" s="74" t="s">
        <v>3746</v>
      </c>
      <c r="AK101" s="16" t="s">
        <v>70</v>
      </c>
    </row>
    <row r="102" ht="12.75" customHeight="1">
      <c r="A102" s="61">
        <v>100.0</v>
      </c>
      <c r="B102" s="14" t="s">
        <v>3747</v>
      </c>
      <c r="C102" s="14" t="s">
        <v>3748</v>
      </c>
      <c r="D102" s="14" t="s">
        <v>2996</v>
      </c>
      <c r="E102" s="13" t="s">
        <v>298</v>
      </c>
      <c r="F102" s="14" t="s">
        <v>73</v>
      </c>
      <c r="G102" s="13" t="s">
        <v>315</v>
      </c>
      <c r="J102" s="14" t="s">
        <v>3749</v>
      </c>
      <c r="K102" s="14" t="s">
        <v>3747</v>
      </c>
      <c r="L102" s="14" t="s">
        <v>3750</v>
      </c>
      <c r="M102" s="44" t="s">
        <v>298</v>
      </c>
      <c r="N102" s="14" t="s">
        <v>3748</v>
      </c>
      <c r="O102" s="16" t="s">
        <v>3751</v>
      </c>
      <c r="P102" s="44">
        <v>2022.0</v>
      </c>
      <c r="Q102" s="44" t="s">
        <v>2954</v>
      </c>
      <c r="R102" s="14" t="s">
        <v>3202</v>
      </c>
      <c r="S102" s="44" t="s">
        <v>1805</v>
      </c>
      <c r="T102" s="44" t="s">
        <v>2928</v>
      </c>
      <c r="U102" s="44" t="s">
        <v>59</v>
      </c>
      <c r="V102" s="45">
        <v>5.0</v>
      </c>
      <c r="Z102" s="47" t="s">
        <v>420</v>
      </c>
      <c r="AA102" s="16" t="s">
        <v>3704</v>
      </c>
      <c r="AB102" s="47" t="s">
        <v>2741</v>
      </c>
      <c r="AC102" s="47" t="s">
        <v>63</v>
      </c>
      <c r="AD102" s="47" t="s">
        <v>423</v>
      </c>
      <c r="AF102" s="79" t="s">
        <v>158</v>
      </c>
      <c r="AG102" s="16" t="s">
        <v>3062</v>
      </c>
      <c r="AH102" s="14" t="s">
        <v>3752</v>
      </c>
      <c r="AI102" s="74" t="s">
        <v>3753</v>
      </c>
      <c r="AJ102" s="74" t="s">
        <v>3754</v>
      </c>
      <c r="AK102" s="16" t="s">
        <v>70</v>
      </c>
    </row>
    <row r="103" ht="12.75" customHeight="1">
      <c r="A103" s="61">
        <v>101.0</v>
      </c>
      <c r="B103" s="14" t="s">
        <v>3755</v>
      </c>
      <c r="C103" s="14" t="s">
        <v>3756</v>
      </c>
      <c r="D103" s="14" t="s">
        <v>2705</v>
      </c>
      <c r="E103" s="13" t="s">
        <v>298</v>
      </c>
      <c r="F103" s="14" t="s">
        <v>73</v>
      </c>
      <c r="G103" s="13" t="s">
        <v>315</v>
      </c>
      <c r="J103" s="14" t="s">
        <v>3757</v>
      </c>
      <c r="K103" s="16" t="s">
        <v>3758</v>
      </c>
      <c r="L103" s="14" t="s">
        <v>3759</v>
      </c>
      <c r="M103" s="44" t="s">
        <v>298</v>
      </c>
      <c r="N103" s="14" t="s">
        <v>3756</v>
      </c>
      <c r="O103" s="16" t="s">
        <v>3760</v>
      </c>
      <c r="P103" s="44">
        <v>2022.0</v>
      </c>
      <c r="Q103" s="44" t="s">
        <v>2926</v>
      </c>
      <c r="R103" s="14" t="s">
        <v>2927</v>
      </c>
      <c r="S103" s="44" t="s">
        <v>1805</v>
      </c>
      <c r="T103" s="44" t="s">
        <v>2928</v>
      </c>
      <c r="U103" s="44" t="s">
        <v>59</v>
      </c>
      <c r="V103" s="45">
        <v>5.0</v>
      </c>
      <c r="Z103" s="47" t="s">
        <v>420</v>
      </c>
      <c r="AA103" s="47" t="s">
        <v>2833</v>
      </c>
      <c r="AB103" s="47" t="s">
        <v>2741</v>
      </c>
      <c r="AC103" s="47" t="s">
        <v>63</v>
      </c>
      <c r="AD103" s="47" t="s">
        <v>423</v>
      </c>
      <c r="AF103" s="79" t="s">
        <v>158</v>
      </c>
      <c r="AG103" s="16" t="s">
        <v>2943</v>
      </c>
      <c r="AH103" s="14" t="s">
        <v>3761</v>
      </c>
      <c r="AI103" s="74" t="s">
        <v>3762</v>
      </c>
      <c r="AJ103" s="74" t="s">
        <v>3763</v>
      </c>
      <c r="AK103" s="16" t="s">
        <v>70</v>
      </c>
    </row>
    <row r="104" ht="12.75" customHeight="1">
      <c r="A104" s="61">
        <v>102.0</v>
      </c>
      <c r="B104" s="14" t="s">
        <v>3764</v>
      </c>
      <c r="C104" s="14" t="s">
        <v>3765</v>
      </c>
      <c r="D104" s="14" t="s">
        <v>2705</v>
      </c>
      <c r="E104" s="13" t="s">
        <v>298</v>
      </c>
      <c r="F104" s="14" t="s">
        <v>73</v>
      </c>
      <c r="G104" s="13" t="s">
        <v>315</v>
      </c>
      <c r="J104" s="14" t="s">
        <v>3766</v>
      </c>
      <c r="K104" s="16" t="s">
        <v>3767</v>
      </c>
      <c r="L104" s="14" t="s">
        <v>3768</v>
      </c>
      <c r="M104" s="44" t="s">
        <v>298</v>
      </c>
      <c r="N104" s="14" t="s">
        <v>3765</v>
      </c>
      <c r="O104" s="16" t="s">
        <v>3769</v>
      </c>
      <c r="P104" s="44">
        <v>2020.0</v>
      </c>
      <c r="Q104" s="44" t="s">
        <v>2926</v>
      </c>
      <c r="R104" s="14" t="s">
        <v>2927</v>
      </c>
      <c r="S104" s="44" t="s">
        <v>1805</v>
      </c>
      <c r="T104" s="44" t="s">
        <v>2928</v>
      </c>
      <c r="U104" s="44" t="s">
        <v>59</v>
      </c>
      <c r="V104" s="45">
        <v>5.0</v>
      </c>
      <c r="Z104" s="47" t="s">
        <v>420</v>
      </c>
      <c r="AA104" s="47" t="s">
        <v>2833</v>
      </c>
      <c r="AB104" s="47" t="s">
        <v>2741</v>
      </c>
      <c r="AC104" s="47" t="s">
        <v>63</v>
      </c>
      <c r="AD104" s="47" t="s">
        <v>423</v>
      </c>
      <c r="AF104" s="79" t="s">
        <v>158</v>
      </c>
      <c r="AG104" s="16" t="s">
        <v>3076</v>
      </c>
      <c r="AH104" s="14" t="s">
        <v>3770</v>
      </c>
      <c r="AI104" s="74" t="s">
        <v>3771</v>
      </c>
      <c r="AJ104" s="74" t="s">
        <v>3772</v>
      </c>
      <c r="AK104" s="16" t="s">
        <v>70</v>
      </c>
    </row>
    <row r="105" ht="12.75" customHeight="1">
      <c r="A105" s="61">
        <v>103.0</v>
      </c>
      <c r="B105" s="14" t="s">
        <v>3773</v>
      </c>
      <c r="C105" s="14" t="s">
        <v>3774</v>
      </c>
      <c r="D105" s="14" t="s">
        <v>2705</v>
      </c>
      <c r="E105" s="13" t="s">
        <v>298</v>
      </c>
      <c r="F105" s="14" t="s">
        <v>73</v>
      </c>
      <c r="G105" s="13" t="s">
        <v>315</v>
      </c>
      <c r="J105" s="14" t="s">
        <v>3775</v>
      </c>
      <c r="K105" s="16" t="s">
        <v>3776</v>
      </c>
      <c r="L105" s="14" t="s">
        <v>3777</v>
      </c>
      <c r="M105" s="44" t="s">
        <v>298</v>
      </c>
      <c r="N105" s="14" t="s">
        <v>3774</v>
      </c>
      <c r="O105" s="16" t="s">
        <v>3778</v>
      </c>
      <c r="P105" s="44">
        <v>2020.0</v>
      </c>
      <c r="Q105" s="44" t="s">
        <v>2926</v>
      </c>
      <c r="R105" s="14" t="s">
        <v>2927</v>
      </c>
      <c r="S105" s="44" t="s">
        <v>1805</v>
      </c>
      <c r="T105" s="44" t="s">
        <v>2928</v>
      </c>
      <c r="U105" s="44" t="s">
        <v>59</v>
      </c>
      <c r="V105" s="45">
        <v>5.0</v>
      </c>
      <c r="Z105" s="47" t="s">
        <v>420</v>
      </c>
      <c r="AA105" s="47" t="s">
        <v>2833</v>
      </c>
      <c r="AB105" s="47" t="s">
        <v>2741</v>
      </c>
      <c r="AC105" s="47" t="s">
        <v>63</v>
      </c>
      <c r="AD105" s="47" t="s">
        <v>423</v>
      </c>
      <c r="AF105" s="79" t="s">
        <v>158</v>
      </c>
      <c r="AG105" s="16" t="s">
        <v>2943</v>
      </c>
      <c r="AH105" s="14" t="s">
        <v>3770</v>
      </c>
      <c r="AI105" s="74" t="s">
        <v>3779</v>
      </c>
      <c r="AJ105" s="74" t="s">
        <v>3780</v>
      </c>
      <c r="AK105" s="16" t="s">
        <v>70</v>
      </c>
    </row>
    <row r="106" ht="12.75" customHeight="1">
      <c r="A106" s="61">
        <v>104.0</v>
      </c>
      <c r="B106" s="14" t="s">
        <v>3781</v>
      </c>
      <c r="C106" s="14" t="s">
        <v>3782</v>
      </c>
      <c r="D106" s="14" t="s">
        <v>2705</v>
      </c>
      <c r="E106" s="13" t="s">
        <v>298</v>
      </c>
      <c r="F106" s="14" t="s">
        <v>73</v>
      </c>
      <c r="G106" s="13" t="s">
        <v>315</v>
      </c>
      <c r="J106" s="14" t="s">
        <v>3783</v>
      </c>
      <c r="K106" s="16" t="s">
        <v>3784</v>
      </c>
      <c r="L106" s="14" t="s">
        <v>3785</v>
      </c>
      <c r="M106" s="44" t="s">
        <v>298</v>
      </c>
      <c r="N106" s="14" t="s">
        <v>3782</v>
      </c>
      <c r="O106" s="16" t="s">
        <v>3786</v>
      </c>
      <c r="P106" s="44">
        <v>2023.0</v>
      </c>
      <c r="Q106" s="44" t="s">
        <v>2926</v>
      </c>
      <c r="R106" s="14" t="s">
        <v>2927</v>
      </c>
      <c r="S106" s="44" t="s">
        <v>1805</v>
      </c>
      <c r="T106" s="44" t="s">
        <v>2928</v>
      </c>
      <c r="U106" s="44" t="s">
        <v>59</v>
      </c>
      <c r="V106" s="45">
        <v>5.0</v>
      </c>
      <c r="Z106" s="47" t="s">
        <v>420</v>
      </c>
      <c r="AA106" s="47" t="s">
        <v>2833</v>
      </c>
      <c r="AB106" s="47" t="s">
        <v>2741</v>
      </c>
      <c r="AC106" s="47" t="s">
        <v>63</v>
      </c>
      <c r="AD106" s="47" t="s">
        <v>423</v>
      </c>
      <c r="AF106" s="79" t="s">
        <v>2957</v>
      </c>
      <c r="AG106" s="16" t="s">
        <v>2929</v>
      </c>
      <c r="AH106" s="14" t="s">
        <v>3761</v>
      </c>
      <c r="AI106" s="74" t="s">
        <v>3787</v>
      </c>
      <c r="AJ106" s="74" t="s">
        <v>3788</v>
      </c>
      <c r="AK106" s="16" t="s">
        <v>70</v>
      </c>
    </row>
    <row r="107" ht="12.75" customHeight="1">
      <c r="A107" s="61">
        <v>105.0</v>
      </c>
      <c r="B107" s="14" t="s">
        <v>3789</v>
      </c>
      <c r="C107" s="14" t="s">
        <v>3790</v>
      </c>
      <c r="D107" s="14" t="s">
        <v>2705</v>
      </c>
      <c r="E107" s="13" t="s">
        <v>298</v>
      </c>
      <c r="F107" s="14" t="s">
        <v>73</v>
      </c>
      <c r="G107" s="13" t="s">
        <v>315</v>
      </c>
      <c r="J107" s="14" t="s">
        <v>3791</v>
      </c>
      <c r="K107" s="16" t="s">
        <v>3792</v>
      </c>
      <c r="L107" s="14" t="s">
        <v>3793</v>
      </c>
      <c r="M107" s="44" t="s">
        <v>298</v>
      </c>
      <c r="N107" s="14" t="s">
        <v>3790</v>
      </c>
      <c r="O107" s="16" t="s">
        <v>3794</v>
      </c>
      <c r="P107" s="44">
        <v>2020.0</v>
      </c>
      <c r="Q107" s="44" t="s">
        <v>3795</v>
      </c>
      <c r="R107" s="14" t="s">
        <v>3796</v>
      </c>
      <c r="S107" s="44" t="s">
        <v>1805</v>
      </c>
      <c r="T107" s="44" t="s">
        <v>2928</v>
      </c>
      <c r="U107" s="44" t="s">
        <v>59</v>
      </c>
      <c r="V107" s="45">
        <v>5.0</v>
      </c>
      <c r="Z107" s="47" t="s">
        <v>420</v>
      </c>
      <c r="AA107" s="47" t="s">
        <v>2833</v>
      </c>
      <c r="AB107" s="47" t="s">
        <v>2741</v>
      </c>
      <c r="AC107" s="47" t="s">
        <v>63</v>
      </c>
      <c r="AD107" s="47" t="s">
        <v>423</v>
      </c>
      <c r="AF107" s="79" t="s">
        <v>158</v>
      </c>
      <c r="AG107" s="16" t="s">
        <v>3076</v>
      </c>
      <c r="AH107" s="14" t="s">
        <v>3797</v>
      </c>
      <c r="AI107" s="74" t="s">
        <v>3798</v>
      </c>
      <c r="AJ107" s="74" t="s">
        <v>3799</v>
      </c>
      <c r="AK107" s="16" t="s">
        <v>70</v>
      </c>
    </row>
    <row r="108" ht="12.75" customHeight="1">
      <c r="A108" s="61">
        <v>106.0</v>
      </c>
      <c r="B108" s="14" t="s">
        <v>3800</v>
      </c>
      <c r="C108" s="14" t="s">
        <v>3801</v>
      </c>
      <c r="D108" s="14" t="s">
        <v>2705</v>
      </c>
      <c r="E108" s="13" t="s">
        <v>298</v>
      </c>
      <c r="F108" s="14" t="s">
        <v>73</v>
      </c>
      <c r="G108" s="13" t="s">
        <v>315</v>
      </c>
      <c r="J108" s="14" t="s">
        <v>3802</v>
      </c>
      <c r="K108" s="16" t="s">
        <v>3803</v>
      </c>
      <c r="L108" s="14" t="s">
        <v>3804</v>
      </c>
      <c r="M108" s="44" t="s">
        <v>298</v>
      </c>
      <c r="N108" s="14" t="s">
        <v>3801</v>
      </c>
      <c r="O108" s="16" t="s">
        <v>3805</v>
      </c>
      <c r="P108" s="44">
        <v>2022.0</v>
      </c>
      <c r="Q108" s="44" t="s">
        <v>2926</v>
      </c>
      <c r="R108" s="14" t="s">
        <v>2927</v>
      </c>
      <c r="S108" s="44" t="s">
        <v>1805</v>
      </c>
      <c r="T108" s="44" t="s">
        <v>2928</v>
      </c>
      <c r="U108" s="44" t="s">
        <v>59</v>
      </c>
      <c r="V108" s="45">
        <v>5.0</v>
      </c>
      <c r="Z108" s="47" t="s">
        <v>420</v>
      </c>
      <c r="AA108" s="47" t="s">
        <v>2833</v>
      </c>
      <c r="AB108" s="47" t="s">
        <v>2741</v>
      </c>
      <c r="AC108" s="47" t="s">
        <v>63</v>
      </c>
      <c r="AD108" s="47" t="s">
        <v>423</v>
      </c>
      <c r="AF108" s="79" t="s">
        <v>2957</v>
      </c>
      <c r="AG108" s="16" t="s">
        <v>2929</v>
      </c>
      <c r="AH108" s="14" t="s">
        <v>3761</v>
      </c>
      <c r="AI108" s="74" t="s">
        <v>3806</v>
      </c>
      <c r="AJ108" s="74" t="s">
        <v>3807</v>
      </c>
      <c r="AK108" s="16" t="s">
        <v>70</v>
      </c>
    </row>
    <row r="109" ht="12.75" customHeight="1">
      <c r="A109" s="61">
        <v>107.0</v>
      </c>
      <c r="B109" s="14" t="s">
        <v>3808</v>
      </c>
      <c r="C109" s="14" t="s">
        <v>3809</v>
      </c>
      <c r="D109" s="14" t="s">
        <v>2705</v>
      </c>
      <c r="E109" s="13" t="s">
        <v>298</v>
      </c>
      <c r="F109" s="14" t="s">
        <v>73</v>
      </c>
      <c r="G109" s="13" t="s">
        <v>315</v>
      </c>
      <c r="J109" s="14" t="s">
        <v>3810</v>
      </c>
      <c r="K109" s="16" t="s">
        <v>3811</v>
      </c>
      <c r="L109" s="14" t="s">
        <v>3812</v>
      </c>
      <c r="M109" s="44" t="s">
        <v>298</v>
      </c>
      <c r="N109" s="14" t="s">
        <v>3809</v>
      </c>
      <c r="O109" s="16" t="s">
        <v>3813</v>
      </c>
      <c r="P109" s="44">
        <v>2020.0</v>
      </c>
      <c r="Q109" s="44" t="s">
        <v>3435</v>
      </c>
      <c r="R109" s="14" t="s">
        <v>3436</v>
      </c>
      <c r="S109" s="44" t="s">
        <v>1805</v>
      </c>
      <c r="T109" s="44" t="s">
        <v>2928</v>
      </c>
      <c r="U109" s="44" t="s">
        <v>59</v>
      </c>
      <c r="V109" s="45">
        <v>5.0</v>
      </c>
      <c r="Z109" s="47" t="s">
        <v>420</v>
      </c>
      <c r="AA109" s="47" t="s">
        <v>2833</v>
      </c>
      <c r="AB109" s="47" t="s">
        <v>2741</v>
      </c>
      <c r="AC109" s="47" t="s">
        <v>63</v>
      </c>
      <c r="AD109" s="47" t="s">
        <v>423</v>
      </c>
      <c r="AF109" s="79" t="s">
        <v>158</v>
      </c>
      <c r="AG109" s="16" t="s">
        <v>3076</v>
      </c>
      <c r="AH109" s="14" t="s">
        <v>3814</v>
      </c>
      <c r="AI109" s="74" t="s">
        <v>3815</v>
      </c>
      <c r="AJ109" s="74" t="s">
        <v>3816</v>
      </c>
      <c r="AK109" s="16" t="s">
        <v>70</v>
      </c>
    </row>
    <row r="110" ht="12.75" customHeight="1">
      <c r="A110" s="61">
        <v>108.0</v>
      </c>
      <c r="B110" s="14" t="s">
        <v>3817</v>
      </c>
      <c r="C110" s="14" t="s">
        <v>3818</v>
      </c>
      <c r="D110" s="14" t="s">
        <v>2705</v>
      </c>
      <c r="E110" s="13" t="s">
        <v>298</v>
      </c>
      <c r="F110" s="14" t="s">
        <v>73</v>
      </c>
      <c r="G110" s="13" t="s">
        <v>315</v>
      </c>
      <c r="J110" s="14" t="s">
        <v>3819</v>
      </c>
      <c r="K110" s="16" t="s">
        <v>3820</v>
      </c>
      <c r="L110" s="14" t="s">
        <v>3821</v>
      </c>
      <c r="M110" s="44" t="s">
        <v>298</v>
      </c>
      <c r="N110" s="14" t="s">
        <v>3818</v>
      </c>
      <c r="O110" s="16" t="s">
        <v>3822</v>
      </c>
      <c r="P110" s="44">
        <v>2022.0</v>
      </c>
      <c r="Q110" s="44" t="s">
        <v>2926</v>
      </c>
      <c r="R110" s="14" t="s">
        <v>2927</v>
      </c>
      <c r="S110" s="44" t="s">
        <v>1805</v>
      </c>
      <c r="T110" s="44" t="s">
        <v>2928</v>
      </c>
      <c r="U110" s="44" t="s">
        <v>59</v>
      </c>
      <c r="V110" s="45">
        <v>5.0</v>
      </c>
      <c r="Z110" s="47" t="s">
        <v>420</v>
      </c>
      <c r="AA110" s="47" t="s">
        <v>2833</v>
      </c>
      <c r="AB110" s="47" t="s">
        <v>2741</v>
      </c>
      <c r="AC110" s="47" t="s">
        <v>63</v>
      </c>
      <c r="AD110" s="47" t="s">
        <v>423</v>
      </c>
      <c r="AF110" s="79" t="s">
        <v>64</v>
      </c>
      <c r="AG110" s="16" t="s">
        <v>2729</v>
      </c>
      <c r="AH110" s="14" t="s">
        <v>3761</v>
      </c>
      <c r="AI110" s="74" t="s">
        <v>2575</v>
      </c>
      <c r="AJ110" s="74" t="s">
        <v>2576</v>
      </c>
      <c r="AK110" s="16" t="s">
        <v>70</v>
      </c>
    </row>
    <row r="111" ht="12.75" customHeight="1">
      <c r="A111" s="61">
        <v>109.0</v>
      </c>
      <c r="B111" s="14" t="s">
        <v>3823</v>
      </c>
      <c r="C111" s="14" t="s">
        <v>3824</v>
      </c>
      <c r="D111" s="14" t="s">
        <v>2705</v>
      </c>
      <c r="E111" s="13" t="s">
        <v>298</v>
      </c>
      <c r="F111" s="14" t="s">
        <v>73</v>
      </c>
      <c r="G111" s="13" t="s">
        <v>315</v>
      </c>
      <c r="J111" s="14" t="s">
        <v>3825</v>
      </c>
      <c r="K111" s="16" t="s">
        <v>3826</v>
      </c>
      <c r="L111" s="14" t="s">
        <v>3827</v>
      </c>
      <c r="M111" s="44" t="s">
        <v>298</v>
      </c>
      <c r="N111" s="14" t="s">
        <v>3824</v>
      </c>
      <c r="O111" s="16" t="s">
        <v>3828</v>
      </c>
      <c r="P111" s="44">
        <v>2022.0</v>
      </c>
      <c r="Q111" s="44" t="s">
        <v>3135</v>
      </c>
      <c r="R111" s="14" t="s">
        <v>3136</v>
      </c>
      <c r="S111" s="44" t="s">
        <v>1805</v>
      </c>
      <c r="T111" s="44" t="s">
        <v>2928</v>
      </c>
      <c r="U111" s="44" t="s">
        <v>59</v>
      </c>
      <c r="V111" s="45">
        <v>5.0</v>
      </c>
      <c r="Z111" s="47" t="s">
        <v>420</v>
      </c>
      <c r="AA111" s="47" t="s">
        <v>2833</v>
      </c>
      <c r="AB111" s="47" t="s">
        <v>2741</v>
      </c>
      <c r="AC111" s="47" t="s">
        <v>63</v>
      </c>
      <c r="AD111" s="47" t="s">
        <v>423</v>
      </c>
      <c r="AF111" s="79" t="s">
        <v>158</v>
      </c>
      <c r="AG111" s="16" t="s">
        <v>3076</v>
      </c>
      <c r="AH111" s="14" t="s">
        <v>3829</v>
      </c>
      <c r="AI111" s="74" t="s">
        <v>3722</v>
      </c>
      <c r="AJ111" s="74" t="s">
        <v>3723</v>
      </c>
      <c r="AK111" s="16" t="s">
        <v>70</v>
      </c>
    </row>
    <row r="112" ht="12.75" customHeight="1">
      <c r="A112" s="61">
        <v>110.0</v>
      </c>
      <c r="B112" s="14" t="s">
        <v>3830</v>
      </c>
      <c r="C112" s="14" t="s">
        <v>3831</v>
      </c>
      <c r="D112" s="14" t="s">
        <v>2705</v>
      </c>
      <c r="E112" s="13" t="s">
        <v>298</v>
      </c>
      <c r="F112" s="14" t="s">
        <v>73</v>
      </c>
      <c r="G112" s="13" t="s">
        <v>315</v>
      </c>
      <c r="J112" s="14" t="s">
        <v>3832</v>
      </c>
      <c r="K112" s="16" t="s">
        <v>3833</v>
      </c>
      <c r="L112" s="14" t="s">
        <v>3834</v>
      </c>
      <c r="M112" s="44" t="s">
        <v>298</v>
      </c>
      <c r="N112" s="14" t="s">
        <v>3831</v>
      </c>
      <c r="O112" s="16" t="s">
        <v>3835</v>
      </c>
      <c r="P112" s="44">
        <v>2020.0</v>
      </c>
      <c r="Q112" s="44" t="s">
        <v>2926</v>
      </c>
      <c r="R112" s="14" t="s">
        <v>2927</v>
      </c>
      <c r="S112" s="44" t="s">
        <v>1805</v>
      </c>
      <c r="T112" s="44" t="s">
        <v>2928</v>
      </c>
      <c r="U112" s="44" t="s">
        <v>59</v>
      </c>
      <c r="V112" s="45">
        <v>5.0</v>
      </c>
      <c r="Z112" s="47" t="s">
        <v>420</v>
      </c>
      <c r="AA112" s="47" t="s">
        <v>2833</v>
      </c>
      <c r="AB112" s="47" t="s">
        <v>2741</v>
      </c>
      <c r="AC112" s="47" t="s">
        <v>63</v>
      </c>
      <c r="AD112" s="47" t="s">
        <v>423</v>
      </c>
      <c r="AF112" s="79" t="s">
        <v>64</v>
      </c>
      <c r="AG112" s="16" t="s">
        <v>2729</v>
      </c>
      <c r="AH112" s="14" t="s">
        <v>3836</v>
      </c>
      <c r="AI112" s="74" t="s">
        <v>3837</v>
      </c>
      <c r="AJ112" s="74" t="s">
        <v>3838</v>
      </c>
      <c r="AK112" s="16" t="s">
        <v>70</v>
      </c>
    </row>
    <row r="113" ht="12.75" customHeight="1">
      <c r="A113" s="61">
        <v>111.0</v>
      </c>
      <c r="B113" s="14" t="s">
        <v>3839</v>
      </c>
      <c r="C113" s="14" t="s">
        <v>3840</v>
      </c>
      <c r="D113" s="14" t="s">
        <v>3639</v>
      </c>
      <c r="E113" s="13" t="s">
        <v>298</v>
      </c>
      <c r="F113" s="14" t="s">
        <v>73</v>
      </c>
      <c r="G113" s="13" t="s">
        <v>315</v>
      </c>
      <c r="J113" s="14" t="s">
        <v>3841</v>
      </c>
      <c r="K113" s="16" t="s">
        <v>3839</v>
      </c>
      <c r="L113" s="14" t="s">
        <v>3842</v>
      </c>
      <c r="M113" s="44" t="s">
        <v>298</v>
      </c>
      <c r="N113" s="14" t="s">
        <v>3840</v>
      </c>
      <c r="O113" s="16" t="s">
        <v>3843</v>
      </c>
      <c r="P113" s="44">
        <v>2025.0</v>
      </c>
      <c r="Q113" s="44" t="s">
        <v>3844</v>
      </c>
      <c r="R113" s="14" t="s">
        <v>3845</v>
      </c>
      <c r="S113" s="44" t="s">
        <v>1805</v>
      </c>
      <c r="T113" s="44" t="s">
        <v>2928</v>
      </c>
      <c r="U113" s="44" t="s">
        <v>59</v>
      </c>
      <c r="V113" s="45">
        <v>5.0</v>
      </c>
      <c r="Z113" s="47" t="s">
        <v>420</v>
      </c>
      <c r="AA113" s="16" t="s">
        <v>3645</v>
      </c>
      <c r="AB113" s="47" t="s">
        <v>2741</v>
      </c>
      <c r="AC113" s="47" t="s">
        <v>63</v>
      </c>
      <c r="AD113" s="47" t="s">
        <v>423</v>
      </c>
      <c r="AF113" s="79" t="s">
        <v>64</v>
      </c>
      <c r="AG113" s="16" t="s">
        <v>2758</v>
      </c>
      <c r="AH113" s="14" t="s">
        <v>3846</v>
      </c>
      <c r="AI113" s="74" t="s">
        <v>3847</v>
      </c>
      <c r="AJ113" s="74" t="s">
        <v>3848</v>
      </c>
      <c r="AK113" s="16" t="s">
        <v>70</v>
      </c>
    </row>
    <row r="114" ht="12.75" customHeight="1">
      <c r="A114" s="61">
        <v>112.0</v>
      </c>
      <c r="B114" s="14" t="s">
        <v>3849</v>
      </c>
      <c r="C114" s="14" t="s">
        <v>3850</v>
      </c>
      <c r="D114" s="14" t="s">
        <v>3851</v>
      </c>
      <c r="E114" s="13" t="s">
        <v>298</v>
      </c>
      <c r="F114" s="14" t="s">
        <v>73</v>
      </c>
      <c r="G114" s="13" t="s">
        <v>315</v>
      </c>
      <c r="J114" s="14" t="s">
        <v>3852</v>
      </c>
      <c r="K114" s="16" t="s">
        <v>3849</v>
      </c>
      <c r="L114" s="14" t="s">
        <v>3853</v>
      </c>
      <c r="M114" s="44" t="s">
        <v>298</v>
      </c>
      <c r="N114" s="14" t="s">
        <v>3850</v>
      </c>
      <c r="O114" s="16" t="s">
        <v>3854</v>
      </c>
      <c r="P114" s="44">
        <v>2022.0</v>
      </c>
      <c r="Q114" s="44" t="s">
        <v>3855</v>
      </c>
      <c r="R114" s="14" t="s">
        <v>3856</v>
      </c>
      <c r="S114" s="44" t="s">
        <v>1805</v>
      </c>
      <c r="T114" s="44" t="s">
        <v>2928</v>
      </c>
      <c r="U114" s="44" t="s">
        <v>59</v>
      </c>
      <c r="V114" s="45">
        <v>5.0</v>
      </c>
      <c r="Z114" s="47" t="s">
        <v>420</v>
      </c>
      <c r="AA114" s="16" t="s">
        <v>3857</v>
      </c>
      <c r="AB114" s="47" t="s">
        <v>2741</v>
      </c>
      <c r="AC114" s="47" t="s">
        <v>63</v>
      </c>
      <c r="AD114" s="47" t="s">
        <v>423</v>
      </c>
      <c r="AF114" s="79" t="s">
        <v>2957</v>
      </c>
      <c r="AG114" s="16" t="s">
        <v>2929</v>
      </c>
      <c r="AH114" s="14" t="s">
        <v>3858</v>
      </c>
      <c r="AI114" s="74" t="s">
        <v>3859</v>
      </c>
      <c r="AJ114" s="74" t="s">
        <v>3195</v>
      </c>
      <c r="AK114" s="16" t="s">
        <v>70</v>
      </c>
    </row>
    <row r="115" ht="12.75" customHeight="1">
      <c r="A115" s="61">
        <v>113.0</v>
      </c>
      <c r="B115" s="14" t="s">
        <v>3860</v>
      </c>
      <c r="C115" s="14" t="s">
        <v>3861</v>
      </c>
      <c r="D115" s="14" t="s">
        <v>3851</v>
      </c>
      <c r="E115" s="13" t="s">
        <v>298</v>
      </c>
      <c r="F115" s="14" t="s">
        <v>73</v>
      </c>
      <c r="G115" s="13" t="s">
        <v>315</v>
      </c>
      <c r="J115" s="14" t="s">
        <v>3862</v>
      </c>
      <c r="K115" s="16" t="s">
        <v>3863</v>
      </c>
      <c r="L115" s="14" t="s">
        <v>3864</v>
      </c>
      <c r="M115" s="44" t="s">
        <v>298</v>
      </c>
      <c r="N115" s="14" t="s">
        <v>3861</v>
      </c>
      <c r="O115" s="16" t="s">
        <v>3865</v>
      </c>
      <c r="P115" s="44">
        <v>2022.0</v>
      </c>
      <c r="Q115" s="44" t="s">
        <v>3686</v>
      </c>
      <c r="R115" s="14" t="s">
        <v>3687</v>
      </c>
      <c r="S115" s="44" t="s">
        <v>1805</v>
      </c>
      <c r="T115" s="44" t="s">
        <v>2928</v>
      </c>
      <c r="U115" s="44" t="s">
        <v>59</v>
      </c>
      <c r="V115" s="45">
        <v>5.0</v>
      </c>
      <c r="Z115" s="47" t="s">
        <v>420</v>
      </c>
      <c r="AA115" s="16" t="s">
        <v>3857</v>
      </c>
      <c r="AB115" s="47" t="s">
        <v>2741</v>
      </c>
      <c r="AC115" s="47" t="s">
        <v>63</v>
      </c>
      <c r="AD115" s="47" t="s">
        <v>423</v>
      </c>
      <c r="AF115" s="79" t="s">
        <v>2957</v>
      </c>
      <c r="AG115" s="16" t="s">
        <v>2929</v>
      </c>
      <c r="AH115" s="14" t="s">
        <v>3866</v>
      </c>
      <c r="AI115" s="74" t="s">
        <v>3867</v>
      </c>
      <c r="AJ115" s="74" t="s">
        <v>3868</v>
      </c>
      <c r="AK115" s="16" t="s">
        <v>70</v>
      </c>
    </row>
    <row r="116" ht="12.75" customHeight="1">
      <c r="A116" s="61">
        <v>114.0</v>
      </c>
      <c r="B116" s="14" t="s">
        <v>3869</v>
      </c>
      <c r="C116" s="14" t="s">
        <v>3870</v>
      </c>
      <c r="D116" s="14" t="s">
        <v>2705</v>
      </c>
      <c r="E116" s="13" t="s">
        <v>298</v>
      </c>
      <c r="F116" s="14" t="s">
        <v>73</v>
      </c>
      <c r="G116" s="13" t="s">
        <v>315</v>
      </c>
      <c r="J116" s="14" t="s">
        <v>3871</v>
      </c>
      <c r="K116" s="16" t="s">
        <v>3872</v>
      </c>
      <c r="L116" s="14" t="s">
        <v>3873</v>
      </c>
      <c r="M116" s="44" t="s">
        <v>298</v>
      </c>
      <c r="N116" s="14" t="s">
        <v>3870</v>
      </c>
      <c r="O116" s="16" t="s">
        <v>3874</v>
      </c>
      <c r="P116" s="44">
        <v>2019.0</v>
      </c>
      <c r="Q116" s="44" t="s">
        <v>2988</v>
      </c>
      <c r="R116" s="14" t="s">
        <v>2989</v>
      </c>
      <c r="S116" s="44" t="s">
        <v>1805</v>
      </c>
      <c r="T116" s="44" t="s">
        <v>2928</v>
      </c>
      <c r="U116" s="44" t="s">
        <v>59</v>
      </c>
      <c r="V116" s="45">
        <v>5.0</v>
      </c>
      <c r="Z116" s="47" t="s">
        <v>420</v>
      </c>
      <c r="AA116" s="47" t="s">
        <v>2833</v>
      </c>
      <c r="AB116" s="47" t="s">
        <v>2741</v>
      </c>
      <c r="AC116" s="47" t="s">
        <v>63</v>
      </c>
      <c r="AD116" s="47" t="s">
        <v>423</v>
      </c>
      <c r="AF116" s="79" t="s">
        <v>2957</v>
      </c>
      <c r="AG116" s="16" t="s">
        <v>2929</v>
      </c>
      <c r="AH116" s="14" t="s">
        <v>3875</v>
      </c>
      <c r="AI116" s="74" t="s">
        <v>3876</v>
      </c>
      <c r="AJ116" s="74" t="s">
        <v>3877</v>
      </c>
      <c r="AK116" s="16" t="s">
        <v>70</v>
      </c>
    </row>
    <row r="117" ht="12.75" customHeight="1">
      <c r="A117" s="61">
        <v>115.0</v>
      </c>
      <c r="B117" s="14" t="s">
        <v>3878</v>
      </c>
      <c r="C117" s="14" t="s">
        <v>3879</v>
      </c>
      <c r="D117" s="14" t="s">
        <v>2705</v>
      </c>
      <c r="E117" s="13" t="s">
        <v>298</v>
      </c>
      <c r="F117" s="14" t="s">
        <v>73</v>
      </c>
      <c r="G117" s="13" t="s">
        <v>315</v>
      </c>
      <c r="J117" s="14" t="s">
        <v>3880</v>
      </c>
      <c r="K117" s="16" t="s">
        <v>3881</v>
      </c>
      <c r="L117" s="14" t="s">
        <v>3882</v>
      </c>
      <c r="M117" s="44" t="s">
        <v>298</v>
      </c>
      <c r="N117" s="14" t="s">
        <v>3879</v>
      </c>
      <c r="O117" s="16" t="s">
        <v>3883</v>
      </c>
      <c r="P117" s="44">
        <v>2021.0</v>
      </c>
      <c r="Q117" s="44" t="s">
        <v>3233</v>
      </c>
      <c r="R117" s="14" t="s">
        <v>3234</v>
      </c>
      <c r="S117" s="44" t="s">
        <v>1805</v>
      </c>
      <c r="T117" s="44" t="s">
        <v>2928</v>
      </c>
      <c r="U117" s="44" t="s">
        <v>59</v>
      </c>
      <c r="V117" s="45">
        <v>5.0</v>
      </c>
      <c r="Z117" s="47" t="s">
        <v>420</v>
      </c>
      <c r="AA117" s="47" t="s">
        <v>2833</v>
      </c>
      <c r="AB117" s="47" t="s">
        <v>2741</v>
      </c>
      <c r="AC117" s="47" t="s">
        <v>63</v>
      </c>
      <c r="AD117" s="47" t="s">
        <v>423</v>
      </c>
      <c r="AF117" s="79" t="s">
        <v>64</v>
      </c>
      <c r="AG117" s="16" t="s">
        <v>435</v>
      </c>
      <c r="AH117" s="14" t="s">
        <v>3884</v>
      </c>
      <c r="AI117" s="74" t="s">
        <v>2294</v>
      </c>
      <c r="AJ117" s="74" t="s">
        <v>3885</v>
      </c>
      <c r="AK117" s="16" t="s">
        <v>70</v>
      </c>
    </row>
    <row r="118" ht="12.75" customHeight="1">
      <c r="A118" s="61">
        <v>116.0</v>
      </c>
      <c r="B118" s="14" t="s">
        <v>3886</v>
      </c>
      <c r="C118" s="14" t="s">
        <v>3887</v>
      </c>
      <c r="D118" s="14" t="s">
        <v>2705</v>
      </c>
      <c r="E118" s="13" t="s">
        <v>298</v>
      </c>
      <c r="F118" s="14" t="s">
        <v>73</v>
      </c>
      <c r="G118" s="13" t="s">
        <v>315</v>
      </c>
      <c r="J118" s="14" t="s">
        <v>3888</v>
      </c>
      <c r="K118" s="16" t="s">
        <v>3889</v>
      </c>
      <c r="L118" s="14" t="s">
        <v>3890</v>
      </c>
      <c r="M118" s="44" t="s">
        <v>298</v>
      </c>
      <c r="N118" s="14" t="s">
        <v>3887</v>
      </c>
      <c r="O118" s="16" t="s">
        <v>3891</v>
      </c>
      <c r="P118" s="44">
        <v>2006.0</v>
      </c>
      <c r="Q118" s="44" t="s">
        <v>3892</v>
      </c>
      <c r="R118" s="14" t="s">
        <v>3371</v>
      </c>
      <c r="S118" s="44" t="s">
        <v>1805</v>
      </c>
      <c r="T118" s="44" t="s">
        <v>2928</v>
      </c>
      <c r="U118" s="44" t="s">
        <v>59</v>
      </c>
      <c r="V118" s="45">
        <v>5.0</v>
      </c>
      <c r="Z118" s="47" t="s">
        <v>420</v>
      </c>
      <c r="AA118" s="47" t="s">
        <v>2833</v>
      </c>
      <c r="AB118" s="47" t="s">
        <v>2741</v>
      </c>
      <c r="AC118" s="47" t="s">
        <v>63</v>
      </c>
      <c r="AD118" s="47" t="s">
        <v>423</v>
      </c>
      <c r="AF118" s="79" t="s">
        <v>2957</v>
      </c>
      <c r="AG118" s="16" t="s">
        <v>2929</v>
      </c>
      <c r="AH118" s="14" t="s">
        <v>3893</v>
      </c>
      <c r="AI118" s="74" t="s">
        <v>3894</v>
      </c>
      <c r="AJ118" s="74" t="s">
        <v>3895</v>
      </c>
      <c r="AK118" s="16" t="s">
        <v>70</v>
      </c>
    </row>
    <row r="119" ht="12.75" customHeight="1">
      <c r="A119" s="61">
        <v>117.0</v>
      </c>
      <c r="B119" s="14" t="s">
        <v>3896</v>
      </c>
      <c r="C119" s="14" t="s">
        <v>3897</v>
      </c>
      <c r="D119" s="14" t="s">
        <v>2705</v>
      </c>
      <c r="E119" s="13" t="s">
        <v>298</v>
      </c>
      <c r="F119" s="14" t="s">
        <v>73</v>
      </c>
      <c r="G119" s="13" t="s">
        <v>315</v>
      </c>
      <c r="J119" s="14" t="s">
        <v>3898</v>
      </c>
      <c r="K119" s="16" t="s">
        <v>3899</v>
      </c>
      <c r="L119" s="14" t="s">
        <v>3900</v>
      </c>
      <c r="M119" s="44" t="s">
        <v>298</v>
      </c>
      <c r="N119" s="14" t="s">
        <v>3897</v>
      </c>
      <c r="O119" s="16" t="s">
        <v>3901</v>
      </c>
      <c r="P119" s="44">
        <v>2008.0</v>
      </c>
      <c r="Q119" s="44" t="s">
        <v>3001</v>
      </c>
      <c r="R119" s="14" t="s">
        <v>3002</v>
      </c>
      <c r="S119" s="44" t="s">
        <v>1805</v>
      </c>
      <c r="T119" s="44" t="s">
        <v>2928</v>
      </c>
      <c r="U119" s="44" t="s">
        <v>59</v>
      </c>
      <c r="V119" s="45">
        <v>5.0</v>
      </c>
      <c r="Z119" s="47" t="s">
        <v>420</v>
      </c>
      <c r="AA119" s="47" t="s">
        <v>2833</v>
      </c>
      <c r="AB119" s="47" t="s">
        <v>2741</v>
      </c>
      <c r="AC119" s="47" t="s">
        <v>63</v>
      </c>
      <c r="AD119" s="47" t="s">
        <v>423</v>
      </c>
      <c r="AF119" s="79" t="s">
        <v>2957</v>
      </c>
      <c r="AG119" s="16" t="s">
        <v>2929</v>
      </c>
      <c r="AH119" s="14" t="s">
        <v>3902</v>
      </c>
      <c r="AI119" s="74" t="s">
        <v>3903</v>
      </c>
      <c r="AJ119" s="74" t="s">
        <v>3904</v>
      </c>
      <c r="AK119" s="16" t="s">
        <v>70</v>
      </c>
    </row>
    <row r="120" ht="12.75" customHeight="1">
      <c r="A120" s="61">
        <v>118.0</v>
      </c>
      <c r="B120" s="14" t="s">
        <v>3905</v>
      </c>
      <c r="C120" s="14" t="s">
        <v>3906</v>
      </c>
      <c r="D120" s="14" t="s">
        <v>2705</v>
      </c>
      <c r="E120" s="13" t="s">
        <v>298</v>
      </c>
      <c r="F120" s="14" t="s">
        <v>73</v>
      </c>
      <c r="G120" s="13" t="s">
        <v>315</v>
      </c>
      <c r="J120" s="14" t="s">
        <v>3907</v>
      </c>
      <c r="K120" s="16" t="s">
        <v>3908</v>
      </c>
      <c r="L120" s="14" t="s">
        <v>3909</v>
      </c>
      <c r="M120" s="44" t="s">
        <v>298</v>
      </c>
      <c r="N120" s="14" t="s">
        <v>3906</v>
      </c>
      <c r="O120" s="16" t="s">
        <v>3910</v>
      </c>
      <c r="P120" s="44">
        <v>1997.0</v>
      </c>
      <c r="Q120" s="44" t="s">
        <v>3001</v>
      </c>
      <c r="R120" s="14" t="s">
        <v>3002</v>
      </c>
      <c r="S120" s="44" t="s">
        <v>1805</v>
      </c>
      <c r="T120" s="44" t="s">
        <v>2928</v>
      </c>
      <c r="U120" s="44" t="s">
        <v>59</v>
      </c>
      <c r="V120" s="45">
        <v>5.0</v>
      </c>
      <c r="Z120" s="47" t="s">
        <v>420</v>
      </c>
      <c r="AA120" s="47" t="s">
        <v>2833</v>
      </c>
      <c r="AB120" s="47" t="s">
        <v>2741</v>
      </c>
      <c r="AC120" s="47" t="s">
        <v>63</v>
      </c>
      <c r="AD120" s="47" t="s">
        <v>423</v>
      </c>
      <c r="AF120" s="79" t="s">
        <v>158</v>
      </c>
      <c r="AG120" s="16" t="s">
        <v>3045</v>
      </c>
      <c r="AH120" s="14" t="s">
        <v>3911</v>
      </c>
      <c r="AI120" s="74" t="s">
        <v>3912</v>
      </c>
      <c r="AJ120" s="74" t="s">
        <v>3913</v>
      </c>
      <c r="AK120" s="16" t="s">
        <v>70</v>
      </c>
    </row>
    <row r="121" ht="12.75" customHeight="1">
      <c r="A121" s="61">
        <v>119.0</v>
      </c>
      <c r="B121" s="14" t="s">
        <v>3914</v>
      </c>
      <c r="C121" s="14" t="s">
        <v>3915</v>
      </c>
      <c r="D121" s="14" t="s">
        <v>2705</v>
      </c>
      <c r="E121" s="13" t="s">
        <v>298</v>
      </c>
      <c r="F121" s="14" t="s">
        <v>73</v>
      </c>
      <c r="G121" s="13" t="s">
        <v>315</v>
      </c>
      <c r="J121" s="14" t="s">
        <v>3916</v>
      </c>
      <c r="K121" s="16" t="s">
        <v>3917</v>
      </c>
      <c r="L121" s="14" t="s">
        <v>3918</v>
      </c>
      <c r="M121" s="44" t="s">
        <v>298</v>
      </c>
      <c r="N121" s="14" t="s">
        <v>3915</v>
      </c>
      <c r="O121" s="16" t="s">
        <v>3919</v>
      </c>
      <c r="P121" s="44">
        <v>2019.0</v>
      </c>
      <c r="Q121" s="44" t="s">
        <v>2926</v>
      </c>
      <c r="R121" s="14" t="s">
        <v>2927</v>
      </c>
      <c r="S121" s="44" t="s">
        <v>1805</v>
      </c>
      <c r="T121" s="44" t="s">
        <v>2928</v>
      </c>
      <c r="U121" s="44" t="s">
        <v>59</v>
      </c>
      <c r="V121" s="45">
        <v>5.0</v>
      </c>
      <c r="Z121" s="47" t="s">
        <v>420</v>
      </c>
      <c r="AA121" s="47" t="s">
        <v>2833</v>
      </c>
      <c r="AB121" s="47" t="s">
        <v>2741</v>
      </c>
      <c r="AC121" s="47" t="s">
        <v>63</v>
      </c>
      <c r="AD121" s="47" t="s">
        <v>423</v>
      </c>
      <c r="AF121" s="79" t="s">
        <v>64</v>
      </c>
      <c r="AG121" s="16" t="s">
        <v>2729</v>
      </c>
      <c r="AH121" s="14" t="s">
        <v>3920</v>
      </c>
      <c r="AI121" s="74" t="s">
        <v>3921</v>
      </c>
      <c r="AJ121" s="74" t="s">
        <v>3922</v>
      </c>
      <c r="AK121" s="16" t="s">
        <v>70</v>
      </c>
    </row>
    <row r="122" ht="12.75" customHeight="1">
      <c r="A122" s="61">
        <v>120.0</v>
      </c>
      <c r="B122" s="14" t="s">
        <v>3923</v>
      </c>
      <c r="C122" s="14" t="s">
        <v>3924</v>
      </c>
      <c r="D122" s="14" t="s">
        <v>2705</v>
      </c>
      <c r="E122" s="13" t="s">
        <v>298</v>
      </c>
      <c r="F122" s="14" t="s">
        <v>73</v>
      </c>
      <c r="G122" s="13" t="s">
        <v>315</v>
      </c>
      <c r="J122" s="14" t="s">
        <v>3925</v>
      </c>
      <c r="K122" s="16" t="s">
        <v>3926</v>
      </c>
      <c r="L122" s="14" t="s">
        <v>3927</v>
      </c>
      <c r="M122" s="44" t="s">
        <v>298</v>
      </c>
      <c r="N122" s="14" t="s">
        <v>3924</v>
      </c>
      <c r="O122" s="16" t="s">
        <v>3928</v>
      </c>
      <c r="P122" s="44">
        <v>2013.0</v>
      </c>
      <c r="Q122" s="44" t="s">
        <v>3892</v>
      </c>
      <c r="R122" s="14" t="s">
        <v>3371</v>
      </c>
      <c r="S122" s="44" t="s">
        <v>1805</v>
      </c>
      <c r="T122" s="44" t="s">
        <v>2928</v>
      </c>
      <c r="U122" s="44" t="s">
        <v>59</v>
      </c>
      <c r="V122" s="45">
        <v>5.0</v>
      </c>
      <c r="Z122" s="47" t="s">
        <v>420</v>
      </c>
      <c r="AA122" s="47" t="s">
        <v>2833</v>
      </c>
      <c r="AB122" s="47" t="s">
        <v>2741</v>
      </c>
      <c r="AC122" s="47" t="s">
        <v>63</v>
      </c>
      <c r="AD122" s="47" t="s">
        <v>423</v>
      </c>
      <c r="AF122" s="79" t="s">
        <v>2957</v>
      </c>
      <c r="AG122" s="16" t="s">
        <v>2929</v>
      </c>
      <c r="AH122" s="14" t="s">
        <v>3929</v>
      </c>
      <c r="AI122" s="74" t="s">
        <v>3930</v>
      </c>
      <c r="AJ122" s="74" t="s">
        <v>3931</v>
      </c>
      <c r="AK122" s="16" t="s">
        <v>70</v>
      </c>
    </row>
    <row r="123" ht="12.75" customHeight="1">
      <c r="A123" s="61">
        <v>121.0</v>
      </c>
      <c r="B123" s="14" t="s">
        <v>3932</v>
      </c>
      <c r="C123" s="14" t="s">
        <v>3933</v>
      </c>
      <c r="D123" s="14" t="s">
        <v>2705</v>
      </c>
      <c r="E123" s="13" t="s">
        <v>298</v>
      </c>
      <c r="F123" s="14" t="s">
        <v>73</v>
      </c>
      <c r="G123" s="13" t="s">
        <v>315</v>
      </c>
      <c r="J123" s="14" t="s">
        <v>3934</v>
      </c>
      <c r="K123" s="16" t="s">
        <v>3935</v>
      </c>
      <c r="L123" s="14" t="s">
        <v>3936</v>
      </c>
      <c r="M123" s="44" t="s">
        <v>298</v>
      </c>
      <c r="N123" s="14" t="s">
        <v>3933</v>
      </c>
      <c r="O123" s="16" t="s">
        <v>3937</v>
      </c>
      <c r="P123" s="44">
        <v>2013.0</v>
      </c>
      <c r="Q123" s="44" t="s">
        <v>3001</v>
      </c>
      <c r="R123" s="14" t="s">
        <v>3002</v>
      </c>
      <c r="S123" s="44" t="s">
        <v>1805</v>
      </c>
      <c r="T123" s="44" t="s">
        <v>2928</v>
      </c>
      <c r="U123" s="44" t="s">
        <v>59</v>
      </c>
      <c r="V123" s="45">
        <v>5.0</v>
      </c>
      <c r="Z123" s="47" t="s">
        <v>420</v>
      </c>
      <c r="AA123" s="47" t="s">
        <v>2833</v>
      </c>
      <c r="AB123" s="47" t="s">
        <v>2741</v>
      </c>
      <c r="AC123" s="47" t="s">
        <v>63</v>
      </c>
      <c r="AD123" s="47" t="s">
        <v>423</v>
      </c>
      <c r="AF123" s="79" t="s">
        <v>2957</v>
      </c>
      <c r="AG123" s="16" t="s">
        <v>2929</v>
      </c>
      <c r="AH123" s="14" t="s">
        <v>3938</v>
      </c>
      <c r="AI123" s="74" t="s">
        <v>3939</v>
      </c>
      <c r="AJ123" s="74" t="s">
        <v>3940</v>
      </c>
      <c r="AK123" s="16" t="s">
        <v>70</v>
      </c>
    </row>
    <row r="124" ht="12.75" customHeight="1">
      <c r="A124" s="61">
        <v>122.0</v>
      </c>
      <c r="B124" s="14" t="s">
        <v>3941</v>
      </c>
      <c r="C124" s="14" t="s">
        <v>3942</v>
      </c>
      <c r="D124" s="14" t="s">
        <v>2705</v>
      </c>
      <c r="E124" s="13" t="s">
        <v>298</v>
      </c>
      <c r="F124" s="14" t="s">
        <v>73</v>
      </c>
      <c r="G124" s="13" t="s">
        <v>315</v>
      </c>
      <c r="J124" s="14" t="s">
        <v>3943</v>
      </c>
      <c r="K124" s="16" t="s">
        <v>3944</v>
      </c>
      <c r="L124" s="14" t="s">
        <v>3945</v>
      </c>
      <c r="M124" s="44" t="s">
        <v>298</v>
      </c>
      <c r="N124" s="14" t="s">
        <v>3942</v>
      </c>
      <c r="O124" s="16" t="s">
        <v>3946</v>
      </c>
      <c r="P124" s="44">
        <v>2022.0</v>
      </c>
      <c r="Q124" s="44" t="s">
        <v>3001</v>
      </c>
      <c r="R124" s="14" t="s">
        <v>3002</v>
      </c>
      <c r="S124" s="44" t="s">
        <v>1805</v>
      </c>
      <c r="T124" s="44" t="s">
        <v>2928</v>
      </c>
      <c r="U124" s="44" t="s">
        <v>59</v>
      </c>
      <c r="V124" s="45">
        <v>5.0</v>
      </c>
      <c r="Z124" s="47" t="s">
        <v>420</v>
      </c>
      <c r="AA124" s="47" t="s">
        <v>2833</v>
      </c>
      <c r="AB124" s="47" t="s">
        <v>2741</v>
      </c>
      <c r="AC124" s="47" t="s">
        <v>63</v>
      </c>
      <c r="AD124" s="47" t="s">
        <v>423</v>
      </c>
      <c r="AF124" s="79" t="s">
        <v>158</v>
      </c>
      <c r="AG124" s="16" t="s">
        <v>3062</v>
      </c>
      <c r="AH124" s="14" t="s">
        <v>3938</v>
      </c>
      <c r="AI124" s="74" t="s">
        <v>3947</v>
      </c>
      <c r="AJ124" s="74" t="s">
        <v>3948</v>
      </c>
      <c r="AK124" s="16" t="s">
        <v>70</v>
      </c>
    </row>
    <row r="125" ht="12.75" customHeight="1">
      <c r="A125" s="61">
        <v>123.0</v>
      </c>
      <c r="B125" s="14" t="s">
        <v>3949</v>
      </c>
      <c r="C125" s="14" t="s">
        <v>3950</v>
      </c>
      <c r="D125" s="14" t="s">
        <v>2705</v>
      </c>
      <c r="E125" s="13" t="s">
        <v>298</v>
      </c>
      <c r="F125" s="14" t="s">
        <v>73</v>
      </c>
      <c r="G125" s="13" t="s">
        <v>315</v>
      </c>
      <c r="J125" s="14" t="s">
        <v>3951</v>
      </c>
      <c r="K125" s="16" t="s">
        <v>3952</v>
      </c>
      <c r="L125" s="14" t="s">
        <v>3953</v>
      </c>
      <c r="M125" s="44" t="s">
        <v>298</v>
      </c>
      <c r="N125" s="14" t="s">
        <v>3950</v>
      </c>
      <c r="O125" s="16" t="s">
        <v>3954</v>
      </c>
      <c r="P125" s="44">
        <v>2004.0</v>
      </c>
      <c r="Q125" s="44" t="s">
        <v>2926</v>
      </c>
      <c r="R125" s="14" t="s">
        <v>2927</v>
      </c>
      <c r="S125" s="44" t="s">
        <v>1805</v>
      </c>
      <c r="T125" s="44" t="s">
        <v>2928</v>
      </c>
      <c r="U125" s="44" t="s">
        <v>59</v>
      </c>
      <c r="V125" s="45">
        <v>5.0</v>
      </c>
      <c r="Z125" s="47" t="s">
        <v>420</v>
      </c>
      <c r="AA125" s="47" t="s">
        <v>2833</v>
      </c>
      <c r="AB125" s="47" t="s">
        <v>2741</v>
      </c>
      <c r="AC125" s="47" t="s">
        <v>63</v>
      </c>
      <c r="AD125" s="47" t="s">
        <v>423</v>
      </c>
      <c r="AF125" s="79" t="s">
        <v>2957</v>
      </c>
      <c r="AG125" s="16" t="s">
        <v>2929</v>
      </c>
      <c r="AH125" s="14" t="s">
        <v>3955</v>
      </c>
      <c r="AI125" s="74" t="s">
        <v>3956</v>
      </c>
      <c r="AJ125" s="74" t="s">
        <v>3957</v>
      </c>
      <c r="AK125" s="16" t="s">
        <v>70</v>
      </c>
    </row>
    <row r="126" ht="12.75" customHeight="1">
      <c r="A126" s="61">
        <v>124.0</v>
      </c>
      <c r="B126" s="14" t="s">
        <v>3958</v>
      </c>
      <c r="C126" s="14" t="s">
        <v>3959</v>
      </c>
      <c r="D126" s="14" t="s">
        <v>2705</v>
      </c>
      <c r="E126" s="13" t="s">
        <v>298</v>
      </c>
      <c r="F126" s="14" t="s">
        <v>73</v>
      </c>
      <c r="G126" s="13" t="s">
        <v>315</v>
      </c>
      <c r="J126" s="14" t="s">
        <v>3960</v>
      </c>
      <c r="K126" s="16" t="s">
        <v>3961</v>
      </c>
      <c r="L126" s="14" t="s">
        <v>3962</v>
      </c>
      <c r="M126" s="44" t="s">
        <v>298</v>
      </c>
      <c r="N126" s="14" t="s">
        <v>3959</v>
      </c>
      <c r="O126" s="16" t="s">
        <v>3963</v>
      </c>
      <c r="P126" s="44">
        <v>2021.0</v>
      </c>
      <c r="Q126" s="44" t="s">
        <v>3001</v>
      </c>
      <c r="R126" s="14" t="s">
        <v>3002</v>
      </c>
      <c r="S126" s="44" t="s">
        <v>1805</v>
      </c>
      <c r="T126" s="44" t="s">
        <v>2928</v>
      </c>
      <c r="U126" s="44" t="s">
        <v>59</v>
      </c>
      <c r="V126" s="45">
        <v>5.0</v>
      </c>
      <c r="Z126" s="47" t="s">
        <v>420</v>
      </c>
      <c r="AA126" s="47" t="s">
        <v>2833</v>
      </c>
      <c r="AB126" s="47" t="s">
        <v>2741</v>
      </c>
      <c r="AC126" s="47" t="s">
        <v>63</v>
      </c>
      <c r="AD126" s="47" t="s">
        <v>423</v>
      </c>
      <c r="AF126" s="79" t="s">
        <v>2957</v>
      </c>
      <c r="AG126" s="16" t="s">
        <v>2929</v>
      </c>
      <c r="AH126" s="14" t="s">
        <v>3938</v>
      </c>
      <c r="AI126" s="74" t="s">
        <v>3964</v>
      </c>
      <c r="AJ126" s="74" t="s">
        <v>3965</v>
      </c>
      <c r="AK126" s="16" t="s">
        <v>70</v>
      </c>
    </row>
    <row r="127" ht="12.75" customHeight="1">
      <c r="A127" s="61">
        <v>125.0</v>
      </c>
      <c r="B127" s="14" t="s">
        <v>3966</v>
      </c>
      <c r="C127" s="14" t="s">
        <v>3967</v>
      </c>
      <c r="D127" s="14" t="s">
        <v>2705</v>
      </c>
      <c r="E127" s="13" t="s">
        <v>298</v>
      </c>
      <c r="F127" s="14" t="s">
        <v>73</v>
      </c>
      <c r="G127" s="13" t="s">
        <v>315</v>
      </c>
      <c r="J127" s="14" t="s">
        <v>3968</v>
      </c>
      <c r="K127" s="16" t="s">
        <v>3969</v>
      </c>
      <c r="L127" s="14" t="s">
        <v>3970</v>
      </c>
      <c r="M127" s="44" t="s">
        <v>298</v>
      </c>
      <c r="N127" s="14" t="s">
        <v>3967</v>
      </c>
      <c r="O127" s="16" t="s">
        <v>3971</v>
      </c>
      <c r="P127" s="44">
        <v>2018.0</v>
      </c>
      <c r="Q127" s="44" t="s">
        <v>3001</v>
      </c>
      <c r="R127" s="14" t="s">
        <v>3002</v>
      </c>
      <c r="S127" s="44" t="s">
        <v>1805</v>
      </c>
      <c r="T127" s="44" t="s">
        <v>2928</v>
      </c>
      <c r="U127" s="44" t="s">
        <v>59</v>
      </c>
      <c r="V127" s="45">
        <v>5.0</v>
      </c>
      <c r="Z127" s="47" t="s">
        <v>420</v>
      </c>
      <c r="AA127" s="47" t="s">
        <v>2833</v>
      </c>
      <c r="AB127" s="47" t="s">
        <v>2741</v>
      </c>
      <c r="AC127" s="47" t="s">
        <v>63</v>
      </c>
      <c r="AD127" s="47" t="s">
        <v>423</v>
      </c>
      <c r="AF127" s="79" t="s">
        <v>158</v>
      </c>
      <c r="AG127" s="16" t="s">
        <v>3062</v>
      </c>
      <c r="AH127" s="14" t="s">
        <v>3972</v>
      </c>
      <c r="AI127" s="74" t="s">
        <v>3973</v>
      </c>
      <c r="AJ127" s="74" t="s">
        <v>3974</v>
      </c>
      <c r="AK127" s="16" t="s">
        <v>70</v>
      </c>
    </row>
    <row r="128" ht="12.75" customHeight="1">
      <c r="A128" s="61">
        <v>126.0</v>
      </c>
      <c r="B128" s="14" t="s">
        <v>3975</v>
      </c>
      <c r="C128" s="14" t="s">
        <v>3976</v>
      </c>
      <c r="D128" s="14" t="s">
        <v>2705</v>
      </c>
      <c r="E128" s="13" t="s">
        <v>298</v>
      </c>
      <c r="F128" s="14" t="s">
        <v>73</v>
      </c>
      <c r="G128" s="13" t="s">
        <v>315</v>
      </c>
      <c r="J128" s="14" t="s">
        <v>3977</v>
      </c>
      <c r="K128" s="16" t="s">
        <v>3978</v>
      </c>
      <c r="L128" s="14" t="s">
        <v>3979</v>
      </c>
      <c r="M128" s="44" t="s">
        <v>298</v>
      </c>
      <c r="N128" s="14" t="s">
        <v>3976</v>
      </c>
      <c r="O128" s="16" t="s">
        <v>3980</v>
      </c>
      <c r="P128" s="44">
        <v>2008.0</v>
      </c>
      <c r="Q128" s="44" t="s">
        <v>3001</v>
      </c>
      <c r="R128" s="14" t="s">
        <v>3002</v>
      </c>
      <c r="S128" s="44" t="s">
        <v>1805</v>
      </c>
      <c r="T128" s="44" t="s">
        <v>2928</v>
      </c>
      <c r="U128" s="44" t="s">
        <v>59</v>
      </c>
      <c r="V128" s="45">
        <v>5.0</v>
      </c>
      <c r="Z128" s="47" t="s">
        <v>420</v>
      </c>
      <c r="AA128" s="47" t="s">
        <v>2833</v>
      </c>
      <c r="AB128" s="47" t="s">
        <v>2741</v>
      </c>
      <c r="AC128" s="47" t="s">
        <v>63</v>
      </c>
      <c r="AD128" s="47" t="s">
        <v>423</v>
      </c>
      <c r="AF128" s="79" t="s">
        <v>2957</v>
      </c>
      <c r="AG128" s="16" t="s">
        <v>2929</v>
      </c>
      <c r="AH128" s="14" t="s">
        <v>3981</v>
      </c>
      <c r="AI128" s="74" t="s">
        <v>3982</v>
      </c>
      <c r="AJ128" s="74" t="s">
        <v>3983</v>
      </c>
      <c r="AK128" s="16" t="s">
        <v>70</v>
      </c>
    </row>
    <row r="129" ht="12.75" customHeight="1">
      <c r="A129" s="61">
        <v>127.0</v>
      </c>
      <c r="B129" s="14" t="s">
        <v>3984</v>
      </c>
      <c r="C129" s="14" t="s">
        <v>3985</v>
      </c>
      <c r="D129" s="14" t="s">
        <v>2705</v>
      </c>
      <c r="E129" s="13" t="s">
        <v>298</v>
      </c>
      <c r="F129" s="14" t="s">
        <v>73</v>
      </c>
      <c r="G129" s="13" t="s">
        <v>315</v>
      </c>
      <c r="J129" s="14" t="s">
        <v>3986</v>
      </c>
      <c r="K129" s="16" t="s">
        <v>3987</v>
      </c>
      <c r="L129" s="14" t="s">
        <v>3988</v>
      </c>
      <c r="M129" s="44" t="s">
        <v>298</v>
      </c>
      <c r="N129" s="14" t="s">
        <v>3985</v>
      </c>
      <c r="O129" s="16" t="s">
        <v>3989</v>
      </c>
      <c r="P129" s="44">
        <v>2022.0</v>
      </c>
      <c r="Q129" s="44" t="s">
        <v>2926</v>
      </c>
      <c r="R129" s="14" t="s">
        <v>2927</v>
      </c>
      <c r="S129" s="44" t="s">
        <v>1805</v>
      </c>
      <c r="T129" s="44" t="s">
        <v>2928</v>
      </c>
      <c r="U129" s="44" t="s">
        <v>59</v>
      </c>
      <c r="V129" s="45">
        <v>5.0</v>
      </c>
      <c r="Z129" s="47" t="s">
        <v>420</v>
      </c>
      <c r="AA129" s="47" t="s">
        <v>2833</v>
      </c>
      <c r="AB129" s="47" t="s">
        <v>2741</v>
      </c>
      <c r="AC129" s="47" t="s">
        <v>63</v>
      </c>
      <c r="AD129" s="47" t="s">
        <v>423</v>
      </c>
      <c r="AF129" s="79" t="s">
        <v>2957</v>
      </c>
      <c r="AG129" s="16" t="s">
        <v>2929</v>
      </c>
      <c r="AH129" s="14" t="s">
        <v>3990</v>
      </c>
      <c r="AI129" s="74" t="s">
        <v>3991</v>
      </c>
      <c r="AJ129" s="74" t="s">
        <v>3992</v>
      </c>
      <c r="AK129" s="16" t="s">
        <v>70</v>
      </c>
    </row>
    <row r="130" ht="12.75" customHeight="1">
      <c r="A130" s="61">
        <v>128.0</v>
      </c>
      <c r="B130" s="14" t="s">
        <v>3993</v>
      </c>
      <c r="C130" s="14" t="s">
        <v>3994</v>
      </c>
      <c r="D130" s="14" t="s">
        <v>2705</v>
      </c>
      <c r="E130" s="13" t="s">
        <v>298</v>
      </c>
      <c r="F130" s="14" t="s">
        <v>73</v>
      </c>
      <c r="G130" s="13" t="s">
        <v>315</v>
      </c>
      <c r="J130" s="14" t="s">
        <v>3995</v>
      </c>
      <c r="K130" s="16" t="s">
        <v>3996</v>
      </c>
      <c r="L130" s="14" t="s">
        <v>3997</v>
      </c>
      <c r="M130" s="44" t="s">
        <v>298</v>
      </c>
      <c r="N130" s="14" t="s">
        <v>3994</v>
      </c>
      <c r="O130" s="16" t="s">
        <v>3998</v>
      </c>
      <c r="P130" s="44">
        <v>2022.0</v>
      </c>
      <c r="Q130" s="44" t="s">
        <v>2988</v>
      </c>
      <c r="R130" s="14" t="s">
        <v>2989</v>
      </c>
      <c r="S130" s="44" t="s">
        <v>1805</v>
      </c>
      <c r="T130" s="44" t="s">
        <v>2928</v>
      </c>
      <c r="U130" s="44" t="s">
        <v>59</v>
      </c>
      <c r="V130" s="45">
        <v>5.0</v>
      </c>
      <c r="Z130" s="47" t="s">
        <v>420</v>
      </c>
      <c r="AA130" s="47" t="s">
        <v>2833</v>
      </c>
      <c r="AB130" s="47" t="s">
        <v>2741</v>
      </c>
      <c r="AC130" s="47" t="s">
        <v>63</v>
      </c>
      <c r="AD130" s="47" t="s">
        <v>423</v>
      </c>
      <c r="AF130" s="79" t="s">
        <v>2957</v>
      </c>
      <c r="AG130" s="16" t="s">
        <v>2929</v>
      </c>
      <c r="AH130" s="14" t="s">
        <v>3875</v>
      </c>
      <c r="AI130" s="74" t="s">
        <v>3999</v>
      </c>
      <c r="AJ130" s="74" t="s">
        <v>4000</v>
      </c>
      <c r="AK130" s="16" t="s">
        <v>70</v>
      </c>
    </row>
    <row r="131" ht="12.75" customHeight="1">
      <c r="A131" s="61">
        <v>129.0</v>
      </c>
      <c r="B131" s="14" t="s">
        <v>4001</v>
      </c>
      <c r="C131" s="14" t="s">
        <v>4002</v>
      </c>
      <c r="D131" s="14" t="s">
        <v>2705</v>
      </c>
      <c r="E131" s="13" t="s">
        <v>298</v>
      </c>
      <c r="F131" s="14" t="s">
        <v>73</v>
      </c>
      <c r="G131" s="13" t="s">
        <v>315</v>
      </c>
      <c r="J131" s="14" t="s">
        <v>4003</v>
      </c>
      <c r="K131" s="16" t="s">
        <v>4004</v>
      </c>
      <c r="L131" s="14" t="s">
        <v>4005</v>
      </c>
      <c r="M131" s="44" t="s">
        <v>298</v>
      </c>
      <c r="N131" s="14" t="s">
        <v>4002</v>
      </c>
      <c r="O131" s="16" t="s">
        <v>4006</v>
      </c>
      <c r="P131" s="44">
        <v>2022.0</v>
      </c>
      <c r="Q131" s="44" t="s">
        <v>2977</v>
      </c>
      <c r="R131" s="14" t="s">
        <v>2978</v>
      </c>
      <c r="S131" s="44" t="s">
        <v>1805</v>
      </c>
      <c r="T131" s="44" t="s">
        <v>2928</v>
      </c>
      <c r="U131" s="44" t="s">
        <v>59</v>
      </c>
      <c r="V131" s="45">
        <v>5.0</v>
      </c>
      <c r="Z131" s="47" t="s">
        <v>420</v>
      </c>
      <c r="AA131" s="47" t="s">
        <v>2833</v>
      </c>
      <c r="AB131" s="47" t="s">
        <v>2741</v>
      </c>
      <c r="AC131" s="47" t="s">
        <v>63</v>
      </c>
      <c r="AD131" s="47" t="s">
        <v>423</v>
      </c>
      <c r="AF131" s="79" t="s">
        <v>2957</v>
      </c>
      <c r="AG131" s="16" t="s">
        <v>2929</v>
      </c>
      <c r="AH131" s="14" t="s">
        <v>4007</v>
      </c>
      <c r="AI131" s="74" t="s">
        <v>4008</v>
      </c>
      <c r="AJ131" s="74" t="s">
        <v>4009</v>
      </c>
      <c r="AK131" s="16" t="s">
        <v>70</v>
      </c>
    </row>
    <row r="132" ht="12.75" customHeight="1">
      <c r="A132" s="61">
        <v>130.0</v>
      </c>
      <c r="B132" s="14" t="s">
        <v>4010</v>
      </c>
      <c r="C132" s="14" t="s">
        <v>4011</v>
      </c>
      <c r="D132" s="14" t="s">
        <v>2705</v>
      </c>
      <c r="E132" s="13" t="s">
        <v>298</v>
      </c>
      <c r="F132" s="14" t="s">
        <v>73</v>
      </c>
      <c r="G132" s="13" t="s">
        <v>315</v>
      </c>
      <c r="J132" s="14" t="s">
        <v>4012</v>
      </c>
      <c r="K132" s="16" t="s">
        <v>4010</v>
      </c>
      <c r="L132" s="14" t="s">
        <v>4013</v>
      </c>
      <c r="M132" s="44" t="s">
        <v>298</v>
      </c>
      <c r="N132" s="14" t="s">
        <v>4011</v>
      </c>
      <c r="O132" s="16" t="s">
        <v>4014</v>
      </c>
      <c r="P132" s="44">
        <v>2001.0</v>
      </c>
      <c r="Q132" s="44" t="s">
        <v>2926</v>
      </c>
      <c r="R132" s="14" t="s">
        <v>3044</v>
      </c>
      <c r="S132" s="44" t="s">
        <v>1805</v>
      </c>
      <c r="T132" s="44" t="s">
        <v>2928</v>
      </c>
      <c r="U132" s="44" t="s">
        <v>59</v>
      </c>
      <c r="V132" s="45">
        <v>5.0</v>
      </c>
      <c r="Z132" s="47" t="s">
        <v>420</v>
      </c>
      <c r="AA132" s="47" t="s">
        <v>2833</v>
      </c>
      <c r="AB132" s="47" t="s">
        <v>2741</v>
      </c>
      <c r="AC132" s="47" t="s">
        <v>63</v>
      </c>
      <c r="AD132" s="47" t="s">
        <v>423</v>
      </c>
      <c r="AF132" s="79" t="s">
        <v>2957</v>
      </c>
      <c r="AG132" s="16" t="s">
        <v>2929</v>
      </c>
      <c r="AH132" s="14" t="s">
        <v>4015</v>
      </c>
      <c r="AI132" s="74" t="s">
        <v>4016</v>
      </c>
      <c r="AJ132" s="74" t="s">
        <v>4017</v>
      </c>
      <c r="AK132" s="16" t="s">
        <v>70</v>
      </c>
    </row>
    <row r="133" ht="12.75" customHeight="1">
      <c r="A133" s="61">
        <v>131.0</v>
      </c>
      <c r="B133" s="14" t="s">
        <v>4018</v>
      </c>
      <c r="C133" s="14" t="s">
        <v>4019</v>
      </c>
      <c r="D133" s="14" t="s">
        <v>2705</v>
      </c>
      <c r="E133" s="13" t="s">
        <v>298</v>
      </c>
      <c r="F133" s="14" t="s">
        <v>73</v>
      </c>
      <c r="G133" s="13" t="s">
        <v>315</v>
      </c>
      <c r="J133" s="14" t="s">
        <v>4020</v>
      </c>
      <c r="K133" s="16" t="s">
        <v>4021</v>
      </c>
      <c r="L133" s="14" t="s">
        <v>4022</v>
      </c>
      <c r="M133" s="44" t="s">
        <v>298</v>
      </c>
      <c r="N133" s="14" t="s">
        <v>4019</v>
      </c>
      <c r="O133" s="16" t="s">
        <v>4023</v>
      </c>
      <c r="P133" s="44">
        <v>2008.0</v>
      </c>
      <c r="Q133" s="44" t="s">
        <v>3001</v>
      </c>
      <c r="R133" s="14" t="s">
        <v>3002</v>
      </c>
      <c r="S133" s="44" t="s">
        <v>1805</v>
      </c>
      <c r="T133" s="44" t="s">
        <v>2928</v>
      </c>
      <c r="U133" s="44" t="s">
        <v>59</v>
      </c>
      <c r="V133" s="45">
        <v>5.0</v>
      </c>
      <c r="Z133" s="47" t="s">
        <v>420</v>
      </c>
      <c r="AA133" s="47" t="s">
        <v>2833</v>
      </c>
      <c r="AB133" s="47" t="s">
        <v>2741</v>
      </c>
      <c r="AC133" s="47" t="s">
        <v>63</v>
      </c>
      <c r="AD133" s="47" t="s">
        <v>423</v>
      </c>
      <c r="AF133" s="79" t="s">
        <v>158</v>
      </c>
      <c r="AG133" s="16" t="s">
        <v>3062</v>
      </c>
      <c r="AH133" s="14" t="s">
        <v>3938</v>
      </c>
      <c r="AI133" s="74" t="s">
        <v>3982</v>
      </c>
      <c r="AJ133" s="74" t="s">
        <v>3983</v>
      </c>
      <c r="AK133" s="16" t="s">
        <v>70</v>
      </c>
    </row>
    <row r="134" ht="12.75" customHeight="1">
      <c r="A134" s="61">
        <v>132.0</v>
      </c>
      <c r="B134" s="14" t="s">
        <v>4024</v>
      </c>
      <c r="C134" s="14" t="s">
        <v>4025</v>
      </c>
      <c r="D134" s="14" t="s">
        <v>2705</v>
      </c>
      <c r="E134" s="13" t="s">
        <v>298</v>
      </c>
      <c r="F134" s="14" t="s">
        <v>73</v>
      </c>
      <c r="G134" s="13" t="s">
        <v>315</v>
      </c>
      <c r="J134" s="14" t="s">
        <v>4026</v>
      </c>
      <c r="K134" s="16" t="s">
        <v>4027</v>
      </c>
      <c r="L134" s="14" t="s">
        <v>4028</v>
      </c>
      <c r="M134" s="44" t="s">
        <v>298</v>
      </c>
      <c r="N134" s="14" t="s">
        <v>4025</v>
      </c>
      <c r="O134" s="16" t="s">
        <v>4029</v>
      </c>
      <c r="P134" s="44">
        <v>2011.0</v>
      </c>
      <c r="Q134" s="44" t="s">
        <v>2926</v>
      </c>
      <c r="R134" s="14" t="s">
        <v>2927</v>
      </c>
      <c r="S134" s="44" t="s">
        <v>1805</v>
      </c>
      <c r="T134" s="44" t="s">
        <v>2928</v>
      </c>
      <c r="U134" s="44" t="s">
        <v>59</v>
      </c>
      <c r="V134" s="45">
        <v>5.0</v>
      </c>
      <c r="Z134" s="47" t="s">
        <v>420</v>
      </c>
      <c r="AA134" s="47" t="s">
        <v>2833</v>
      </c>
      <c r="AB134" s="47" t="s">
        <v>2741</v>
      </c>
      <c r="AC134" s="47" t="s">
        <v>63</v>
      </c>
      <c r="AD134" s="47" t="s">
        <v>423</v>
      </c>
      <c r="AF134" s="79" t="s">
        <v>2957</v>
      </c>
      <c r="AG134" s="16" t="s">
        <v>2929</v>
      </c>
      <c r="AH134" s="14" t="s">
        <v>4030</v>
      </c>
      <c r="AI134" s="74" t="s">
        <v>4031</v>
      </c>
      <c r="AJ134" s="74" t="s">
        <v>4032</v>
      </c>
      <c r="AK134" s="16" t="s">
        <v>70</v>
      </c>
    </row>
    <row r="135" ht="12.75" customHeight="1">
      <c r="A135" s="61">
        <v>133.0</v>
      </c>
      <c r="B135" s="14" t="s">
        <v>4033</v>
      </c>
      <c r="C135" s="14" t="s">
        <v>4034</v>
      </c>
      <c r="D135" s="14" t="s">
        <v>2705</v>
      </c>
      <c r="E135" s="13" t="s">
        <v>298</v>
      </c>
      <c r="F135" s="14" t="s">
        <v>73</v>
      </c>
      <c r="G135" s="13" t="s">
        <v>315</v>
      </c>
      <c r="J135" s="13" t="s">
        <v>4035</v>
      </c>
      <c r="K135" s="16" t="s">
        <v>4036</v>
      </c>
      <c r="L135" s="14" t="s">
        <v>4037</v>
      </c>
      <c r="M135" s="44" t="s">
        <v>298</v>
      </c>
      <c r="N135" s="14" t="s">
        <v>4034</v>
      </c>
      <c r="O135" s="16" t="s">
        <v>4038</v>
      </c>
      <c r="P135" s="44">
        <v>2020.0</v>
      </c>
      <c r="Q135" s="44" t="s">
        <v>3435</v>
      </c>
      <c r="R135" s="14" t="s">
        <v>3436</v>
      </c>
      <c r="S135" s="44" t="s">
        <v>1805</v>
      </c>
      <c r="T135" s="44" t="s">
        <v>2928</v>
      </c>
      <c r="U135" s="44" t="s">
        <v>59</v>
      </c>
      <c r="V135" s="45">
        <v>5.0</v>
      </c>
      <c r="Z135" s="47" t="s">
        <v>420</v>
      </c>
      <c r="AA135" s="47" t="s">
        <v>2833</v>
      </c>
      <c r="AB135" s="47" t="s">
        <v>2741</v>
      </c>
      <c r="AC135" s="47" t="s">
        <v>63</v>
      </c>
      <c r="AD135" s="47" t="s">
        <v>423</v>
      </c>
      <c r="AF135" s="79" t="s">
        <v>2957</v>
      </c>
      <c r="AG135" s="16" t="s">
        <v>2929</v>
      </c>
      <c r="AH135" s="14" t="s">
        <v>3814</v>
      </c>
      <c r="AI135" s="74" t="s">
        <v>4039</v>
      </c>
      <c r="AJ135" s="74" t="s">
        <v>3798</v>
      </c>
      <c r="AK135" s="16" t="s">
        <v>70</v>
      </c>
    </row>
    <row r="136" ht="12.75" customHeight="1">
      <c r="A136" s="61">
        <v>134.0</v>
      </c>
      <c r="B136" s="14" t="s">
        <v>4040</v>
      </c>
      <c r="C136" s="14" t="s">
        <v>4041</v>
      </c>
      <c r="D136" s="14" t="s">
        <v>2705</v>
      </c>
      <c r="E136" s="13" t="s">
        <v>298</v>
      </c>
      <c r="F136" s="14" t="s">
        <v>73</v>
      </c>
      <c r="G136" s="13" t="s">
        <v>315</v>
      </c>
      <c r="J136" s="14" t="s">
        <v>4042</v>
      </c>
      <c r="K136" s="16" t="s">
        <v>4043</v>
      </c>
      <c r="L136" s="14" t="s">
        <v>4044</v>
      </c>
      <c r="M136" s="44" t="s">
        <v>298</v>
      </c>
      <c r="N136" s="14" t="s">
        <v>4041</v>
      </c>
      <c r="O136" s="16" t="s">
        <v>4045</v>
      </c>
      <c r="P136" s="44">
        <v>2016.0</v>
      </c>
      <c r="Q136" s="44" t="s">
        <v>2926</v>
      </c>
      <c r="R136" s="14" t="s">
        <v>2927</v>
      </c>
      <c r="S136" s="44" t="s">
        <v>1805</v>
      </c>
      <c r="T136" s="44" t="s">
        <v>2928</v>
      </c>
      <c r="U136" s="44" t="s">
        <v>59</v>
      </c>
      <c r="V136" s="45">
        <v>5.0</v>
      </c>
      <c r="Z136" s="47" t="s">
        <v>420</v>
      </c>
      <c r="AA136" s="47" t="s">
        <v>2833</v>
      </c>
      <c r="AB136" s="47" t="s">
        <v>2741</v>
      </c>
      <c r="AC136" s="47" t="s">
        <v>63</v>
      </c>
      <c r="AD136" s="47" t="s">
        <v>423</v>
      </c>
      <c r="AF136" s="79" t="s">
        <v>2957</v>
      </c>
      <c r="AG136" s="16" t="s">
        <v>2929</v>
      </c>
      <c r="AH136" s="14" t="s">
        <v>4046</v>
      </c>
      <c r="AI136" s="74" t="s">
        <v>4047</v>
      </c>
      <c r="AJ136" s="74" t="s">
        <v>4048</v>
      </c>
      <c r="AK136" s="16" t="s">
        <v>70</v>
      </c>
    </row>
    <row r="137" ht="12.75" customHeight="1">
      <c r="A137" s="61">
        <v>135.0</v>
      </c>
      <c r="B137" s="13" t="s">
        <v>4049</v>
      </c>
      <c r="C137" s="14" t="s">
        <v>4034</v>
      </c>
      <c r="D137" s="14" t="s">
        <v>2705</v>
      </c>
      <c r="E137" s="13" t="s">
        <v>298</v>
      </c>
      <c r="F137" s="14" t="s">
        <v>73</v>
      </c>
      <c r="G137" s="13" t="s">
        <v>315</v>
      </c>
      <c r="J137" s="13" t="s">
        <v>4050</v>
      </c>
      <c r="K137" s="77" t="s">
        <v>4051</v>
      </c>
      <c r="L137" s="14" t="s">
        <v>4052</v>
      </c>
      <c r="M137" s="44" t="s">
        <v>298</v>
      </c>
      <c r="N137" s="14" t="s">
        <v>4034</v>
      </c>
      <c r="O137" s="16" t="s">
        <v>4053</v>
      </c>
      <c r="P137" s="44">
        <v>2020.0</v>
      </c>
      <c r="Q137" s="44" t="s">
        <v>3001</v>
      </c>
      <c r="R137" s="14" t="s">
        <v>3002</v>
      </c>
      <c r="S137" s="44" t="s">
        <v>1805</v>
      </c>
      <c r="T137" s="44" t="s">
        <v>2928</v>
      </c>
      <c r="U137" s="44" t="s">
        <v>59</v>
      </c>
      <c r="V137" s="45">
        <v>5.0</v>
      </c>
      <c r="Z137" s="47" t="s">
        <v>420</v>
      </c>
      <c r="AA137" s="47" t="s">
        <v>2833</v>
      </c>
      <c r="AB137" s="47" t="s">
        <v>2741</v>
      </c>
      <c r="AC137" s="47" t="s">
        <v>63</v>
      </c>
      <c r="AD137" s="47" t="s">
        <v>423</v>
      </c>
      <c r="AF137" s="79" t="s">
        <v>158</v>
      </c>
      <c r="AG137" s="16" t="s">
        <v>3062</v>
      </c>
      <c r="AH137" s="14" t="s">
        <v>3696</v>
      </c>
      <c r="AI137" s="74" t="s">
        <v>4054</v>
      </c>
      <c r="AJ137" s="74" t="s">
        <v>4055</v>
      </c>
      <c r="AK137" s="16" t="s">
        <v>70</v>
      </c>
    </row>
    <row r="138" ht="12.75" customHeight="1">
      <c r="A138" s="61">
        <v>136.0</v>
      </c>
      <c r="B138" s="14" t="s">
        <v>4056</v>
      </c>
      <c r="C138" s="14" t="s">
        <v>4057</v>
      </c>
      <c r="D138" s="14" t="s">
        <v>2705</v>
      </c>
      <c r="E138" s="13" t="s">
        <v>298</v>
      </c>
      <c r="F138" s="14" t="s">
        <v>73</v>
      </c>
      <c r="G138" s="13" t="s">
        <v>315</v>
      </c>
      <c r="J138" s="14" t="s">
        <v>4058</v>
      </c>
      <c r="K138" s="16" t="s">
        <v>4059</v>
      </c>
      <c r="L138" s="14" t="s">
        <v>4060</v>
      </c>
      <c r="M138" s="44" t="s">
        <v>298</v>
      </c>
      <c r="N138" s="14" t="s">
        <v>4057</v>
      </c>
      <c r="O138" s="16" t="s">
        <v>4061</v>
      </c>
      <c r="P138" s="44">
        <v>2020.0</v>
      </c>
      <c r="Q138" s="44" t="s">
        <v>2926</v>
      </c>
      <c r="R138" s="14" t="s">
        <v>2927</v>
      </c>
      <c r="S138" s="44" t="s">
        <v>1805</v>
      </c>
      <c r="T138" s="44" t="s">
        <v>2928</v>
      </c>
      <c r="U138" s="44" t="s">
        <v>59</v>
      </c>
      <c r="V138" s="45">
        <v>5.0</v>
      </c>
      <c r="Z138" s="47" t="s">
        <v>420</v>
      </c>
      <c r="AA138" s="47" t="s">
        <v>2833</v>
      </c>
      <c r="AB138" s="47" t="s">
        <v>2741</v>
      </c>
      <c r="AC138" s="47" t="s">
        <v>63</v>
      </c>
      <c r="AD138" s="47" t="s">
        <v>423</v>
      </c>
      <c r="AF138" s="79" t="s">
        <v>158</v>
      </c>
      <c r="AG138" s="16" t="s">
        <v>2943</v>
      </c>
      <c r="AH138" s="14" t="s">
        <v>4062</v>
      </c>
      <c r="AI138" s="74" t="s">
        <v>4063</v>
      </c>
      <c r="AJ138" s="74" t="s">
        <v>4064</v>
      </c>
      <c r="AK138" s="16" t="s">
        <v>70</v>
      </c>
    </row>
    <row r="139" ht="12.75" customHeight="1">
      <c r="A139" s="61">
        <v>137.0</v>
      </c>
      <c r="B139" s="14" t="s">
        <v>4065</v>
      </c>
      <c r="C139" s="14" t="s">
        <v>4066</v>
      </c>
      <c r="D139" s="14" t="s">
        <v>2705</v>
      </c>
      <c r="E139" s="13" t="s">
        <v>298</v>
      </c>
      <c r="F139" s="14" t="s">
        <v>73</v>
      </c>
      <c r="G139" s="13" t="s">
        <v>315</v>
      </c>
      <c r="J139" s="14" t="s">
        <v>4067</v>
      </c>
      <c r="K139" s="16" t="s">
        <v>4068</v>
      </c>
      <c r="L139" s="14" t="s">
        <v>4069</v>
      </c>
      <c r="M139" s="44" t="s">
        <v>298</v>
      </c>
      <c r="N139" s="14" t="s">
        <v>4066</v>
      </c>
      <c r="O139" s="16" t="s">
        <v>4070</v>
      </c>
      <c r="P139" s="44">
        <v>2008.0</v>
      </c>
      <c r="Q139" s="44" t="s">
        <v>3001</v>
      </c>
      <c r="R139" s="14" t="s">
        <v>3002</v>
      </c>
      <c r="S139" s="44" t="s">
        <v>1805</v>
      </c>
      <c r="T139" s="44" t="s">
        <v>2928</v>
      </c>
      <c r="U139" s="44" t="s">
        <v>59</v>
      </c>
      <c r="V139" s="45">
        <v>5.0</v>
      </c>
      <c r="Z139" s="47" t="s">
        <v>420</v>
      </c>
      <c r="AA139" s="47" t="s">
        <v>2833</v>
      </c>
      <c r="AB139" s="47" t="s">
        <v>2741</v>
      </c>
      <c r="AC139" s="47" t="s">
        <v>63</v>
      </c>
      <c r="AD139" s="47" t="s">
        <v>423</v>
      </c>
      <c r="AF139" s="79" t="s">
        <v>158</v>
      </c>
      <c r="AG139" s="16" t="s">
        <v>2990</v>
      </c>
      <c r="AH139" s="14" t="s">
        <v>4071</v>
      </c>
      <c r="AI139" s="74" t="s">
        <v>4072</v>
      </c>
      <c r="AJ139" s="74" t="s">
        <v>4073</v>
      </c>
      <c r="AK139" s="16" t="s">
        <v>70</v>
      </c>
    </row>
    <row r="140" ht="12.75" customHeight="1">
      <c r="A140" s="61">
        <v>138.0</v>
      </c>
      <c r="B140" s="14" t="s">
        <v>4074</v>
      </c>
      <c r="C140" s="14" t="s">
        <v>4075</v>
      </c>
      <c r="D140" s="14" t="s">
        <v>2705</v>
      </c>
      <c r="E140" s="13" t="s">
        <v>298</v>
      </c>
      <c r="F140" s="14" t="s">
        <v>73</v>
      </c>
      <c r="G140" s="13" t="s">
        <v>315</v>
      </c>
      <c r="J140" s="14" t="s">
        <v>4076</v>
      </c>
      <c r="K140" s="16" t="s">
        <v>4077</v>
      </c>
      <c r="L140" s="14" t="s">
        <v>4078</v>
      </c>
      <c r="M140" s="44" t="s">
        <v>298</v>
      </c>
      <c r="N140" s="14" t="s">
        <v>4075</v>
      </c>
      <c r="O140" s="16" t="s">
        <v>4079</v>
      </c>
      <c r="P140" s="44">
        <v>2020.0</v>
      </c>
      <c r="Q140" s="44" t="s">
        <v>2926</v>
      </c>
      <c r="R140" s="14" t="s">
        <v>2927</v>
      </c>
      <c r="S140" s="44" t="s">
        <v>1805</v>
      </c>
      <c r="T140" s="44" t="s">
        <v>2928</v>
      </c>
      <c r="U140" s="44" t="s">
        <v>59</v>
      </c>
      <c r="V140" s="45">
        <v>5.0</v>
      </c>
      <c r="Z140" s="47" t="s">
        <v>420</v>
      </c>
      <c r="AA140" s="47" t="s">
        <v>2833</v>
      </c>
      <c r="AB140" s="47" t="s">
        <v>2741</v>
      </c>
      <c r="AC140" s="47" t="s">
        <v>63</v>
      </c>
      <c r="AD140" s="47" t="s">
        <v>423</v>
      </c>
      <c r="AF140" s="79" t="s">
        <v>158</v>
      </c>
      <c r="AG140" s="16" t="s">
        <v>2943</v>
      </c>
      <c r="AH140" s="14" t="s">
        <v>3836</v>
      </c>
      <c r="AI140" s="74" t="s">
        <v>3837</v>
      </c>
      <c r="AJ140" s="74" t="s">
        <v>3838</v>
      </c>
      <c r="AK140" s="16" t="s">
        <v>70</v>
      </c>
    </row>
    <row r="141" ht="12.75" customHeight="1">
      <c r="A141" s="61">
        <v>139.0</v>
      </c>
      <c r="B141" s="14" t="s">
        <v>4080</v>
      </c>
      <c r="C141" s="14" t="s">
        <v>4081</v>
      </c>
      <c r="D141" s="14" t="s">
        <v>2705</v>
      </c>
      <c r="E141" s="13" t="s">
        <v>298</v>
      </c>
      <c r="F141" s="14" t="s">
        <v>73</v>
      </c>
      <c r="G141" s="13" t="s">
        <v>315</v>
      </c>
      <c r="J141" s="14" t="s">
        <v>4082</v>
      </c>
      <c r="K141" s="16" t="s">
        <v>4083</v>
      </c>
      <c r="L141" s="14" t="s">
        <v>4084</v>
      </c>
      <c r="M141" s="44" t="s">
        <v>298</v>
      </c>
      <c r="N141" s="14" t="s">
        <v>4081</v>
      </c>
      <c r="O141" s="16" t="s">
        <v>4085</v>
      </c>
      <c r="P141" s="44">
        <v>2018.0</v>
      </c>
      <c r="Q141" s="44" t="s">
        <v>2926</v>
      </c>
      <c r="R141" s="14" t="s">
        <v>2927</v>
      </c>
      <c r="S141" s="44" t="s">
        <v>1805</v>
      </c>
      <c r="T141" s="44" t="s">
        <v>2928</v>
      </c>
      <c r="U141" s="44" t="s">
        <v>59</v>
      </c>
      <c r="V141" s="45">
        <v>5.0</v>
      </c>
      <c r="Z141" s="47" t="s">
        <v>420</v>
      </c>
      <c r="AA141" s="47" t="s">
        <v>2833</v>
      </c>
      <c r="AB141" s="47" t="s">
        <v>2741</v>
      </c>
      <c r="AC141" s="47" t="s">
        <v>63</v>
      </c>
      <c r="AD141" s="47" t="s">
        <v>423</v>
      </c>
      <c r="AF141" s="79" t="s">
        <v>2957</v>
      </c>
      <c r="AG141" s="16" t="s">
        <v>2929</v>
      </c>
      <c r="AH141" s="14" t="s">
        <v>4086</v>
      </c>
      <c r="AI141" s="74" t="s">
        <v>4087</v>
      </c>
      <c r="AJ141" s="74" t="s">
        <v>4088</v>
      </c>
      <c r="AK141" s="16" t="s">
        <v>70</v>
      </c>
    </row>
    <row r="142" ht="12.75" customHeight="1">
      <c r="A142" s="61">
        <v>140.0</v>
      </c>
      <c r="B142" s="14" t="s">
        <v>4089</v>
      </c>
      <c r="C142" s="14" t="s">
        <v>4090</v>
      </c>
      <c r="D142" s="14" t="s">
        <v>4091</v>
      </c>
      <c r="E142" s="13" t="s">
        <v>298</v>
      </c>
      <c r="F142" s="14" t="s">
        <v>73</v>
      </c>
      <c r="G142" s="13" t="s">
        <v>315</v>
      </c>
      <c r="J142" s="14" t="s">
        <v>4092</v>
      </c>
      <c r="K142" s="16" t="s">
        <v>4093</v>
      </c>
      <c r="L142" s="14" t="s">
        <v>4094</v>
      </c>
      <c r="M142" s="44" t="s">
        <v>298</v>
      </c>
      <c r="N142" s="14" t="s">
        <v>4090</v>
      </c>
      <c r="O142" s="16" t="s">
        <v>4095</v>
      </c>
      <c r="P142" s="44">
        <v>2016.0</v>
      </c>
      <c r="Q142" s="44" t="s">
        <v>3181</v>
      </c>
      <c r="R142" s="14" t="s">
        <v>3182</v>
      </c>
      <c r="S142" s="44" t="s">
        <v>1805</v>
      </c>
      <c r="T142" s="44" t="s">
        <v>2928</v>
      </c>
      <c r="U142" s="44" t="s">
        <v>59</v>
      </c>
      <c r="V142" s="45">
        <v>5.0</v>
      </c>
      <c r="Z142" s="47" t="s">
        <v>420</v>
      </c>
      <c r="AA142" s="16" t="s">
        <v>4096</v>
      </c>
      <c r="AB142" s="47" t="s">
        <v>2741</v>
      </c>
      <c r="AC142" s="47" t="s">
        <v>63</v>
      </c>
      <c r="AD142" s="47" t="s">
        <v>423</v>
      </c>
      <c r="AF142" s="79" t="s">
        <v>2957</v>
      </c>
      <c r="AG142" s="16" t="s">
        <v>2929</v>
      </c>
      <c r="AH142" s="14" t="s">
        <v>4097</v>
      </c>
      <c r="AI142" s="74" t="s">
        <v>4098</v>
      </c>
      <c r="AJ142" s="74" t="s">
        <v>4099</v>
      </c>
      <c r="AK142" s="16" t="s">
        <v>70</v>
      </c>
    </row>
    <row r="143" ht="12.75" customHeight="1">
      <c r="A143" s="61">
        <v>141.0</v>
      </c>
      <c r="B143" s="14" t="s">
        <v>4100</v>
      </c>
      <c r="C143" s="14" t="s">
        <v>4101</v>
      </c>
      <c r="D143" s="14" t="s">
        <v>4091</v>
      </c>
      <c r="E143" s="13" t="s">
        <v>298</v>
      </c>
      <c r="F143" s="14" t="s">
        <v>73</v>
      </c>
      <c r="G143" s="13" t="s">
        <v>315</v>
      </c>
      <c r="J143" s="14" t="s">
        <v>4102</v>
      </c>
      <c r="K143" s="16" t="s">
        <v>4103</v>
      </c>
      <c r="L143" s="14" t="s">
        <v>4104</v>
      </c>
      <c r="M143" s="44" t="s">
        <v>298</v>
      </c>
      <c r="N143" s="14" t="s">
        <v>4101</v>
      </c>
      <c r="O143" s="16" t="s">
        <v>4105</v>
      </c>
      <c r="P143" s="44">
        <v>2019.0</v>
      </c>
      <c r="Q143" s="44" t="s">
        <v>3181</v>
      </c>
      <c r="R143" s="14" t="s">
        <v>3182</v>
      </c>
      <c r="S143" s="44" t="s">
        <v>1805</v>
      </c>
      <c r="T143" s="44" t="s">
        <v>2928</v>
      </c>
      <c r="U143" s="44" t="s">
        <v>59</v>
      </c>
      <c r="V143" s="45">
        <v>5.0</v>
      </c>
      <c r="Z143" s="47" t="s">
        <v>420</v>
      </c>
      <c r="AA143" s="16" t="s">
        <v>4106</v>
      </c>
      <c r="AB143" s="47" t="s">
        <v>2741</v>
      </c>
      <c r="AC143" s="47" t="s">
        <v>63</v>
      </c>
      <c r="AD143" s="47" t="s">
        <v>423</v>
      </c>
      <c r="AF143" s="79" t="s">
        <v>2957</v>
      </c>
      <c r="AG143" s="16" t="s">
        <v>2929</v>
      </c>
      <c r="AH143" s="14" t="s">
        <v>4107</v>
      </c>
      <c r="AI143" s="74" t="s">
        <v>4108</v>
      </c>
      <c r="AJ143" s="74" t="s">
        <v>4109</v>
      </c>
      <c r="AK143" s="16" t="s">
        <v>70</v>
      </c>
    </row>
    <row r="144" ht="12.75" customHeight="1">
      <c r="A144" s="61"/>
      <c r="M144" s="44"/>
      <c r="P144" s="44"/>
      <c r="Q144" s="44"/>
      <c r="S144" s="44"/>
      <c r="U144" s="44"/>
      <c r="V144" s="45">
        <v>3.0</v>
      </c>
    </row>
    <row r="145" ht="12.75" customHeight="1">
      <c r="M145" s="44"/>
      <c r="P145" s="44"/>
      <c r="Q145" s="44"/>
      <c r="S145" s="44"/>
      <c r="U145" s="44"/>
      <c r="V145" s="45"/>
      <c r="AI145" s="58"/>
      <c r="AJ145" s="58"/>
    </row>
    <row r="146" ht="12.75" customHeight="1">
      <c r="M146" s="44"/>
      <c r="P146" s="44"/>
      <c r="Q146" s="44"/>
      <c r="S146" s="44"/>
      <c r="U146" s="44"/>
      <c r="V146" s="45"/>
    </row>
    <row r="147" ht="12.75" customHeight="1">
      <c r="M147" s="44"/>
      <c r="P147" s="44"/>
      <c r="Q147" s="44"/>
      <c r="S147" s="44"/>
      <c r="U147" s="44"/>
      <c r="V147" s="45"/>
    </row>
    <row r="148" ht="12.75" customHeight="1">
      <c r="M148" s="44"/>
      <c r="P148" s="44"/>
      <c r="Q148" s="44"/>
      <c r="S148" s="44"/>
      <c r="U148" s="44"/>
      <c r="V148" s="45"/>
    </row>
    <row r="149" ht="12.75" customHeight="1">
      <c r="M149" s="44"/>
      <c r="P149" s="44"/>
      <c r="Q149" s="44"/>
      <c r="S149" s="44"/>
      <c r="U149" s="44"/>
      <c r="V149" s="45"/>
    </row>
    <row r="150" ht="12.75" customHeight="1">
      <c r="M150" s="44"/>
      <c r="P150" s="44"/>
      <c r="Q150" s="44"/>
      <c r="S150" s="44"/>
      <c r="U150" s="44"/>
      <c r="V150" s="45"/>
    </row>
    <row r="151" ht="12.75" customHeight="1">
      <c r="M151" s="44"/>
      <c r="P151" s="44"/>
      <c r="Q151" s="44"/>
      <c r="S151" s="44"/>
      <c r="U151" s="44"/>
      <c r="V151" s="45"/>
    </row>
    <row r="152" ht="12.75" customHeight="1">
      <c r="M152" s="44"/>
      <c r="P152" s="44"/>
      <c r="Q152" s="44"/>
      <c r="S152" s="44"/>
      <c r="U152" s="44"/>
      <c r="V152" s="45"/>
    </row>
    <row r="153" ht="12.75" customHeight="1">
      <c r="M153" s="44"/>
      <c r="P153" s="44"/>
      <c r="Q153" s="44"/>
      <c r="S153" s="44"/>
      <c r="U153" s="44"/>
      <c r="V153" s="45"/>
    </row>
    <row r="154" ht="12.75" customHeight="1">
      <c r="M154" s="44"/>
      <c r="P154" s="44"/>
      <c r="Q154" s="44"/>
      <c r="S154" s="44"/>
      <c r="U154" s="44"/>
      <c r="V154" s="45"/>
    </row>
    <row r="155" ht="12.75" customHeight="1">
      <c r="M155" s="44"/>
      <c r="P155" s="44"/>
      <c r="Q155" s="44"/>
      <c r="S155" s="44"/>
      <c r="U155" s="44"/>
      <c r="V155" s="45"/>
    </row>
    <row r="156" ht="12.75" customHeight="1">
      <c r="M156" s="44"/>
      <c r="P156" s="44"/>
      <c r="Q156" s="44"/>
      <c r="S156" s="44"/>
      <c r="U156" s="44"/>
      <c r="V156" s="45"/>
    </row>
    <row r="157" ht="12.75" customHeight="1">
      <c r="M157" s="44"/>
      <c r="P157" s="44"/>
      <c r="Q157" s="44"/>
      <c r="S157" s="44"/>
      <c r="U157" s="44"/>
      <c r="V157" s="45"/>
    </row>
    <row r="158" ht="12.75" customHeight="1">
      <c r="M158" s="44"/>
      <c r="P158" s="44"/>
      <c r="Q158" s="44"/>
      <c r="S158" s="44"/>
      <c r="U158" s="44"/>
      <c r="V158" s="45"/>
    </row>
    <row r="159" ht="12.75" customHeight="1">
      <c r="M159" s="44"/>
      <c r="P159" s="44"/>
      <c r="Q159" s="44"/>
      <c r="S159" s="44"/>
      <c r="U159" s="44"/>
      <c r="V159" s="45"/>
    </row>
    <row r="160" ht="12.75" customHeight="1">
      <c r="M160" s="44"/>
      <c r="P160" s="44"/>
      <c r="Q160" s="44"/>
      <c r="S160" s="44"/>
      <c r="U160" s="44"/>
      <c r="V160" s="45"/>
    </row>
    <row r="161" ht="12.75" customHeight="1">
      <c r="M161" s="44"/>
      <c r="P161" s="44"/>
      <c r="Q161" s="44"/>
      <c r="S161" s="44"/>
      <c r="U161" s="44"/>
      <c r="V161" s="45"/>
    </row>
    <row r="162" ht="12.75" customHeight="1">
      <c r="M162" s="44"/>
      <c r="P162" s="44"/>
      <c r="Q162" s="44"/>
      <c r="S162" s="44"/>
      <c r="U162" s="44"/>
      <c r="V162" s="45"/>
    </row>
    <row r="163" ht="12.75" customHeight="1">
      <c r="M163" s="44"/>
      <c r="P163" s="44"/>
      <c r="Q163" s="44"/>
      <c r="S163" s="44"/>
      <c r="U163" s="44"/>
      <c r="V163" s="45"/>
    </row>
    <row r="164" ht="12.75" customHeight="1">
      <c r="M164" s="44"/>
      <c r="P164" s="44"/>
      <c r="Q164" s="44"/>
      <c r="S164" s="44"/>
      <c r="U164" s="44"/>
      <c r="V164" s="45"/>
    </row>
    <row r="165" ht="12.75" customHeight="1">
      <c r="M165" s="44"/>
      <c r="P165" s="44"/>
      <c r="Q165" s="44"/>
      <c r="S165" s="44"/>
      <c r="U165" s="44"/>
      <c r="V165" s="45"/>
    </row>
    <row r="166" ht="12.75" customHeight="1">
      <c r="M166" s="44"/>
      <c r="P166" s="44"/>
      <c r="Q166" s="44"/>
      <c r="S166" s="44"/>
      <c r="U166" s="44"/>
      <c r="V166" s="45"/>
    </row>
    <row r="167" ht="12.75" customHeight="1">
      <c r="M167" s="44"/>
      <c r="P167" s="44"/>
      <c r="Q167" s="44"/>
      <c r="S167" s="44"/>
      <c r="U167" s="44"/>
      <c r="V167" s="45"/>
    </row>
    <row r="168" ht="12.75" customHeight="1">
      <c r="M168" s="44"/>
      <c r="P168" s="44"/>
      <c r="Q168" s="44"/>
      <c r="S168" s="44"/>
      <c r="U168" s="44"/>
      <c r="V168" s="45"/>
    </row>
    <row r="169" ht="12.75" customHeight="1">
      <c r="M169" s="44"/>
      <c r="P169" s="44"/>
      <c r="Q169" s="44"/>
      <c r="S169" s="44"/>
      <c r="U169" s="44"/>
      <c r="V169" s="45"/>
    </row>
    <row r="170" ht="12.75" customHeight="1">
      <c r="M170" s="44"/>
      <c r="P170" s="44"/>
      <c r="Q170" s="44"/>
      <c r="S170" s="44"/>
      <c r="U170" s="44"/>
      <c r="V170" s="45"/>
    </row>
    <row r="171" ht="12.75" customHeight="1">
      <c r="M171" s="44"/>
      <c r="P171" s="44"/>
      <c r="Q171" s="44"/>
      <c r="S171" s="44"/>
      <c r="U171" s="44"/>
      <c r="V171" s="45"/>
    </row>
    <row r="172" ht="12.75" customHeight="1">
      <c r="M172" s="44"/>
      <c r="P172" s="44"/>
      <c r="Q172" s="44"/>
      <c r="S172" s="44"/>
      <c r="U172" s="44"/>
      <c r="V172" s="45"/>
    </row>
    <row r="173" ht="12.75" customHeight="1">
      <c r="M173" s="44"/>
      <c r="P173" s="44"/>
      <c r="Q173" s="44"/>
      <c r="S173" s="44"/>
      <c r="U173" s="44"/>
      <c r="V173" s="45"/>
    </row>
    <row r="174" ht="12.75" customHeight="1">
      <c r="M174" s="44"/>
      <c r="P174" s="44"/>
      <c r="Q174" s="44"/>
      <c r="S174" s="44"/>
      <c r="U174" s="44"/>
      <c r="V174" s="45"/>
    </row>
    <row r="175" ht="12.75" customHeight="1">
      <c r="M175" s="44"/>
      <c r="P175" s="44"/>
      <c r="Q175" s="44"/>
      <c r="S175" s="44"/>
      <c r="U175" s="44"/>
      <c r="V175" s="45"/>
    </row>
    <row r="176" ht="12.75" customHeight="1">
      <c r="M176" s="44"/>
      <c r="P176" s="44"/>
      <c r="Q176" s="44"/>
      <c r="S176" s="44"/>
      <c r="U176" s="44"/>
      <c r="V176" s="45"/>
    </row>
    <row r="177" ht="12.75" customHeight="1">
      <c r="M177" s="44"/>
      <c r="P177" s="44"/>
      <c r="Q177" s="44"/>
      <c r="S177" s="44"/>
      <c r="U177" s="44"/>
      <c r="V177" s="45"/>
    </row>
    <row r="178" ht="12.75" customHeight="1">
      <c r="M178" s="44"/>
      <c r="P178" s="44"/>
      <c r="Q178" s="44"/>
      <c r="S178" s="44"/>
      <c r="U178" s="44"/>
      <c r="V178" s="45"/>
    </row>
    <row r="179" ht="12.75" customHeight="1">
      <c r="M179" s="44"/>
      <c r="P179" s="44"/>
      <c r="Q179" s="44"/>
      <c r="S179" s="44"/>
      <c r="U179" s="44"/>
      <c r="V179" s="45"/>
    </row>
    <row r="180" ht="12.75" customHeight="1">
      <c r="M180" s="44"/>
      <c r="P180" s="44"/>
      <c r="Q180" s="44"/>
      <c r="S180" s="44"/>
      <c r="U180" s="44"/>
      <c r="V180" s="45"/>
    </row>
    <row r="181" ht="12.75" customHeight="1">
      <c r="M181" s="44"/>
      <c r="P181" s="44"/>
      <c r="Q181" s="44"/>
      <c r="S181" s="44"/>
      <c r="U181" s="44"/>
      <c r="V181" s="45"/>
    </row>
    <row r="182" ht="12.75" customHeight="1">
      <c r="M182" s="44"/>
      <c r="P182" s="44"/>
      <c r="Q182" s="44"/>
      <c r="S182" s="44"/>
      <c r="U182" s="44"/>
      <c r="V182" s="45"/>
    </row>
    <row r="183" ht="12.75" customHeight="1">
      <c r="M183" s="44"/>
      <c r="P183" s="44"/>
      <c r="Q183" s="44"/>
      <c r="S183" s="44"/>
      <c r="U183" s="44"/>
      <c r="V183" s="45"/>
    </row>
    <row r="184" ht="12.75" customHeight="1">
      <c r="M184" s="44"/>
      <c r="P184" s="44"/>
      <c r="Q184" s="44"/>
      <c r="S184" s="44"/>
      <c r="U184" s="44"/>
      <c r="V184" s="45"/>
    </row>
    <row r="185" ht="12.75" customHeight="1">
      <c r="M185" s="44"/>
      <c r="P185" s="44"/>
      <c r="Q185" s="44"/>
      <c r="S185" s="44"/>
      <c r="U185" s="44"/>
      <c r="V185" s="45"/>
    </row>
    <row r="186" ht="12.75" customHeight="1">
      <c r="M186" s="44"/>
      <c r="P186" s="44"/>
      <c r="Q186" s="44"/>
      <c r="S186" s="44"/>
      <c r="U186" s="44"/>
      <c r="V186" s="45"/>
    </row>
    <row r="187" ht="12.75" customHeight="1">
      <c r="M187" s="44"/>
      <c r="P187" s="44"/>
      <c r="Q187" s="44"/>
      <c r="S187" s="44"/>
      <c r="U187" s="44"/>
      <c r="V187" s="45"/>
    </row>
    <row r="188" ht="12.75" customHeight="1">
      <c r="M188" s="44"/>
      <c r="P188" s="44"/>
      <c r="Q188" s="44"/>
      <c r="S188" s="44"/>
      <c r="U188" s="44"/>
      <c r="V188" s="45"/>
    </row>
    <row r="189" ht="12.75" customHeight="1">
      <c r="M189" s="44"/>
      <c r="P189" s="44"/>
      <c r="Q189" s="44"/>
      <c r="S189" s="44"/>
      <c r="U189" s="44"/>
      <c r="V189" s="45"/>
    </row>
    <row r="190" ht="12.75" customHeight="1">
      <c r="M190" s="44"/>
      <c r="P190" s="44"/>
      <c r="Q190" s="44"/>
      <c r="S190" s="44"/>
      <c r="U190" s="44"/>
      <c r="V190" s="45"/>
    </row>
    <row r="191" ht="12.75" customHeight="1">
      <c r="M191" s="44"/>
      <c r="P191" s="44"/>
      <c r="Q191" s="44"/>
      <c r="S191" s="44"/>
      <c r="U191" s="44"/>
      <c r="V191" s="45"/>
    </row>
    <row r="192" ht="12.75" customHeight="1">
      <c r="M192" s="44"/>
      <c r="P192" s="44"/>
      <c r="Q192" s="44"/>
      <c r="S192" s="44"/>
      <c r="U192" s="44"/>
      <c r="V192" s="45"/>
    </row>
    <row r="193" ht="12.75" customHeight="1">
      <c r="M193" s="44"/>
      <c r="P193" s="44"/>
      <c r="Q193" s="44"/>
      <c r="S193" s="44"/>
      <c r="U193" s="44"/>
      <c r="V193" s="45"/>
    </row>
    <row r="194" ht="12.75" customHeight="1">
      <c r="M194" s="44"/>
      <c r="P194" s="44"/>
      <c r="Q194" s="44"/>
      <c r="S194" s="44"/>
      <c r="U194" s="44"/>
      <c r="V194" s="45"/>
    </row>
    <row r="195" ht="12.75" customHeight="1">
      <c r="M195" s="44"/>
      <c r="P195" s="44"/>
      <c r="Q195" s="44"/>
      <c r="S195" s="44"/>
      <c r="U195" s="44"/>
      <c r="V195" s="45"/>
    </row>
    <row r="196" ht="12.75" customHeight="1">
      <c r="M196" s="44"/>
      <c r="P196" s="44"/>
      <c r="Q196" s="44"/>
      <c r="S196" s="44"/>
      <c r="U196" s="44"/>
      <c r="V196" s="45"/>
    </row>
    <row r="197" ht="12.75" customHeight="1">
      <c r="M197" s="44"/>
      <c r="P197" s="44"/>
      <c r="Q197" s="44"/>
      <c r="S197" s="44"/>
      <c r="U197" s="44"/>
      <c r="V197" s="45"/>
    </row>
    <row r="198" ht="12.75" customHeight="1">
      <c r="M198" s="44"/>
      <c r="P198" s="44"/>
      <c r="Q198" s="44"/>
      <c r="S198" s="44"/>
      <c r="U198" s="44"/>
      <c r="V198" s="45"/>
    </row>
    <row r="199" ht="12.75" customHeight="1">
      <c r="M199" s="44"/>
      <c r="P199" s="44"/>
      <c r="Q199" s="44"/>
      <c r="S199" s="44"/>
      <c r="U199" s="44"/>
      <c r="V199" s="45"/>
    </row>
    <row r="200" ht="12.75" customHeight="1">
      <c r="M200" s="44"/>
      <c r="P200" s="44"/>
      <c r="Q200" s="44"/>
      <c r="S200" s="44"/>
      <c r="U200" s="44"/>
      <c r="V200" s="45"/>
    </row>
    <row r="201" ht="12.75" customHeight="1">
      <c r="M201" s="44"/>
      <c r="P201" s="44"/>
      <c r="Q201" s="44"/>
      <c r="S201" s="44"/>
      <c r="U201" s="44"/>
      <c r="V201" s="45"/>
    </row>
    <row r="202" ht="12.75" customHeight="1">
      <c r="M202" s="44"/>
      <c r="P202" s="44"/>
      <c r="Q202" s="44"/>
      <c r="S202" s="44"/>
      <c r="U202" s="44"/>
      <c r="V202" s="45"/>
    </row>
    <row r="203" ht="12.75" customHeight="1">
      <c r="M203" s="44"/>
      <c r="P203" s="44"/>
      <c r="Q203" s="44"/>
      <c r="S203" s="44"/>
      <c r="U203" s="44"/>
      <c r="V203" s="45"/>
    </row>
    <row r="204" ht="12.75" customHeight="1">
      <c r="M204" s="44"/>
      <c r="P204" s="44"/>
      <c r="Q204" s="44"/>
      <c r="S204" s="44"/>
      <c r="U204" s="44"/>
      <c r="V204" s="45"/>
    </row>
    <row r="205" ht="12.75" customHeight="1">
      <c r="M205" s="44"/>
      <c r="P205" s="44"/>
      <c r="Q205" s="44"/>
      <c r="S205" s="44"/>
      <c r="U205" s="44"/>
      <c r="V205" s="45"/>
    </row>
    <row r="206" ht="12.75" customHeight="1">
      <c r="M206" s="44"/>
      <c r="P206" s="44"/>
      <c r="Q206" s="44"/>
      <c r="S206" s="44"/>
      <c r="U206" s="44"/>
      <c r="V206" s="45"/>
    </row>
    <row r="207" ht="12.75" customHeight="1">
      <c r="M207" s="44"/>
      <c r="P207" s="44"/>
      <c r="Q207" s="44"/>
      <c r="S207" s="44"/>
      <c r="U207" s="44"/>
      <c r="V207" s="45"/>
    </row>
    <row r="208" ht="12.75" customHeight="1">
      <c r="M208" s="44"/>
      <c r="P208" s="44"/>
      <c r="Q208" s="44"/>
      <c r="S208" s="44"/>
      <c r="U208" s="44"/>
      <c r="V208" s="45"/>
    </row>
    <row r="209" ht="12.75" customHeight="1">
      <c r="M209" s="44"/>
      <c r="P209" s="44"/>
      <c r="Q209" s="44"/>
      <c r="S209" s="44"/>
      <c r="U209" s="44"/>
      <c r="V209" s="45"/>
    </row>
    <row r="210" ht="12.75" customHeight="1">
      <c r="M210" s="44"/>
      <c r="P210" s="44"/>
      <c r="Q210" s="44"/>
      <c r="S210" s="44"/>
      <c r="U210" s="44"/>
      <c r="V210" s="45"/>
    </row>
    <row r="211" ht="12.75" customHeight="1">
      <c r="M211" s="44"/>
      <c r="P211" s="44"/>
      <c r="Q211" s="44"/>
      <c r="S211" s="44"/>
      <c r="U211" s="44"/>
      <c r="V211" s="45"/>
    </row>
    <row r="212" ht="12.75" customHeight="1">
      <c r="M212" s="44"/>
      <c r="P212" s="44"/>
      <c r="Q212" s="44"/>
      <c r="S212" s="44"/>
      <c r="U212" s="44"/>
      <c r="V212" s="45"/>
    </row>
    <row r="213" ht="12.75" customHeight="1">
      <c r="M213" s="44"/>
      <c r="P213" s="44"/>
      <c r="Q213" s="44"/>
      <c r="S213" s="44"/>
      <c r="U213" s="44"/>
      <c r="V213" s="45"/>
    </row>
    <row r="214" ht="12.75" customHeight="1">
      <c r="M214" s="44"/>
      <c r="P214" s="44"/>
      <c r="Q214" s="44"/>
      <c r="S214" s="44"/>
      <c r="U214" s="44"/>
      <c r="V214" s="45"/>
    </row>
    <row r="215" ht="12.75" customHeight="1">
      <c r="M215" s="44"/>
      <c r="P215" s="44"/>
      <c r="Q215" s="44"/>
      <c r="S215" s="44"/>
      <c r="U215" s="44"/>
      <c r="V215" s="45"/>
    </row>
    <row r="216" ht="12.75" customHeight="1">
      <c r="M216" s="44"/>
      <c r="P216" s="44"/>
      <c r="Q216" s="44"/>
      <c r="S216" s="44"/>
      <c r="U216" s="44"/>
      <c r="V216" s="45"/>
    </row>
    <row r="217" ht="12.75" customHeight="1">
      <c r="M217" s="44"/>
      <c r="P217" s="44"/>
      <c r="Q217" s="44"/>
      <c r="S217" s="44"/>
      <c r="U217" s="44"/>
      <c r="V217" s="45"/>
    </row>
    <row r="218" ht="12.75" customHeight="1">
      <c r="M218" s="44"/>
      <c r="P218" s="44"/>
      <c r="Q218" s="44"/>
      <c r="S218" s="44"/>
      <c r="U218" s="44"/>
      <c r="V218" s="45"/>
    </row>
    <row r="219" ht="12.75" customHeight="1">
      <c r="M219" s="44"/>
      <c r="P219" s="44"/>
      <c r="Q219" s="44"/>
      <c r="S219" s="44"/>
      <c r="U219" s="44"/>
      <c r="V219" s="45"/>
    </row>
    <row r="220" ht="12.75" customHeight="1">
      <c r="M220" s="44"/>
      <c r="P220" s="44"/>
      <c r="Q220" s="44"/>
      <c r="S220" s="44"/>
      <c r="U220" s="44"/>
      <c r="V220" s="45"/>
    </row>
    <row r="221" ht="12.75" customHeight="1">
      <c r="M221" s="44"/>
      <c r="P221" s="44"/>
      <c r="Q221" s="44"/>
      <c r="S221" s="44"/>
      <c r="U221" s="44"/>
      <c r="V221" s="45"/>
    </row>
    <row r="222" ht="12.75" customHeight="1">
      <c r="M222" s="44"/>
      <c r="P222" s="44"/>
      <c r="Q222" s="44"/>
      <c r="S222" s="44"/>
      <c r="U222" s="44"/>
      <c r="V222" s="45"/>
    </row>
    <row r="223" ht="12.75" customHeight="1">
      <c r="M223" s="44"/>
      <c r="P223" s="44"/>
      <c r="Q223" s="44"/>
      <c r="S223" s="44"/>
      <c r="U223" s="44"/>
      <c r="V223" s="45"/>
    </row>
    <row r="224" ht="12.75" customHeight="1">
      <c r="M224" s="44"/>
      <c r="P224" s="44"/>
      <c r="Q224" s="44"/>
      <c r="S224" s="44"/>
      <c r="U224" s="44"/>
      <c r="V224" s="45"/>
    </row>
    <row r="225" ht="12.75" customHeight="1">
      <c r="M225" s="44"/>
      <c r="P225" s="44"/>
      <c r="Q225" s="44"/>
      <c r="S225" s="44"/>
      <c r="U225" s="44"/>
      <c r="V225" s="45"/>
    </row>
    <row r="226" ht="12.75" customHeight="1">
      <c r="M226" s="44"/>
      <c r="P226" s="44"/>
      <c r="Q226" s="44"/>
      <c r="S226" s="44"/>
      <c r="U226" s="44"/>
      <c r="V226" s="45"/>
    </row>
    <row r="227" ht="12.75" customHeight="1">
      <c r="M227" s="44"/>
      <c r="P227" s="44"/>
      <c r="Q227" s="44"/>
      <c r="S227" s="44"/>
      <c r="U227" s="44"/>
      <c r="V227" s="45"/>
    </row>
    <row r="228" ht="12.75" customHeight="1">
      <c r="M228" s="44"/>
      <c r="P228" s="44"/>
      <c r="Q228" s="44"/>
      <c r="S228" s="44"/>
      <c r="U228" s="44"/>
      <c r="V228" s="45"/>
    </row>
    <row r="229" ht="12.75" customHeight="1">
      <c r="M229" s="44"/>
      <c r="P229" s="44"/>
      <c r="Q229" s="44"/>
      <c r="S229" s="44"/>
      <c r="U229" s="44"/>
      <c r="V229" s="45"/>
    </row>
    <row r="230" ht="12.75" customHeight="1">
      <c r="M230" s="44"/>
      <c r="P230" s="44"/>
      <c r="Q230" s="44"/>
      <c r="S230" s="44"/>
      <c r="U230" s="44"/>
      <c r="V230" s="45"/>
    </row>
    <row r="231" ht="12.75" customHeight="1">
      <c r="M231" s="44"/>
      <c r="P231" s="44"/>
      <c r="Q231" s="44"/>
      <c r="S231" s="44"/>
      <c r="U231" s="44"/>
      <c r="V231" s="45"/>
    </row>
    <row r="232" ht="12.75" customHeight="1">
      <c r="M232" s="44"/>
      <c r="P232" s="44"/>
      <c r="Q232" s="44"/>
      <c r="S232" s="44"/>
      <c r="U232" s="44"/>
      <c r="V232" s="45"/>
    </row>
    <row r="233" ht="12.75" customHeight="1">
      <c r="M233" s="44"/>
      <c r="P233" s="44"/>
      <c r="Q233" s="44"/>
      <c r="S233" s="44"/>
      <c r="U233" s="44"/>
      <c r="V233" s="45"/>
    </row>
    <row r="234" ht="12.75" customHeight="1">
      <c r="M234" s="44"/>
      <c r="P234" s="44"/>
      <c r="Q234" s="44"/>
      <c r="S234" s="44"/>
      <c r="U234" s="44"/>
      <c r="V234" s="45"/>
    </row>
    <row r="235" ht="12.75" customHeight="1">
      <c r="M235" s="44"/>
      <c r="P235" s="44"/>
      <c r="Q235" s="44"/>
      <c r="S235" s="44"/>
      <c r="U235" s="44"/>
      <c r="V235" s="45"/>
    </row>
    <row r="236" ht="12.75" customHeight="1">
      <c r="M236" s="44"/>
      <c r="P236" s="44"/>
      <c r="Q236" s="44"/>
      <c r="S236" s="44"/>
      <c r="U236" s="44"/>
      <c r="V236" s="45"/>
    </row>
    <row r="237" ht="12.75" customHeight="1">
      <c r="M237" s="44"/>
      <c r="P237" s="44"/>
      <c r="Q237" s="44"/>
      <c r="S237" s="44"/>
      <c r="U237" s="44"/>
      <c r="V237" s="45"/>
    </row>
    <row r="238" ht="12.75" customHeight="1">
      <c r="M238" s="44"/>
      <c r="P238" s="44"/>
      <c r="Q238" s="44"/>
      <c r="S238" s="44"/>
      <c r="U238" s="44"/>
      <c r="V238" s="45"/>
    </row>
    <row r="239" ht="12.75" customHeight="1">
      <c r="M239" s="44"/>
      <c r="P239" s="44"/>
      <c r="Q239" s="44"/>
      <c r="S239" s="44"/>
      <c r="U239" s="44"/>
      <c r="V239" s="45"/>
    </row>
    <row r="240" ht="12.75" customHeight="1">
      <c r="M240" s="44"/>
      <c r="P240" s="44"/>
      <c r="Q240" s="44"/>
      <c r="S240" s="44"/>
      <c r="U240" s="44"/>
      <c r="V240" s="45"/>
    </row>
    <row r="241" ht="12.75" customHeight="1">
      <c r="M241" s="44"/>
      <c r="P241" s="44"/>
      <c r="Q241" s="44"/>
      <c r="S241" s="44"/>
      <c r="U241" s="44"/>
      <c r="V241" s="45"/>
    </row>
    <row r="242" ht="12.75" customHeight="1">
      <c r="M242" s="44"/>
      <c r="P242" s="44"/>
      <c r="Q242" s="44"/>
      <c r="S242" s="44"/>
      <c r="U242" s="44"/>
      <c r="V242" s="45"/>
    </row>
    <row r="243" ht="12.75" customHeight="1">
      <c r="M243" s="44"/>
      <c r="P243" s="44"/>
      <c r="Q243" s="44"/>
      <c r="S243" s="44"/>
      <c r="U243" s="44"/>
      <c r="V243" s="45"/>
    </row>
    <row r="244" ht="12.75" customHeight="1">
      <c r="M244" s="44"/>
      <c r="P244" s="44"/>
      <c r="Q244" s="44"/>
      <c r="S244" s="44"/>
      <c r="U244" s="44"/>
      <c r="V244" s="45"/>
    </row>
    <row r="245" ht="12.75" customHeight="1">
      <c r="M245" s="44"/>
      <c r="P245" s="44"/>
      <c r="Q245" s="44"/>
      <c r="S245" s="44"/>
      <c r="U245" s="44"/>
      <c r="V245" s="45"/>
    </row>
    <row r="246" ht="12.75" customHeight="1">
      <c r="M246" s="44"/>
      <c r="P246" s="44"/>
      <c r="Q246" s="44"/>
      <c r="S246" s="44"/>
      <c r="U246" s="44"/>
      <c r="V246" s="45"/>
    </row>
    <row r="247" ht="12.75" customHeight="1">
      <c r="M247" s="44"/>
      <c r="P247" s="44"/>
      <c r="Q247" s="44"/>
      <c r="S247" s="44"/>
      <c r="U247" s="44"/>
      <c r="V247" s="45"/>
    </row>
    <row r="248" ht="12.75" customHeight="1">
      <c r="M248" s="44"/>
      <c r="P248" s="44"/>
      <c r="Q248" s="44"/>
      <c r="S248" s="44"/>
      <c r="U248" s="44"/>
      <c r="V248" s="45"/>
    </row>
    <row r="249" ht="12.75" customHeight="1">
      <c r="M249" s="44"/>
      <c r="P249" s="44"/>
      <c r="Q249" s="44"/>
      <c r="S249" s="44"/>
      <c r="U249" s="44"/>
      <c r="V249" s="45"/>
    </row>
    <row r="250" ht="12.75" customHeight="1">
      <c r="M250" s="44"/>
      <c r="P250" s="44"/>
      <c r="Q250" s="44"/>
      <c r="S250" s="44"/>
      <c r="U250" s="44"/>
      <c r="V250" s="45"/>
    </row>
    <row r="251" ht="12.75" customHeight="1">
      <c r="M251" s="44"/>
      <c r="P251" s="44"/>
      <c r="Q251" s="44"/>
      <c r="S251" s="44"/>
      <c r="U251" s="44"/>
      <c r="V251" s="45"/>
    </row>
    <row r="252" ht="12.75" customHeight="1">
      <c r="M252" s="44"/>
      <c r="P252" s="44"/>
      <c r="Q252" s="44"/>
      <c r="S252" s="44"/>
      <c r="U252" s="44"/>
      <c r="V252" s="45"/>
    </row>
    <row r="253" ht="12.75" customHeight="1">
      <c r="M253" s="44"/>
      <c r="P253" s="44"/>
      <c r="Q253" s="44"/>
      <c r="S253" s="44"/>
      <c r="U253" s="44"/>
      <c r="V253" s="45"/>
    </row>
    <row r="254" ht="12.75" customHeight="1">
      <c r="M254" s="44"/>
      <c r="P254" s="44"/>
      <c r="Q254" s="44"/>
      <c r="S254" s="44"/>
      <c r="U254" s="44"/>
      <c r="V254" s="45"/>
    </row>
    <row r="255" ht="12.75" customHeight="1">
      <c r="M255" s="44"/>
      <c r="P255" s="44"/>
      <c r="Q255" s="44"/>
      <c r="S255" s="44"/>
      <c r="U255" s="44"/>
      <c r="V255" s="45"/>
    </row>
    <row r="256" ht="12.75" customHeight="1">
      <c r="M256" s="44"/>
      <c r="P256" s="44"/>
      <c r="Q256" s="44"/>
      <c r="S256" s="44"/>
      <c r="U256" s="44"/>
      <c r="V256" s="45"/>
    </row>
    <row r="257" ht="12.75" customHeight="1">
      <c r="M257" s="44"/>
      <c r="P257" s="44"/>
      <c r="Q257" s="44"/>
      <c r="S257" s="44"/>
      <c r="U257" s="44"/>
      <c r="V257" s="45"/>
    </row>
    <row r="258" ht="12.75" customHeight="1">
      <c r="M258" s="44"/>
      <c r="P258" s="44"/>
      <c r="Q258" s="44"/>
      <c r="S258" s="44"/>
      <c r="U258" s="44"/>
      <c r="V258" s="45"/>
    </row>
    <row r="259" ht="12.75" customHeight="1">
      <c r="M259" s="44"/>
      <c r="P259" s="44"/>
      <c r="Q259" s="44"/>
      <c r="S259" s="44"/>
      <c r="U259" s="44"/>
      <c r="V259" s="45"/>
    </row>
    <row r="260" ht="12.75" customHeight="1">
      <c r="M260" s="44"/>
      <c r="P260" s="44"/>
      <c r="Q260" s="44"/>
      <c r="S260" s="44"/>
      <c r="U260" s="44"/>
      <c r="V260" s="45"/>
    </row>
    <row r="261" ht="12.75" customHeight="1">
      <c r="M261" s="44"/>
      <c r="P261" s="44"/>
      <c r="Q261" s="44"/>
      <c r="S261" s="44"/>
      <c r="U261" s="44"/>
      <c r="V261" s="45"/>
    </row>
    <row r="262" ht="12.75" customHeight="1">
      <c r="M262" s="44"/>
      <c r="P262" s="44"/>
      <c r="Q262" s="44"/>
      <c r="S262" s="44"/>
      <c r="U262" s="44"/>
      <c r="V262" s="45"/>
    </row>
    <row r="263" ht="12.75" customHeight="1">
      <c r="M263" s="44"/>
      <c r="P263" s="44"/>
      <c r="Q263" s="44"/>
      <c r="S263" s="44"/>
      <c r="U263" s="44"/>
      <c r="V263" s="45"/>
    </row>
    <row r="264" ht="12.75" customHeight="1">
      <c r="M264" s="44"/>
      <c r="P264" s="44"/>
      <c r="Q264" s="44"/>
      <c r="S264" s="44"/>
      <c r="U264" s="44"/>
      <c r="V264" s="45"/>
    </row>
    <row r="265" ht="12.75" customHeight="1">
      <c r="M265" s="44"/>
      <c r="P265" s="44"/>
      <c r="Q265" s="44"/>
      <c r="S265" s="44"/>
      <c r="U265" s="44"/>
      <c r="V265" s="45"/>
    </row>
    <row r="266" ht="12.75" customHeight="1">
      <c r="M266" s="44"/>
      <c r="P266" s="44"/>
      <c r="Q266" s="44"/>
      <c r="S266" s="44"/>
      <c r="U266" s="44"/>
      <c r="V266" s="45"/>
    </row>
    <row r="267" ht="12.75" customHeight="1">
      <c r="M267" s="44"/>
      <c r="P267" s="44"/>
      <c r="Q267" s="44"/>
      <c r="S267" s="44"/>
      <c r="U267" s="44"/>
      <c r="V267" s="45"/>
    </row>
    <row r="268" ht="12.75" customHeight="1">
      <c r="M268" s="44"/>
      <c r="P268" s="44"/>
      <c r="Q268" s="44"/>
      <c r="S268" s="44"/>
      <c r="U268" s="44"/>
      <c r="V268" s="45"/>
    </row>
    <row r="269" ht="12.75" customHeight="1">
      <c r="M269" s="44"/>
      <c r="P269" s="44"/>
      <c r="Q269" s="44"/>
      <c r="S269" s="44"/>
      <c r="U269" s="44"/>
      <c r="V269" s="45"/>
    </row>
    <row r="270" ht="12.75" customHeight="1">
      <c r="M270" s="44"/>
      <c r="P270" s="44"/>
      <c r="Q270" s="44"/>
      <c r="S270" s="44"/>
      <c r="U270" s="44"/>
      <c r="V270" s="45"/>
    </row>
    <row r="271" ht="12.75" customHeight="1">
      <c r="M271" s="44"/>
      <c r="P271" s="44"/>
      <c r="Q271" s="44"/>
      <c r="S271" s="44"/>
      <c r="U271" s="44"/>
      <c r="V271" s="45"/>
    </row>
    <row r="272" ht="12.75" customHeight="1">
      <c r="M272" s="44"/>
      <c r="P272" s="44"/>
      <c r="Q272" s="44"/>
      <c r="S272" s="44"/>
      <c r="U272" s="44"/>
      <c r="V272" s="45"/>
    </row>
    <row r="273" ht="12.75" customHeight="1">
      <c r="M273" s="44"/>
      <c r="P273" s="44"/>
      <c r="Q273" s="44"/>
      <c r="S273" s="44"/>
      <c r="U273" s="44"/>
      <c r="V273" s="45"/>
    </row>
    <row r="274" ht="12.75" customHeight="1">
      <c r="M274" s="44"/>
      <c r="P274" s="44"/>
      <c r="Q274" s="44"/>
      <c r="S274" s="44"/>
      <c r="U274" s="44"/>
      <c r="V274" s="45"/>
    </row>
    <row r="275" ht="12.75" customHeight="1">
      <c r="M275" s="44"/>
      <c r="P275" s="44"/>
      <c r="Q275" s="44"/>
      <c r="S275" s="44"/>
      <c r="U275" s="44"/>
      <c r="V275" s="45"/>
    </row>
    <row r="276" ht="12.75" customHeight="1">
      <c r="M276" s="44"/>
      <c r="P276" s="44"/>
      <c r="Q276" s="44"/>
      <c r="S276" s="44"/>
      <c r="U276" s="44"/>
      <c r="V276" s="45"/>
    </row>
    <row r="277" ht="12.75" customHeight="1">
      <c r="M277" s="44"/>
      <c r="P277" s="44"/>
      <c r="Q277" s="44"/>
      <c r="S277" s="44"/>
      <c r="U277" s="44"/>
      <c r="V277" s="45"/>
    </row>
    <row r="278" ht="12.75" customHeight="1">
      <c r="M278" s="44"/>
      <c r="P278" s="44"/>
      <c r="Q278" s="44"/>
      <c r="S278" s="44"/>
      <c r="U278" s="44"/>
      <c r="V278" s="45"/>
    </row>
    <row r="279" ht="12.75" customHeight="1">
      <c r="M279" s="44"/>
      <c r="P279" s="44"/>
      <c r="Q279" s="44"/>
      <c r="S279" s="44"/>
      <c r="U279" s="44"/>
      <c r="V279" s="45"/>
    </row>
    <row r="280" ht="12.75" customHeight="1">
      <c r="M280" s="44"/>
      <c r="P280" s="44"/>
      <c r="Q280" s="44"/>
      <c r="S280" s="44"/>
      <c r="U280" s="44"/>
      <c r="V280" s="45"/>
    </row>
    <row r="281" ht="12.75" customHeight="1">
      <c r="M281" s="44"/>
      <c r="P281" s="44"/>
      <c r="Q281" s="44"/>
      <c r="S281" s="44"/>
      <c r="U281" s="44"/>
      <c r="V281" s="45"/>
    </row>
    <row r="282" ht="12.75" customHeight="1">
      <c r="M282" s="44"/>
      <c r="P282" s="44"/>
      <c r="Q282" s="44"/>
      <c r="S282" s="44"/>
      <c r="U282" s="44"/>
      <c r="V282" s="45"/>
    </row>
    <row r="283" ht="12.75" customHeight="1">
      <c r="M283" s="44"/>
      <c r="P283" s="44"/>
      <c r="Q283" s="44"/>
      <c r="S283" s="44"/>
      <c r="U283" s="44"/>
      <c r="V283" s="45"/>
    </row>
    <row r="284" ht="12.75" customHeight="1">
      <c r="M284" s="44"/>
      <c r="P284" s="44"/>
      <c r="Q284" s="44"/>
      <c r="S284" s="44"/>
      <c r="U284" s="44"/>
      <c r="V284" s="45"/>
    </row>
    <row r="285" ht="12.75" customHeight="1">
      <c r="M285" s="44"/>
      <c r="P285" s="44"/>
      <c r="Q285" s="44"/>
      <c r="S285" s="44"/>
      <c r="U285" s="44"/>
      <c r="V285" s="45"/>
    </row>
    <row r="286" ht="12.75" customHeight="1">
      <c r="M286" s="44"/>
      <c r="P286" s="44"/>
      <c r="Q286" s="44"/>
      <c r="S286" s="44"/>
      <c r="U286" s="44"/>
      <c r="V286" s="45"/>
    </row>
    <row r="287" ht="12.75" customHeight="1">
      <c r="M287" s="44"/>
      <c r="P287" s="44"/>
      <c r="Q287" s="44"/>
      <c r="S287" s="44"/>
      <c r="U287" s="44"/>
      <c r="V287" s="45"/>
    </row>
    <row r="288" ht="12.75" customHeight="1">
      <c r="M288" s="44"/>
      <c r="P288" s="44"/>
      <c r="Q288" s="44"/>
      <c r="S288" s="44"/>
      <c r="U288" s="44"/>
      <c r="V288" s="45"/>
    </row>
    <row r="289" ht="12.75" customHeight="1">
      <c r="M289" s="44"/>
      <c r="P289" s="44"/>
      <c r="Q289" s="44"/>
      <c r="S289" s="44"/>
      <c r="U289" s="44"/>
      <c r="V289" s="45"/>
    </row>
    <row r="290" ht="12.75" customHeight="1">
      <c r="M290" s="44"/>
      <c r="P290" s="44"/>
      <c r="Q290" s="44"/>
      <c r="S290" s="44"/>
      <c r="U290" s="44"/>
      <c r="V290" s="45"/>
    </row>
    <row r="291" ht="12.75" customHeight="1">
      <c r="M291" s="44"/>
      <c r="P291" s="44"/>
      <c r="Q291" s="44"/>
      <c r="S291" s="44"/>
      <c r="U291" s="44"/>
      <c r="V291" s="45"/>
    </row>
    <row r="292" ht="12.75" customHeight="1">
      <c r="M292" s="44"/>
      <c r="P292" s="44"/>
      <c r="Q292" s="44"/>
      <c r="S292" s="44"/>
      <c r="U292" s="44"/>
      <c r="V292" s="45"/>
    </row>
    <row r="293" ht="12.75" customHeight="1">
      <c r="M293" s="44"/>
      <c r="P293" s="44"/>
      <c r="Q293" s="44"/>
      <c r="S293" s="44"/>
      <c r="U293" s="44"/>
      <c r="V293" s="45"/>
    </row>
    <row r="294" ht="12.75" customHeight="1">
      <c r="M294" s="44"/>
      <c r="P294" s="44"/>
      <c r="Q294" s="44"/>
      <c r="S294" s="44"/>
      <c r="U294" s="44"/>
      <c r="V294" s="45"/>
    </row>
    <row r="295" ht="12.75" customHeight="1">
      <c r="M295" s="44"/>
      <c r="P295" s="44"/>
      <c r="Q295" s="44"/>
      <c r="S295" s="44"/>
      <c r="U295" s="44"/>
      <c r="V295" s="45"/>
    </row>
    <row r="296" ht="12.75" customHeight="1">
      <c r="M296" s="44"/>
      <c r="P296" s="44"/>
      <c r="Q296" s="44"/>
      <c r="S296" s="44"/>
      <c r="U296" s="44"/>
      <c r="V296" s="45"/>
    </row>
    <row r="297" ht="12.75" customHeight="1">
      <c r="M297" s="44"/>
      <c r="P297" s="44"/>
      <c r="Q297" s="44"/>
      <c r="S297" s="44"/>
      <c r="U297" s="44"/>
      <c r="V297" s="45"/>
    </row>
    <row r="298" ht="12.75" customHeight="1">
      <c r="M298" s="44"/>
      <c r="P298" s="44"/>
      <c r="Q298" s="44"/>
      <c r="S298" s="44"/>
      <c r="U298" s="44"/>
      <c r="V298" s="45"/>
    </row>
    <row r="299" ht="12.75" customHeight="1">
      <c r="M299" s="44"/>
      <c r="P299" s="44"/>
      <c r="Q299" s="44"/>
      <c r="S299" s="44"/>
      <c r="U299" s="44"/>
      <c r="V299" s="45"/>
    </row>
    <row r="300" ht="12.75" customHeight="1">
      <c r="M300" s="44"/>
      <c r="P300" s="44"/>
      <c r="Q300" s="44"/>
      <c r="S300" s="44"/>
      <c r="U300" s="44"/>
      <c r="V300" s="45"/>
    </row>
    <row r="301" ht="12.75" customHeight="1">
      <c r="M301" s="44"/>
      <c r="P301" s="44"/>
      <c r="Q301" s="44"/>
      <c r="S301" s="44"/>
      <c r="U301" s="44"/>
      <c r="V301" s="45"/>
    </row>
    <row r="302" ht="12.75" customHeight="1">
      <c r="M302" s="44"/>
      <c r="P302" s="44"/>
      <c r="Q302" s="44"/>
      <c r="S302" s="44"/>
      <c r="U302" s="44"/>
      <c r="V302" s="45"/>
    </row>
    <row r="303" ht="12.75" customHeight="1">
      <c r="M303" s="44"/>
      <c r="P303" s="44"/>
      <c r="Q303" s="44"/>
      <c r="S303" s="44"/>
      <c r="U303" s="44"/>
      <c r="V303" s="45"/>
    </row>
    <row r="304" ht="12.75" customHeight="1">
      <c r="M304" s="44"/>
      <c r="P304" s="44"/>
      <c r="Q304" s="44"/>
      <c r="S304" s="44"/>
      <c r="U304" s="44"/>
      <c r="V304" s="45"/>
    </row>
    <row r="305" ht="12.75" customHeight="1">
      <c r="M305" s="44"/>
      <c r="P305" s="44"/>
      <c r="Q305" s="44"/>
      <c r="S305" s="44"/>
      <c r="U305" s="44"/>
      <c r="V305" s="45"/>
    </row>
    <row r="306" ht="12.75" customHeight="1">
      <c r="M306" s="44"/>
      <c r="P306" s="44"/>
      <c r="Q306" s="44"/>
      <c r="S306" s="44"/>
      <c r="U306" s="44"/>
      <c r="V306" s="45"/>
    </row>
    <row r="307" ht="12.75" customHeight="1">
      <c r="M307" s="44"/>
      <c r="P307" s="44"/>
      <c r="Q307" s="44"/>
      <c r="S307" s="44"/>
      <c r="U307" s="44"/>
      <c r="V307" s="45"/>
    </row>
    <row r="308" ht="12.75" customHeight="1">
      <c r="M308" s="44"/>
      <c r="P308" s="44"/>
      <c r="Q308" s="44"/>
      <c r="S308" s="44"/>
      <c r="U308" s="44"/>
      <c r="V308" s="45"/>
    </row>
    <row r="309" ht="12.75" customHeight="1">
      <c r="M309" s="44"/>
      <c r="P309" s="44"/>
      <c r="Q309" s="44"/>
      <c r="S309" s="44"/>
      <c r="U309" s="44"/>
      <c r="V309" s="45"/>
    </row>
    <row r="310" ht="12.75" customHeight="1">
      <c r="M310" s="44"/>
      <c r="P310" s="44"/>
      <c r="Q310" s="44"/>
      <c r="S310" s="44"/>
      <c r="U310" s="44"/>
      <c r="V310" s="45"/>
    </row>
    <row r="311" ht="12.75" customHeight="1">
      <c r="M311" s="44"/>
      <c r="P311" s="44"/>
      <c r="Q311" s="44"/>
      <c r="S311" s="44"/>
      <c r="U311" s="44"/>
      <c r="V311" s="45"/>
    </row>
    <row r="312" ht="12.75" customHeight="1">
      <c r="M312" s="44"/>
      <c r="P312" s="44"/>
      <c r="Q312" s="44"/>
      <c r="S312" s="44"/>
      <c r="U312" s="44"/>
      <c r="V312" s="45"/>
    </row>
    <row r="313" ht="12.75" customHeight="1">
      <c r="M313" s="44"/>
      <c r="P313" s="44"/>
      <c r="Q313" s="44"/>
      <c r="S313" s="44"/>
      <c r="U313" s="44"/>
      <c r="V313" s="45"/>
    </row>
    <row r="314" ht="12.75" customHeight="1">
      <c r="M314" s="44"/>
      <c r="P314" s="44"/>
      <c r="Q314" s="44"/>
      <c r="S314" s="44"/>
      <c r="U314" s="44"/>
      <c r="V314" s="45"/>
    </row>
    <row r="315" ht="12.75" customHeight="1">
      <c r="M315" s="44"/>
      <c r="P315" s="44"/>
      <c r="Q315" s="44"/>
      <c r="S315" s="44"/>
      <c r="U315" s="44"/>
      <c r="V315" s="45"/>
    </row>
    <row r="316" ht="12.75" customHeight="1">
      <c r="M316" s="44"/>
      <c r="P316" s="44"/>
      <c r="Q316" s="44"/>
      <c r="S316" s="44"/>
      <c r="U316" s="44"/>
      <c r="V316" s="45"/>
    </row>
    <row r="317" ht="12.75" customHeight="1">
      <c r="M317" s="44"/>
      <c r="P317" s="44"/>
      <c r="Q317" s="44"/>
      <c r="S317" s="44"/>
      <c r="U317" s="44"/>
      <c r="V317" s="45"/>
    </row>
    <row r="318" ht="12.75" customHeight="1">
      <c r="M318" s="44"/>
      <c r="P318" s="44"/>
      <c r="Q318" s="44"/>
      <c r="S318" s="44"/>
      <c r="U318" s="44"/>
      <c r="V318" s="45"/>
    </row>
    <row r="319" ht="12.75" customHeight="1">
      <c r="M319" s="44"/>
      <c r="P319" s="44"/>
      <c r="Q319" s="44"/>
      <c r="S319" s="44"/>
      <c r="U319" s="44"/>
      <c r="V319" s="45"/>
    </row>
    <row r="320" ht="12.75" customHeight="1">
      <c r="M320" s="44"/>
      <c r="P320" s="44"/>
      <c r="Q320" s="44"/>
      <c r="S320" s="44"/>
      <c r="U320" s="44"/>
      <c r="V320" s="45"/>
    </row>
    <row r="321" ht="12.75" customHeight="1">
      <c r="M321" s="44"/>
      <c r="P321" s="44"/>
      <c r="Q321" s="44"/>
      <c r="S321" s="44"/>
      <c r="U321" s="44"/>
      <c r="V321" s="45"/>
    </row>
    <row r="322" ht="12.75" customHeight="1">
      <c r="M322" s="44"/>
      <c r="P322" s="44"/>
      <c r="Q322" s="44"/>
      <c r="S322" s="44"/>
      <c r="U322" s="44"/>
      <c r="V322" s="45"/>
    </row>
    <row r="323" ht="12.75" customHeight="1">
      <c r="M323" s="44"/>
      <c r="P323" s="44"/>
      <c r="Q323" s="44"/>
      <c r="S323" s="44"/>
      <c r="U323" s="44"/>
      <c r="V323" s="45"/>
    </row>
    <row r="324" ht="12.75" customHeight="1">
      <c r="M324" s="44"/>
      <c r="P324" s="44"/>
      <c r="Q324" s="44"/>
      <c r="S324" s="44"/>
      <c r="U324" s="44"/>
      <c r="V324" s="45"/>
    </row>
    <row r="325" ht="12.75" customHeight="1">
      <c r="M325" s="44"/>
      <c r="P325" s="44"/>
      <c r="Q325" s="44"/>
      <c r="S325" s="44"/>
      <c r="U325" s="44"/>
      <c r="V325" s="45"/>
    </row>
    <row r="326" ht="12.75" customHeight="1">
      <c r="M326" s="44"/>
      <c r="P326" s="44"/>
      <c r="Q326" s="44"/>
      <c r="S326" s="44"/>
      <c r="U326" s="44"/>
      <c r="V326" s="45"/>
    </row>
    <row r="327" ht="12.75" customHeight="1">
      <c r="M327" s="44"/>
      <c r="P327" s="44"/>
      <c r="Q327" s="44"/>
      <c r="S327" s="44"/>
      <c r="U327" s="44"/>
      <c r="V327" s="45"/>
    </row>
    <row r="328" ht="12.75" customHeight="1">
      <c r="M328" s="44"/>
      <c r="P328" s="44"/>
      <c r="Q328" s="44"/>
      <c r="S328" s="44"/>
      <c r="U328" s="44"/>
      <c r="V328" s="45"/>
    </row>
    <row r="329" ht="12.75" customHeight="1">
      <c r="M329" s="44"/>
      <c r="P329" s="44"/>
      <c r="Q329" s="44"/>
      <c r="S329" s="44"/>
      <c r="U329" s="44"/>
      <c r="V329" s="45"/>
    </row>
    <row r="330" ht="12.75" customHeight="1">
      <c r="M330" s="44"/>
      <c r="P330" s="44"/>
      <c r="Q330" s="44"/>
      <c r="S330" s="44"/>
      <c r="U330" s="44"/>
      <c r="V330" s="45"/>
    </row>
    <row r="331" ht="12.75" customHeight="1">
      <c r="M331" s="44"/>
      <c r="P331" s="44"/>
      <c r="Q331" s="44"/>
      <c r="S331" s="44"/>
      <c r="U331" s="44"/>
      <c r="V331" s="45"/>
    </row>
    <row r="332" ht="12.75" customHeight="1">
      <c r="M332" s="44"/>
      <c r="P332" s="44"/>
      <c r="Q332" s="44"/>
      <c r="S332" s="44"/>
      <c r="U332" s="44"/>
      <c r="V332" s="45"/>
    </row>
    <row r="333" ht="12.75" customHeight="1">
      <c r="M333" s="44"/>
      <c r="P333" s="44"/>
      <c r="Q333" s="44"/>
      <c r="S333" s="44"/>
      <c r="U333" s="44"/>
      <c r="V333" s="45"/>
    </row>
    <row r="334" ht="12.75" customHeight="1">
      <c r="M334" s="44"/>
      <c r="P334" s="44"/>
      <c r="Q334" s="44"/>
      <c r="S334" s="44"/>
      <c r="U334" s="44"/>
      <c r="V334" s="45"/>
    </row>
    <row r="335" ht="12.75" customHeight="1">
      <c r="M335" s="44"/>
      <c r="P335" s="44"/>
      <c r="Q335" s="44"/>
      <c r="S335" s="44"/>
      <c r="U335" s="44"/>
      <c r="V335" s="45"/>
    </row>
    <row r="336" ht="12.75" customHeight="1">
      <c r="M336" s="44"/>
      <c r="P336" s="44"/>
      <c r="Q336" s="44"/>
      <c r="S336" s="44"/>
      <c r="U336" s="44"/>
      <c r="V336" s="45"/>
    </row>
    <row r="337" ht="12.75" customHeight="1">
      <c r="M337" s="44"/>
      <c r="P337" s="44"/>
      <c r="Q337" s="44"/>
      <c r="S337" s="44"/>
      <c r="U337" s="44"/>
      <c r="V337" s="45"/>
    </row>
    <row r="338" ht="12.75" customHeight="1">
      <c r="M338" s="44"/>
      <c r="P338" s="44"/>
      <c r="Q338" s="44"/>
      <c r="S338" s="44"/>
      <c r="U338" s="44"/>
      <c r="V338" s="45"/>
    </row>
    <row r="339" ht="12.75" customHeight="1">
      <c r="M339" s="44"/>
      <c r="P339" s="44"/>
      <c r="Q339" s="44"/>
      <c r="S339" s="44"/>
      <c r="U339" s="44"/>
      <c r="V339" s="45"/>
    </row>
    <row r="340" ht="12.75" customHeight="1">
      <c r="M340" s="44"/>
      <c r="P340" s="44"/>
      <c r="Q340" s="44"/>
      <c r="S340" s="44"/>
      <c r="U340" s="44"/>
      <c r="V340" s="45"/>
    </row>
    <row r="341" ht="12.75" customHeight="1">
      <c r="M341" s="44"/>
      <c r="P341" s="44"/>
      <c r="Q341" s="44"/>
      <c r="S341" s="44"/>
      <c r="U341" s="44"/>
      <c r="V341" s="45"/>
    </row>
    <row r="342" ht="12.75" customHeight="1">
      <c r="M342" s="44"/>
      <c r="P342" s="44"/>
      <c r="Q342" s="44"/>
      <c r="S342" s="44"/>
      <c r="U342" s="44"/>
      <c r="V342" s="45"/>
    </row>
    <row r="343" ht="12.75" customHeight="1">
      <c r="M343" s="44"/>
      <c r="P343" s="44"/>
      <c r="Q343" s="44"/>
      <c r="S343" s="44"/>
      <c r="U343" s="44"/>
      <c r="V343" s="45"/>
    </row>
    <row r="344" ht="12.75" customHeight="1">
      <c r="M344" s="44"/>
      <c r="P344" s="44"/>
      <c r="Q344" s="44"/>
      <c r="S344" s="44"/>
      <c r="U344" s="44"/>
      <c r="V344" s="45"/>
    </row>
    <row r="345" ht="12.75" customHeight="1">
      <c r="M345" s="44"/>
      <c r="P345" s="44"/>
      <c r="Q345" s="44"/>
      <c r="S345" s="44"/>
      <c r="U345" s="44"/>
      <c r="V345" s="45"/>
    </row>
    <row r="346" ht="12.75" customHeight="1">
      <c r="M346" s="44"/>
      <c r="P346" s="44"/>
      <c r="Q346" s="44"/>
      <c r="S346" s="44"/>
      <c r="U346" s="44"/>
      <c r="V346" s="45"/>
    </row>
    <row r="347" ht="12.75" customHeight="1">
      <c r="M347" s="44"/>
      <c r="P347" s="44"/>
      <c r="Q347" s="44"/>
      <c r="S347" s="44"/>
      <c r="U347" s="44"/>
      <c r="V347" s="45"/>
    </row>
    <row r="348" ht="12.75" customHeight="1">
      <c r="M348" s="44"/>
      <c r="P348" s="44"/>
      <c r="Q348" s="44"/>
      <c r="S348" s="44"/>
      <c r="U348" s="44"/>
      <c r="V348" s="45"/>
    </row>
    <row r="349" ht="12.75" customHeight="1">
      <c r="M349" s="44"/>
      <c r="P349" s="44"/>
      <c r="Q349" s="44"/>
      <c r="S349" s="44"/>
      <c r="U349" s="44"/>
      <c r="V349" s="45"/>
    </row>
    <row r="350" ht="12.75" customHeight="1">
      <c r="M350" s="44"/>
      <c r="P350" s="44"/>
      <c r="Q350" s="44"/>
      <c r="S350" s="44"/>
      <c r="U350" s="44"/>
      <c r="V350" s="45"/>
    </row>
    <row r="351" ht="12.75" customHeight="1">
      <c r="M351" s="44"/>
      <c r="P351" s="44"/>
      <c r="Q351" s="44"/>
      <c r="S351" s="44"/>
      <c r="U351" s="44"/>
      <c r="V351" s="45"/>
    </row>
    <row r="352" ht="12.75" customHeight="1">
      <c r="M352" s="44"/>
      <c r="P352" s="44"/>
      <c r="Q352" s="44"/>
      <c r="S352" s="44"/>
      <c r="U352" s="44"/>
      <c r="V352" s="45"/>
    </row>
    <row r="353" ht="12.75" customHeight="1">
      <c r="M353" s="44"/>
      <c r="P353" s="44"/>
      <c r="Q353" s="44"/>
      <c r="S353" s="44"/>
      <c r="U353" s="44"/>
      <c r="V353" s="45"/>
    </row>
    <row r="354" ht="12.75" customHeight="1">
      <c r="M354" s="44"/>
      <c r="P354" s="44"/>
      <c r="Q354" s="44"/>
      <c r="S354" s="44"/>
      <c r="U354" s="44"/>
      <c r="V354" s="45"/>
    </row>
    <row r="355" ht="12.75" customHeight="1">
      <c r="M355" s="44"/>
      <c r="P355" s="44"/>
      <c r="Q355" s="44"/>
      <c r="S355" s="44"/>
      <c r="U355" s="44"/>
      <c r="V355" s="45"/>
    </row>
    <row r="356" ht="12.75" customHeight="1">
      <c r="M356" s="44"/>
      <c r="P356" s="44"/>
      <c r="Q356" s="44"/>
      <c r="S356" s="44"/>
      <c r="U356" s="44"/>
      <c r="V356" s="45"/>
    </row>
    <row r="357" ht="12.75" customHeight="1">
      <c r="M357" s="44"/>
      <c r="P357" s="44"/>
      <c r="Q357" s="44"/>
      <c r="S357" s="44"/>
      <c r="U357" s="44"/>
      <c r="V357" s="45"/>
    </row>
    <row r="358" ht="12.75" customHeight="1">
      <c r="M358" s="44"/>
      <c r="P358" s="44"/>
      <c r="Q358" s="44"/>
      <c r="S358" s="44"/>
      <c r="U358" s="44"/>
      <c r="V358" s="45"/>
    </row>
    <row r="359" ht="12.75" customHeight="1">
      <c r="M359" s="44"/>
      <c r="P359" s="44"/>
      <c r="Q359" s="44"/>
      <c r="S359" s="44"/>
      <c r="U359" s="44"/>
      <c r="V359" s="45"/>
    </row>
    <row r="360" ht="12.75" customHeight="1">
      <c r="M360" s="44"/>
      <c r="P360" s="44"/>
      <c r="Q360" s="44"/>
      <c r="S360" s="44"/>
      <c r="U360" s="44"/>
      <c r="V360" s="45"/>
    </row>
    <row r="361" ht="12.75" customHeight="1">
      <c r="M361" s="44"/>
      <c r="P361" s="44"/>
      <c r="Q361" s="44"/>
      <c r="S361" s="44"/>
      <c r="U361" s="44"/>
      <c r="V361" s="45"/>
    </row>
    <row r="362" ht="12.75" customHeight="1">
      <c r="M362" s="44"/>
      <c r="P362" s="44"/>
      <c r="Q362" s="44"/>
      <c r="S362" s="44"/>
      <c r="U362" s="44"/>
      <c r="V362" s="45"/>
    </row>
    <row r="363" ht="12.75" customHeight="1">
      <c r="M363" s="44"/>
      <c r="P363" s="44"/>
      <c r="Q363" s="44"/>
      <c r="S363" s="44"/>
      <c r="U363" s="44"/>
      <c r="V363" s="45"/>
    </row>
    <row r="364" ht="12.75" customHeight="1">
      <c r="M364" s="44"/>
      <c r="P364" s="44"/>
      <c r="Q364" s="44"/>
      <c r="S364" s="44"/>
      <c r="U364" s="44"/>
      <c r="V364" s="45"/>
    </row>
    <row r="365" ht="12.75" customHeight="1">
      <c r="M365" s="44"/>
      <c r="P365" s="44"/>
      <c r="Q365" s="44"/>
      <c r="S365" s="44"/>
      <c r="U365" s="44"/>
      <c r="V365" s="45"/>
    </row>
    <row r="366" ht="12.75" customHeight="1">
      <c r="M366" s="44"/>
      <c r="P366" s="44"/>
      <c r="Q366" s="44"/>
      <c r="S366" s="44"/>
      <c r="U366" s="44"/>
      <c r="V366" s="45"/>
    </row>
    <row r="367" ht="12.75" customHeight="1">
      <c r="M367" s="44"/>
      <c r="P367" s="44"/>
      <c r="Q367" s="44"/>
      <c r="S367" s="44"/>
      <c r="U367" s="44"/>
      <c r="V367" s="45"/>
    </row>
    <row r="368" ht="12.75" customHeight="1">
      <c r="M368" s="44"/>
      <c r="P368" s="44"/>
      <c r="Q368" s="44"/>
      <c r="S368" s="44"/>
      <c r="U368" s="44"/>
      <c r="V368" s="45"/>
    </row>
    <row r="369" ht="12.75" customHeight="1">
      <c r="M369" s="44"/>
      <c r="P369" s="44"/>
      <c r="Q369" s="44"/>
      <c r="S369" s="44"/>
      <c r="U369" s="44"/>
      <c r="V369" s="45"/>
    </row>
    <row r="370" ht="12.75" customHeight="1">
      <c r="M370" s="44"/>
      <c r="P370" s="44"/>
      <c r="Q370" s="44"/>
      <c r="S370" s="44"/>
      <c r="U370" s="44"/>
      <c r="V370" s="45"/>
    </row>
    <row r="371" ht="12.75" customHeight="1">
      <c r="M371" s="44"/>
      <c r="P371" s="44"/>
      <c r="Q371" s="44"/>
      <c r="S371" s="44"/>
      <c r="U371" s="44"/>
      <c r="V371" s="45"/>
    </row>
    <row r="372" ht="12.75" customHeight="1">
      <c r="M372" s="44"/>
      <c r="P372" s="44"/>
      <c r="Q372" s="44"/>
      <c r="S372" s="44"/>
      <c r="U372" s="44"/>
      <c r="V372" s="45"/>
    </row>
    <row r="373" ht="12.75" customHeight="1">
      <c r="M373" s="44"/>
      <c r="P373" s="44"/>
      <c r="Q373" s="44"/>
      <c r="S373" s="44"/>
      <c r="U373" s="44"/>
      <c r="V373" s="45"/>
    </row>
    <row r="374" ht="12.75" customHeight="1">
      <c r="M374" s="44"/>
      <c r="P374" s="44"/>
      <c r="Q374" s="44"/>
      <c r="S374" s="44"/>
      <c r="U374" s="44"/>
      <c r="V374" s="45"/>
    </row>
    <row r="375" ht="12.75" customHeight="1">
      <c r="M375" s="44"/>
      <c r="P375" s="44"/>
      <c r="Q375" s="44"/>
      <c r="S375" s="44"/>
      <c r="U375" s="44"/>
      <c r="V375" s="45"/>
    </row>
    <row r="376" ht="12.75" customHeight="1">
      <c r="M376" s="44"/>
      <c r="P376" s="44"/>
      <c r="Q376" s="44"/>
      <c r="S376" s="44"/>
      <c r="U376" s="44"/>
      <c r="V376" s="45"/>
    </row>
    <row r="377" ht="12.75" customHeight="1">
      <c r="M377" s="44"/>
      <c r="P377" s="44"/>
      <c r="Q377" s="44"/>
      <c r="S377" s="44"/>
      <c r="U377" s="44"/>
      <c r="V377" s="45"/>
    </row>
    <row r="378" ht="12.75" customHeight="1">
      <c r="M378" s="44"/>
      <c r="P378" s="44"/>
      <c r="Q378" s="44"/>
      <c r="S378" s="44"/>
      <c r="U378" s="44"/>
      <c r="V378" s="45"/>
    </row>
    <row r="379" ht="12.75" customHeight="1">
      <c r="M379" s="44"/>
      <c r="P379" s="44"/>
      <c r="Q379" s="44"/>
      <c r="S379" s="44"/>
      <c r="U379" s="44"/>
      <c r="V379" s="45"/>
    </row>
    <row r="380" ht="12.75" customHeight="1">
      <c r="M380" s="44"/>
      <c r="P380" s="44"/>
      <c r="Q380" s="44"/>
      <c r="S380" s="44"/>
      <c r="U380" s="44"/>
      <c r="V380" s="45"/>
    </row>
    <row r="381" ht="12.75" customHeight="1">
      <c r="M381" s="44"/>
      <c r="P381" s="44"/>
      <c r="Q381" s="44"/>
      <c r="S381" s="44"/>
      <c r="U381" s="44"/>
      <c r="V381" s="45"/>
    </row>
    <row r="382" ht="12.75" customHeight="1">
      <c r="M382" s="44"/>
      <c r="P382" s="44"/>
      <c r="Q382" s="44"/>
      <c r="S382" s="44"/>
      <c r="U382" s="44"/>
      <c r="V382" s="45"/>
    </row>
    <row r="383" ht="12.75" customHeight="1">
      <c r="M383" s="44"/>
      <c r="P383" s="44"/>
      <c r="Q383" s="44"/>
      <c r="S383" s="44"/>
      <c r="U383" s="44"/>
      <c r="V383" s="45"/>
    </row>
    <row r="384" ht="12.75" customHeight="1">
      <c r="M384" s="44"/>
      <c r="P384" s="44"/>
      <c r="Q384" s="44"/>
      <c r="S384" s="44"/>
      <c r="U384" s="44"/>
      <c r="V384" s="45"/>
    </row>
    <row r="385" ht="12.75" customHeight="1">
      <c r="M385" s="44"/>
      <c r="P385" s="44"/>
      <c r="Q385" s="44"/>
      <c r="S385" s="44"/>
      <c r="U385" s="44"/>
      <c r="V385" s="45"/>
    </row>
    <row r="386" ht="12.75" customHeight="1">
      <c r="M386" s="44"/>
      <c r="P386" s="44"/>
      <c r="Q386" s="44"/>
      <c r="S386" s="44"/>
      <c r="U386" s="44"/>
      <c r="V386" s="45"/>
    </row>
    <row r="387" ht="12.75" customHeight="1">
      <c r="M387" s="44"/>
      <c r="P387" s="44"/>
      <c r="Q387" s="44"/>
      <c r="S387" s="44"/>
      <c r="U387" s="44"/>
      <c r="V387" s="45"/>
    </row>
    <row r="388" ht="12.75" customHeight="1">
      <c r="M388" s="44"/>
      <c r="P388" s="44"/>
      <c r="Q388" s="44"/>
      <c r="S388" s="44"/>
      <c r="U388" s="44"/>
      <c r="V388" s="45"/>
    </row>
    <row r="389" ht="12.75" customHeight="1">
      <c r="M389" s="44"/>
      <c r="P389" s="44"/>
      <c r="Q389" s="44"/>
      <c r="S389" s="44"/>
      <c r="U389" s="44"/>
      <c r="V389" s="45"/>
    </row>
    <row r="390" ht="12.75" customHeight="1">
      <c r="M390" s="44"/>
      <c r="P390" s="44"/>
      <c r="Q390" s="44"/>
      <c r="S390" s="44"/>
      <c r="U390" s="44"/>
      <c r="V390" s="45"/>
    </row>
    <row r="391" ht="12.75" customHeight="1">
      <c r="M391" s="44"/>
      <c r="P391" s="44"/>
      <c r="Q391" s="44"/>
      <c r="S391" s="44"/>
      <c r="U391" s="44"/>
      <c r="V391" s="45"/>
    </row>
    <row r="392" ht="12.75" customHeight="1">
      <c r="M392" s="44"/>
      <c r="P392" s="44"/>
      <c r="Q392" s="44"/>
      <c r="S392" s="44"/>
      <c r="U392" s="44"/>
      <c r="V392" s="45"/>
    </row>
    <row r="393" ht="12.75" customHeight="1">
      <c r="M393" s="44"/>
      <c r="P393" s="44"/>
      <c r="Q393" s="44"/>
      <c r="S393" s="44"/>
      <c r="U393" s="44"/>
      <c r="V393" s="45"/>
    </row>
    <row r="394" ht="12.75" customHeight="1">
      <c r="M394" s="44"/>
      <c r="P394" s="44"/>
      <c r="Q394" s="44"/>
      <c r="S394" s="44"/>
      <c r="U394" s="44"/>
      <c r="V394" s="45"/>
    </row>
    <row r="395" ht="12.75" customHeight="1">
      <c r="M395" s="44"/>
      <c r="P395" s="44"/>
      <c r="Q395" s="44"/>
      <c r="S395" s="44"/>
      <c r="U395" s="44"/>
      <c r="V395" s="45"/>
    </row>
    <row r="396" ht="12.75" customHeight="1">
      <c r="M396" s="44"/>
      <c r="P396" s="44"/>
      <c r="Q396" s="44"/>
      <c r="S396" s="44"/>
      <c r="U396" s="44"/>
      <c r="V396" s="45"/>
    </row>
    <row r="397" ht="12.75" customHeight="1">
      <c r="M397" s="44"/>
      <c r="P397" s="44"/>
      <c r="Q397" s="44"/>
      <c r="S397" s="44"/>
      <c r="U397" s="44"/>
      <c r="V397" s="45"/>
    </row>
    <row r="398" ht="12.75" customHeight="1">
      <c r="M398" s="44"/>
      <c r="P398" s="44"/>
      <c r="Q398" s="44"/>
      <c r="S398" s="44"/>
      <c r="U398" s="44"/>
      <c r="V398" s="45"/>
    </row>
    <row r="399" ht="12.75" customHeight="1">
      <c r="M399" s="44"/>
      <c r="P399" s="44"/>
      <c r="Q399" s="44"/>
      <c r="S399" s="44"/>
      <c r="U399" s="44"/>
      <c r="V399" s="45"/>
    </row>
    <row r="400" ht="12.75" customHeight="1">
      <c r="M400" s="44"/>
      <c r="P400" s="44"/>
      <c r="Q400" s="44"/>
      <c r="S400" s="44"/>
      <c r="U400" s="44"/>
      <c r="V400" s="45"/>
    </row>
    <row r="401" ht="12.75" customHeight="1">
      <c r="M401" s="44"/>
      <c r="P401" s="44"/>
      <c r="Q401" s="44"/>
      <c r="S401" s="44"/>
      <c r="U401" s="44"/>
      <c r="V401" s="45"/>
    </row>
    <row r="402" ht="12.75" customHeight="1">
      <c r="M402" s="44"/>
      <c r="P402" s="44"/>
      <c r="Q402" s="44"/>
      <c r="S402" s="44"/>
      <c r="U402" s="44"/>
      <c r="V402" s="45"/>
    </row>
    <row r="403" ht="12.75" customHeight="1">
      <c r="M403" s="44"/>
      <c r="P403" s="44"/>
      <c r="Q403" s="44"/>
      <c r="S403" s="44"/>
      <c r="U403" s="44"/>
      <c r="V403" s="45"/>
    </row>
    <row r="404" ht="12.75" customHeight="1">
      <c r="M404" s="44"/>
      <c r="P404" s="44"/>
      <c r="Q404" s="44"/>
      <c r="S404" s="44"/>
      <c r="U404" s="44"/>
      <c r="V404" s="45"/>
    </row>
    <row r="405" ht="12.75" customHeight="1">
      <c r="M405" s="44"/>
      <c r="P405" s="44"/>
      <c r="Q405" s="44"/>
      <c r="S405" s="44"/>
      <c r="U405" s="44"/>
      <c r="V405" s="45"/>
    </row>
    <row r="406" ht="12.75" customHeight="1">
      <c r="M406" s="44"/>
      <c r="P406" s="44"/>
      <c r="Q406" s="44"/>
      <c r="S406" s="44"/>
      <c r="U406" s="44"/>
      <c r="V406" s="45"/>
    </row>
    <row r="407" ht="12.75" customHeight="1">
      <c r="M407" s="44"/>
      <c r="P407" s="44"/>
      <c r="Q407" s="44"/>
      <c r="S407" s="44"/>
      <c r="U407" s="44"/>
      <c r="V407" s="45"/>
    </row>
    <row r="408" ht="12.75" customHeight="1">
      <c r="M408" s="44"/>
      <c r="P408" s="44"/>
      <c r="Q408" s="44"/>
      <c r="S408" s="44"/>
      <c r="U408" s="44"/>
      <c r="V408" s="45"/>
    </row>
    <row r="409" ht="12.75" customHeight="1">
      <c r="M409" s="44"/>
      <c r="P409" s="44"/>
      <c r="Q409" s="44"/>
      <c r="S409" s="44"/>
      <c r="U409" s="44"/>
      <c r="V409" s="45"/>
    </row>
    <row r="410" ht="12.75" customHeight="1">
      <c r="M410" s="44"/>
      <c r="P410" s="44"/>
      <c r="Q410" s="44"/>
      <c r="S410" s="44"/>
      <c r="U410" s="44"/>
      <c r="V410" s="45"/>
    </row>
    <row r="411" ht="12.75" customHeight="1">
      <c r="M411" s="44"/>
      <c r="P411" s="44"/>
      <c r="Q411" s="44"/>
      <c r="S411" s="44"/>
      <c r="U411" s="44"/>
      <c r="V411" s="45"/>
    </row>
    <row r="412" ht="12.75" customHeight="1">
      <c r="M412" s="44"/>
      <c r="P412" s="44"/>
      <c r="Q412" s="44"/>
      <c r="S412" s="44"/>
      <c r="U412" s="44"/>
      <c r="V412" s="45"/>
    </row>
    <row r="413" ht="12.75" customHeight="1">
      <c r="M413" s="44"/>
      <c r="P413" s="44"/>
      <c r="Q413" s="44"/>
      <c r="S413" s="44"/>
      <c r="U413" s="44"/>
      <c r="V413" s="45"/>
    </row>
    <row r="414" ht="12.75" customHeight="1">
      <c r="M414" s="44"/>
      <c r="P414" s="44"/>
      <c r="Q414" s="44"/>
      <c r="S414" s="44"/>
      <c r="U414" s="44"/>
      <c r="V414" s="45"/>
    </row>
    <row r="415" ht="12.75" customHeight="1">
      <c r="M415" s="44"/>
      <c r="P415" s="44"/>
      <c r="Q415" s="44"/>
      <c r="S415" s="44"/>
      <c r="U415" s="44"/>
      <c r="V415" s="45"/>
    </row>
    <row r="416" ht="12.75" customHeight="1">
      <c r="M416" s="44"/>
      <c r="P416" s="44"/>
      <c r="Q416" s="44"/>
      <c r="S416" s="44"/>
      <c r="U416" s="44"/>
      <c r="V416" s="45"/>
    </row>
    <row r="417" ht="12.75" customHeight="1">
      <c r="M417" s="44"/>
      <c r="P417" s="44"/>
      <c r="Q417" s="44"/>
      <c r="S417" s="44"/>
      <c r="U417" s="44"/>
      <c r="V417" s="45"/>
    </row>
    <row r="418" ht="12.75" customHeight="1">
      <c r="M418" s="44"/>
      <c r="P418" s="44"/>
      <c r="Q418" s="44"/>
      <c r="S418" s="44"/>
      <c r="U418" s="44"/>
      <c r="V418" s="45"/>
    </row>
    <row r="419" ht="12.75" customHeight="1">
      <c r="M419" s="44"/>
      <c r="P419" s="44"/>
      <c r="Q419" s="44"/>
      <c r="S419" s="44"/>
      <c r="U419" s="44"/>
      <c r="V419" s="45"/>
    </row>
    <row r="420" ht="12.75" customHeight="1">
      <c r="M420" s="44"/>
      <c r="P420" s="44"/>
      <c r="Q420" s="44"/>
      <c r="S420" s="44"/>
      <c r="U420" s="44"/>
      <c r="V420" s="45"/>
    </row>
    <row r="421" ht="12.75" customHeight="1">
      <c r="M421" s="44"/>
      <c r="P421" s="44"/>
      <c r="Q421" s="44"/>
      <c r="S421" s="44"/>
      <c r="U421" s="44"/>
      <c r="V421" s="45"/>
    </row>
    <row r="422" ht="12.75" customHeight="1">
      <c r="M422" s="44"/>
      <c r="P422" s="44"/>
      <c r="Q422" s="44"/>
      <c r="S422" s="44"/>
      <c r="U422" s="44"/>
      <c r="V422" s="45"/>
    </row>
    <row r="423" ht="12.75" customHeight="1">
      <c r="M423" s="44"/>
      <c r="P423" s="44"/>
      <c r="Q423" s="44"/>
      <c r="S423" s="44"/>
      <c r="U423" s="44"/>
      <c r="V423" s="45"/>
    </row>
    <row r="424" ht="12.75" customHeight="1">
      <c r="M424" s="44"/>
      <c r="P424" s="44"/>
      <c r="Q424" s="44"/>
      <c r="S424" s="44"/>
      <c r="U424" s="44"/>
      <c r="V424" s="45"/>
    </row>
    <row r="425" ht="12.75" customHeight="1">
      <c r="M425" s="44"/>
      <c r="P425" s="44"/>
      <c r="Q425" s="44"/>
      <c r="S425" s="44"/>
      <c r="U425" s="44"/>
      <c r="V425" s="45"/>
    </row>
    <row r="426" ht="12.75" customHeight="1">
      <c r="M426" s="44"/>
      <c r="P426" s="44"/>
      <c r="Q426" s="44"/>
      <c r="S426" s="44"/>
      <c r="U426" s="44"/>
      <c r="V426" s="45"/>
    </row>
    <row r="427" ht="12.75" customHeight="1">
      <c r="M427" s="44"/>
      <c r="P427" s="44"/>
      <c r="Q427" s="44"/>
      <c r="S427" s="44"/>
      <c r="U427" s="44"/>
      <c r="V427" s="45"/>
    </row>
    <row r="428" ht="12.75" customHeight="1">
      <c r="M428" s="44"/>
      <c r="P428" s="44"/>
      <c r="Q428" s="44"/>
      <c r="S428" s="44"/>
      <c r="U428" s="44"/>
      <c r="V428" s="45"/>
    </row>
    <row r="429" ht="12.75" customHeight="1">
      <c r="M429" s="44"/>
      <c r="P429" s="44"/>
      <c r="Q429" s="44"/>
      <c r="S429" s="44"/>
      <c r="U429" s="44"/>
      <c r="V429" s="45"/>
    </row>
    <row r="430" ht="12.75" customHeight="1">
      <c r="M430" s="44"/>
      <c r="P430" s="44"/>
      <c r="Q430" s="44"/>
      <c r="S430" s="44"/>
      <c r="U430" s="44"/>
      <c r="V430" s="45"/>
    </row>
    <row r="431" ht="12.75" customHeight="1">
      <c r="M431" s="44"/>
      <c r="P431" s="44"/>
      <c r="Q431" s="44"/>
      <c r="S431" s="44"/>
      <c r="U431" s="44"/>
      <c r="V431" s="45"/>
    </row>
    <row r="432" ht="12.75" customHeight="1">
      <c r="M432" s="44"/>
      <c r="P432" s="44"/>
      <c r="Q432" s="44"/>
      <c r="S432" s="44"/>
      <c r="U432" s="44"/>
      <c r="V432" s="45"/>
    </row>
    <row r="433" ht="12.75" customHeight="1">
      <c r="M433" s="44"/>
      <c r="P433" s="44"/>
      <c r="Q433" s="44"/>
      <c r="S433" s="44"/>
      <c r="U433" s="44"/>
      <c r="V433" s="45"/>
    </row>
    <row r="434" ht="12.75" customHeight="1">
      <c r="M434" s="44"/>
      <c r="P434" s="44"/>
      <c r="Q434" s="44"/>
      <c r="S434" s="44"/>
      <c r="U434" s="44"/>
      <c r="V434" s="45"/>
    </row>
    <row r="435" ht="12.75" customHeight="1">
      <c r="M435" s="44"/>
      <c r="P435" s="44"/>
      <c r="Q435" s="44"/>
      <c r="S435" s="44"/>
      <c r="U435" s="44"/>
      <c r="V435" s="45"/>
    </row>
    <row r="436" ht="12.75" customHeight="1">
      <c r="M436" s="44"/>
      <c r="P436" s="44"/>
      <c r="Q436" s="44"/>
      <c r="S436" s="44"/>
      <c r="U436" s="44"/>
      <c r="V436" s="45"/>
    </row>
    <row r="437" ht="12.75" customHeight="1">
      <c r="M437" s="44"/>
      <c r="P437" s="44"/>
      <c r="Q437" s="44"/>
      <c r="S437" s="44"/>
      <c r="U437" s="44"/>
      <c r="V437" s="45"/>
    </row>
    <row r="438" ht="12.75" customHeight="1">
      <c r="M438" s="44"/>
      <c r="P438" s="44"/>
      <c r="Q438" s="44"/>
      <c r="S438" s="44"/>
      <c r="U438" s="44"/>
      <c r="V438" s="45"/>
    </row>
    <row r="439" ht="12.75" customHeight="1">
      <c r="M439" s="44"/>
      <c r="P439" s="44"/>
      <c r="Q439" s="44"/>
      <c r="S439" s="44"/>
      <c r="U439" s="44"/>
      <c r="V439" s="45"/>
    </row>
    <row r="440" ht="12.75" customHeight="1">
      <c r="M440" s="44"/>
      <c r="P440" s="44"/>
      <c r="Q440" s="44"/>
      <c r="S440" s="44"/>
      <c r="U440" s="44"/>
      <c r="V440" s="45"/>
    </row>
    <row r="441" ht="12.75" customHeight="1">
      <c r="M441" s="44"/>
      <c r="P441" s="44"/>
      <c r="Q441" s="44"/>
      <c r="S441" s="44"/>
      <c r="U441" s="44"/>
      <c r="V441" s="45"/>
    </row>
    <row r="442" ht="12.75" customHeight="1">
      <c r="M442" s="44"/>
      <c r="P442" s="44"/>
      <c r="Q442" s="44"/>
      <c r="S442" s="44"/>
      <c r="U442" s="44"/>
      <c r="V442" s="45"/>
    </row>
    <row r="443" ht="12.75" customHeight="1">
      <c r="M443" s="44"/>
      <c r="P443" s="44"/>
      <c r="Q443" s="44"/>
      <c r="S443" s="44"/>
      <c r="U443" s="44"/>
      <c r="V443" s="45"/>
    </row>
    <row r="444" ht="12.75" customHeight="1">
      <c r="M444" s="44"/>
      <c r="P444" s="44"/>
      <c r="Q444" s="44"/>
      <c r="S444" s="44"/>
      <c r="U444" s="44"/>
      <c r="V444" s="45"/>
    </row>
    <row r="445" ht="12.75" customHeight="1">
      <c r="M445" s="44"/>
      <c r="P445" s="44"/>
      <c r="Q445" s="44"/>
      <c r="S445" s="44"/>
      <c r="U445" s="44"/>
      <c r="V445" s="45"/>
    </row>
    <row r="446" ht="12.75" customHeight="1">
      <c r="M446" s="44"/>
      <c r="P446" s="44"/>
      <c r="Q446" s="44"/>
      <c r="S446" s="44"/>
      <c r="U446" s="44"/>
      <c r="V446" s="45"/>
    </row>
    <row r="447" ht="12.75" customHeight="1">
      <c r="M447" s="44"/>
      <c r="P447" s="44"/>
      <c r="Q447" s="44"/>
      <c r="S447" s="44"/>
      <c r="U447" s="44"/>
      <c r="V447" s="45"/>
    </row>
    <row r="448" ht="12.75" customHeight="1">
      <c r="M448" s="44"/>
      <c r="P448" s="44"/>
      <c r="Q448" s="44"/>
      <c r="S448" s="44"/>
      <c r="U448" s="44"/>
      <c r="V448" s="45"/>
    </row>
    <row r="449" ht="12.75" customHeight="1">
      <c r="M449" s="44"/>
      <c r="P449" s="44"/>
      <c r="Q449" s="44"/>
      <c r="S449" s="44"/>
      <c r="U449" s="44"/>
      <c r="V449" s="45"/>
    </row>
    <row r="450" ht="12.75" customHeight="1">
      <c r="M450" s="44"/>
      <c r="P450" s="44"/>
      <c r="Q450" s="44"/>
      <c r="S450" s="44"/>
      <c r="U450" s="44"/>
      <c r="V450" s="45"/>
    </row>
    <row r="451" ht="12.75" customHeight="1">
      <c r="M451" s="44"/>
      <c r="P451" s="44"/>
      <c r="Q451" s="44"/>
      <c r="S451" s="44"/>
      <c r="U451" s="44"/>
      <c r="V451" s="45"/>
    </row>
    <row r="452" ht="12.75" customHeight="1">
      <c r="M452" s="44"/>
      <c r="P452" s="44"/>
      <c r="Q452" s="44"/>
      <c r="S452" s="44"/>
      <c r="U452" s="44"/>
      <c r="V452" s="45"/>
    </row>
    <row r="453" ht="12.75" customHeight="1">
      <c r="M453" s="44"/>
      <c r="P453" s="44"/>
      <c r="Q453" s="44"/>
      <c r="S453" s="44"/>
      <c r="U453" s="44"/>
      <c r="V453" s="45"/>
    </row>
    <row r="454" ht="12.75" customHeight="1">
      <c r="M454" s="44"/>
      <c r="P454" s="44"/>
      <c r="Q454" s="44"/>
      <c r="S454" s="44"/>
      <c r="U454" s="44"/>
      <c r="V454" s="45"/>
    </row>
    <row r="455" ht="12.75" customHeight="1">
      <c r="M455" s="44"/>
      <c r="P455" s="44"/>
      <c r="Q455" s="44"/>
      <c r="S455" s="44"/>
      <c r="U455" s="44"/>
      <c r="V455" s="45"/>
    </row>
    <row r="456" ht="12.75" customHeight="1">
      <c r="M456" s="44"/>
      <c r="P456" s="44"/>
      <c r="Q456" s="44"/>
      <c r="S456" s="44"/>
      <c r="U456" s="44"/>
      <c r="V456" s="45"/>
    </row>
    <row r="457" ht="12.75" customHeight="1">
      <c r="M457" s="44"/>
      <c r="P457" s="44"/>
      <c r="Q457" s="44"/>
      <c r="S457" s="44"/>
      <c r="U457" s="44"/>
      <c r="V457" s="45"/>
    </row>
    <row r="458" ht="12.75" customHeight="1">
      <c r="M458" s="44"/>
      <c r="P458" s="44"/>
      <c r="Q458" s="44"/>
      <c r="S458" s="44"/>
      <c r="U458" s="44"/>
      <c r="V458" s="45"/>
    </row>
    <row r="459" ht="12.75" customHeight="1">
      <c r="M459" s="44"/>
      <c r="P459" s="44"/>
      <c r="Q459" s="44"/>
      <c r="S459" s="44"/>
      <c r="U459" s="44"/>
      <c r="V459" s="45"/>
    </row>
    <row r="460" ht="12.75" customHeight="1">
      <c r="M460" s="44"/>
      <c r="P460" s="44"/>
      <c r="Q460" s="44"/>
      <c r="S460" s="44"/>
      <c r="U460" s="44"/>
      <c r="V460" s="45"/>
    </row>
    <row r="461" ht="12.75" customHeight="1">
      <c r="M461" s="44"/>
      <c r="P461" s="44"/>
      <c r="Q461" s="44"/>
      <c r="S461" s="44"/>
      <c r="U461" s="44"/>
      <c r="V461" s="45"/>
    </row>
    <row r="462" ht="12.75" customHeight="1">
      <c r="M462" s="44"/>
      <c r="P462" s="44"/>
      <c r="Q462" s="44"/>
      <c r="S462" s="44"/>
      <c r="U462" s="44"/>
      <c r="V462" s="45"/>
    </row>
    <row r="463" ht="12.75" customHeight="1">
      <c r="M463" s="44"/>
      <c r="P463" s="44"/>
      <c r="Q463" s="44"/>
      <c r="S463" s="44"/>
      <c r="U463" s="44"/>
      <c r="V463" s="45"/>
    </row>
    <row r="464" ht="12.75" customHeight="1">
      <c r="M464" s="44"/>
      <c r="P464" s="44"/>
      <c r="Q464" s="44"/>
      <c r="S464" s="44"/>
      <c r="U464" s="44"/>
      <c r="V464" s="45"/>
    </row>
    <row r="465" ht="12.75" customHeight="1">
      <c r="M465" s="44"/>
      <c r="P465" s="44"/>
      <c r="Q465" s="44"/>
      <c r="S465" s="44"/>
      <c r="U465" s="44"/>
      <c r="V465" s="45"/>
    </row>
    <row r="466" ht="12.75" customHeight="1">
      <c r="M466" s="44"/>
      <c r="P466" s="44"/>
      <c r="Q466" s="44"/>
      <c r="S466" s="44"/>
      <c r="U466" s="44"/>
      <c r="V466" s="45"/>
    </row>
    <row r="467" ht="12.75" customHeight="1">
      <c r="M467" s="44"/>
      <c r="P467" s="44"/>
      <c r="Q467" s="44"/>
      <c r="S467" s="44"/>
      <c r="U467" s="44"/>
      <c r="V467" s="45"/>
    </row>
    <row r="468" ht="12.75" customHeight="1">
      <c r="M468" s="44"/>
      <c r="P468" s="44"/>
      <c r="Q468" s="44"/>
      <c r="S468" s="44"/>
      <c r="U468" s="44"/>
      <c r="V468" s="45"/>
    </row>
    <row r="469" ht="12.75" customHeight="1">
      <c r="M469" s="44"/>
      <c r="P469" s="44"/>
      <c r="Q469" s="44"/>
      <c r="S469" s="44"/>
      <c r="U469" s="44"/>
      <c r="V469" s="45"/>
    </row>
    <row r="470" ht="12.75" customHeight="1">
      <c r="M470" s="44"/>
      <c r="P470" s="44"/>
      <c r="Q470" s="44"/>
      <c r="S470" s="44"/>
      <c r="U470" s="44"/>
      <c r="V470" s="45"/>
    </row>
    <row r="471" ht="12.75" customHeight="1">
      <c r="M471" s="44"/>
      <c r="P471" s="44"/>
      <c r="Q471" s="44"/>
      <c r="S471" s="44"/>
      <c r="U471" s="44"/>
      <c r="V471" s="45"/>
    </row>
    <row r="472" ht="12.75" customHeight="1">
      <c r="M472" s="44"/>
      <c r="P472" s="44"/>
      <c r="Q472" s="44"/>
      <c r="S472" s="44"/>
      <c r="U472" s="44"/>
      <c r="V472" s="45"/>
    </row>
    <row r="473" ht="12.75" customHeight="1">
      <c r="M473" s="44"/>
      <c r="P473" s="44"/>
      <c r="Q473" s="44"/>
      <c r="S473" s="44"/>
      <c r="U473" s="44"/>
      <c r="V473" s="45"/>
    </row>
    <row r="474" ht="12.75" customHeight="1">
      <c r="M474" s="44"/>
      <c r="P474" s="44"/>
      <c r="Q474" s="44"/>
      <c r="S474" s="44"/>
      <c r="U474" s="44"/>
      <c r="V474" s="45"/>
    </row>
    <row r="475" ht="12.75" customHeight="1">
      <c r="M475" s="44"/>
      <c r="P475" s="44"/>
      <c r="Q475" s="44"/>
      <c r="S475" s="44"/>
      <c r="U475" s="44"/>
      <c r="V475" s="45"/>
    </row>
    <row r="476" ht="12.75" customHeight="1">
      <c r="M476" s="44"/>
      <c r="P476" s="44"/>
      <c r="Q476" s="44"/>
      <c r="S476" s="44"/>
      <c r="U476" s="44"/>
      <c r="V476" s="45"/>
    </row>
    <row r="477" ht="12.75" customHeight="1">
      <c r="M477" s="44"/>
      <c r="P477" s="44"/>
      <c r="Q477" s="44"/>
      <c r="S477" s="44"/>
      <c r="U477" s="44"/>
      <c r="V477" s="45"/>
    </row>
    <row r="478" ht="12.75" customHeight="1">
      <c r="M478" s="44"/>
      <c r="P478" s="44"/>
      <c r="Q478" s="44"/>
      <c r="S478" s="44"/>
      <c r="U478" s="44"/>
      <c r="V478" s="45"/>
    </row>
    <row r="479" ht="12.75" customHeight="1">
      <c r="M479" s="44"/>
      <c r="P479" s="44"/>
      <c r="Q479" s="44"/>
      <c r="S479" s="44"/>
      <c r="U479" s="44"/>
      <c r="V479" s="45"/>
    </row>
    <row r="480" ht="12.75" customHeight="1">
      <c r="M480" s="44"/>
      <c r="P480" s="44"/>
      <c r="Q480" s="44"/>
      <c r="S480" s="44"/>
      <c r="U480" s="44"/>
      <c r="V480" s="45"/>
    </row>
    <row r="481" ht="12.75" customHeight="1">
      <c r="M481" s="44"/>
      <c r="P481" s="44"/>
      <c r="Q481" s="44"/>
      <c r="S481" s="44"/>
      <c r="U481" s="44"/>
      <c r="V481" s="45"/>
    </row>
    <row r="482" ht="12.75" customHeight="1">
      <c r="M482" s="44"/>
      <c r="P482" s="44"/>
      <c r="Q482" s="44"/>
      <c r="S482" s="44"/>
      <c r="U482" s="44"/>
      <c r="V482" s="45"/>
    </row>
    <row r="483" ht="12.75" customHeight="1">
      <c r="M483" s="44"/>
      <c r="P483" s="44"/>
      <c r="Q483" s="44"/>
      <c r="S483" s="44"/>
      <c r="U483" s="44"/>
      <c r="V483" s="45"/>
    </row>
    <row r="484" ht="12.75" customHeight="1">
      <c r="M484" s="44"/>
      <c r="P484" s="44"/>
      <c r="Q484" s="44"/>
      <c r="S484" s="44"/>
      <c r="U484" s="44"/>
      <c r="V484" s="45"/>
    </row>
    <row r="485" ht="12.75" customHeight="1">
      <c r="M485" s="44"/>
      <c r="P485" s="44"/>
      <c r="Q485" s="44"/>
      <c r="S485" s="44"/>
      <c r="U485" s="44"/>
      <c r="V485" s="45"/>
    </row>
    <row r="486" ht="12.75" customHeight="1">
      <c r="M486" s="44"/>
      <c r="P486" s="44"/>
      <c r="Q486" s="44"/>
      <c r="S486" s="44"/>
      <c r="U486" s="44"/>
      <c r="V486" s="45"/>
    </row>
    <row r="487" ht="12.75" customHeight="1">
      <c r="M487" s="44"/>
      <c r="P487" s="44"/>
      <c r="Q487" s="44"/>
      <c r="S487" s="44"/>
      <c r="U487" s="44"/>
      <c r="V487" s="45"/>
    </row>
    <row r="488" ht="12.75" customHeight="1">
      <c r="M488" s="44"/>
      <c r="P488" s="44"/>
      <c r="Q488" s="44"/>
      <c r="S488" s="44"/>
      <c r="U488" s="44"/>
      <c r="V488" s="45"/>
    </row>
    <row r="489" ht="12.75" customHeight="1">
      <c r="M489" s="44"/>
      <c r="P489" s="44"/>
      <c r="Q489" s="44"/>
      <c r="S489" s="44"/>
      <c r="U489" s="44"/>
      <c r="V489" s="45"/>
    </row>
    <row r="490" ht="12.75" customHeight="1">
      <c r="M490" s="44"/>
      <c r="P490" s="44"/>
      <c r="Q490" s="44"/>
      <c r="S490" s="44"/>
      <c r="U490" s="44"/>
      <c r="V490" s="45"/>
    </row>
    <row r="491" ht="12.75" customHeight="1">
      <c r="M491" s="44"/>
      <c r="P491" s="44"/>
      <c r="Q491" s="44"/>
      <c r="S491" s="44"/>
      <c r="U491" s="44"/>
      <c r="V491" s="45"/>
    </row>
    <row r="492" ht="12.75" customHeight="1">
      <c r="M492" s="44"/>
      <c r="P492" s="44"/>
      <c r="Q492" s="44"/>
      <c r="S492" s="44"/>
      <c r="U492" s="44"/>
      <c r="V492" s="45"/>
    </row>
    <row r="493" ht="12.75" customHeight="1">
      <c r="M493" s="44"/>
      <c r="P493" s="44"/>
      <c r="Q493" s="44"/>
      <c r="S493" s="44"/>
      <c r="U493" s="44"/>
      <c r="V493" s="45"/>
    </row>
    <row r="494" ht="12.75" customHeight="1">
      <c r="M494" s="44"/>
      <c r="P494" s="44"/>
      <c r="Q494" s="44"/>
      <c r="S494" s="44"/>
      <c r="U494" s="44"/>
      <c r="V494" s="45"/>
    </row>
    <row r="495" ht="12.75" customHeight="1">
      <c r="M495" s="44"/>
      <c r="P495" s="44"/>
      <c r="Q495" s="44"/>
      <c r="S495" s="44"/>
      <c r="U495" s="44"/>
      <c r="V495" s="45"/>
    </row>
    <row r="496" ht="12.75" customHeight="1">
      <c r="M496" s="44"/>
      <c r="P496" s="44"/>
      <c r="Q496" s="44"/>
      <c r="S496" s="44"/>
      <c r="U496" s="44"/>
      <c r="V496" s="45"/>
    </row>
    <row r="497" ht="12.75" customHeight="1">
      <c r="M497" s="44"/>
      <c r="P497" s="44"/>
      <c r="Q497" s="44"/>
      <c r="S497" s="44"/>
      <c r="U497" s="44"/>
      <c r="V497" s="45"/>
    </row>
    <row r="498" ht="12.75" customHeight="1">
      <c r="M498" s="44"/>
      <c r="P498" s="44"/>
      <c r="Q498" s="44"/>
      <c r="S498" s="44"/>
      <c r="U498" s="44"/>
      <c r="V498" s="45"/>
    </row>
    <row r="499" ht="12.75" customHeight="1">
      <c r="M499" s="44"/>
      <c r="P499" s="44"/>
      <c r="Q499" s="44"/>
      <c r="S499" s="44"/>
      <c r="U499" s="44"/>
      <c r="V499" s="45"/>
    </row>
    <row r="500" ht="12.75" customHeight="1">
      <c r="M500" s="44"/>
      <c r="P500" s="44"/>
      <c r="Q500" s="44"/>
      <c r="S500" s="44"/>
      <c r="U500" s="44"/>
      <c r="V500" s="45"/>
    </row>
    <row r="501" ht="12.75" customHeight="1">
      <c r="M501" s="44"/>
      <c r="P501" s="44"/>
      <c r="Q501" s="44"/>
      <c r="S501" s="44"/>
      <c r="U501" s="44"/>
      <c r="V501" s="45"/>
    </row>
    <row r="502" ht="12.75" customHeight="1">
      <c r="M502" s="44"/>
      <c r="P502" s="44"/>
      <c r="Q502" s="44"/>
      <c r="S502" s="44"/>
      <c r="U502" s="44"/>
      <c r="V502" s="45"/>
    </row>
    <row r="503" ht="12.75" customHeight="1">
      <c r="M503" s="44"/>
      <c r="P503" s="44"/>
      <c r="Q503" s="44"/>
      <c r="S503" s="44"/>
      <c r="U503" s="44"/>
      <c r="V503" s="45"/>
    </row>
    <row r="504" ht="12.75" customHeight="1">
      <c r="M504" s="44"/>
      <c r="P504" s="44"/>
      <c r="Q504" s="44"/>
      <c r="S504" s="44"/>
      <c r="U504" s="44"/>
      <c r="V504" s="45"/>
    </row>
    <row r="505" ht="12.75" customHeight="1">
      <c r="M505" s="44"/>
      <c r="P505" s="44"/>
      <c r="Q505" s="44"/>
      <c r="S505" s="44"/>
      <c r="U505" s="44"/>
      <c r="V505" s="45"/>
    </row>
    <row r="506" ht="12.75" customHeight="1">
      <c r="M506" s="44"/>
      <c r="P506" s="44"/>
      <c r="Q506" s="44"/>
      <c r="S506" s="44"/>
      <c r="U506" s="44"/>
      <c r="V506" s="45"/>
    </row>
    <row r="507" ht="12.75" customHeight="1">
      <c r="M507" s="44"/>
      <c r="P507" s="44"/>
      <c r="Q507" s="44"/>
      <c r="S507" s="44"/>
      <c r="U507" s="44"/>
      <c r="V507" s="45"/>
    </row>
    <row r="508" ht="12.75" customHeight="1">
      <c r="M508" s="44"/>
      <c r="P508" s="44"/>
      <c r="Q508" s="44"/>
      <c r="S508" s="44"/>
      <c r="U508" s="44"/>
      <c r="V508" s="45"/>
    </row>
    <row r="509" ht="12.75" customHeight="1">
      <c r="M509" s="44"/>
      <c r="P509" s="44"/>
      <c r="Q509" s="44"/>
      <c r="S509" s="44"/>
      <c r="U509" s="44"/>
      <c r="V509" s="45"/>
    </row>
    <row r="510" ht="12.75" customHeight="1">
      <c r="M510" s="44"/>
      <c r="P510" s="44"/>
      <c r="Q510" s="44"/>
      <c r="S510" s="44"/>
      <c r="U510" s="44"/>
      <c r="V510" s="45"/>
    </row>
    <row r="511" ht="12.75" customHeight="1">
      <c r="M511" s="44"/>
      <c r="P511" s="44"/>
      <c r="Q511" s="44"/>
      <c r="S511" s="44"/>
      <c r="U511" s="44"/>
      <c r="V511" s="45"/>
    </row>
    <row r="512" ht="12.75" customHeight="1">
      <c r="M512" s="44"/>
      <c r="P512" s="44"/>
      <c r="Q512" s="44"/>
      <c r="S512" s="44"/>
      <c r="U512" s="44"/>
      <c r="V512" s="45"/>
    </row>
    <row r="513" ht="12.75" customHeight="1">
      <c r="M513" s="44"/>
      <c r="P513" s="44"/>
      <c r="Q513" s="44"/>
      <c r="S513" s="44"/>
      <c r="U513" s="44"/>
      <c r="V513" s="45"/>
    </row>
    <row r="514" ht="12.75" customHeight="1">
      <c r="M514" s="44"/>
      <c r="P514" s="44"/>
      <c r="Q514" s="44"/>
      <c r="S514" s="44"/>
      <c r="U514" s="44"/>
      <c r="V514" s="45"/>
    </row>
    <row r="515" ht="12.75" customHeight="1">
      <c r="M515" s="44"/>
      <c r="P515" s="44"/>
      <c r="Q515" s="44"/>
      <c r="S515" s="44"/>
      <c r="U515" s="44"/>
      <c r="V515" s="45"/>
    </row>
    <row r="516" ht="12.75" customHeight="1">
      <c r="M516" s="44"/>
      <c r="P516" s="44"/>
      <c r="Q516" s="44"/>
      <c r="S516" s="44"/>
      <c r="U516" s="44"/>
      <c r="V516" s="45"/>
    </row>
    <row r="517" ht="12.75" customHeight="1">
      <c r="M517" s="44"/>
      <c r="P517" s="44"/>
      <c r="Q517" s="44"/>
      <c r="S517" s="44"/>
      <c r="U517" s="44"/>
      <c r="V517" s="45"/>
    </row>
    <row r="518" ht="12.75" customHeight="1">
      <c r="M518" s="44"/>
      <c r="P518" s="44"/>
      <c r="Q518" s="44"/>
      <c r="S518" s="44"/>
      <c r="U518" s="44"/>
      <c r="V518" s="45"/>
    </row>
    <row r="519" ht="12.75" customHeight="1">
      <c r="M519" s="44"/>
      <c r="P519" s="44"/>
      <c r="Q519" s="44"/>
      <c r="S519" s="44"/>
      <c r="U519" s="44"/>
      <c r="V519" s="45"/>
    </row>
    <row r="520" ht="12.75" customHeight="1">
      <c r="M520" s="44"/>
      <c r="P520" s="44"/>
      <c r="Q520" s="44"/>
      <c r="S520" s="44"/>
      <c r="U520" s="44"/>
      <c r="V520" s="45"/>
    </row>
    <row r="521" ht="12.75" customHeight="1">
      <c r="M521" s="44"/>
      <c r="P521" s="44"/>
      <c r="Q521" s="44"/>
      <c r="S521" s="44"/>
      <c r="U521" s="44"/>
      <c r="V521" s="45"/>
    </row>
    <row r="522" ht="12.75" customHeight="1">
      <c r="M522" s="44"/>
      <c r="P522" s="44"/>
      <c r="Q522" s="44"/>
      <c r="S522" s="44"/>
      <c r="U522" s="44"/>
      <c r="V522" s="45"/>
    </row>
    <row r="523" ht="12.75" customHeight="1">
      <c r="M523" s="44"/>
      <c r="P523" s="44"/>
      <c r="Q523" s="44"/>
      <c r="S523" s="44"/>
      <c r="U523" s="44"/>
      <c r="V523" s="45"/>
    </row>
    <row r="524" ht="12.75" customHeight="1">
      <c r="M524" s="44"/>
      <c r="P524" s="44"/>
      <c r="Q524" s="44"/>
      <c r="S524" s="44"/>
      <c r="U524" s="44"/>
      <c r="V524" s="45"/>
    </row>
    <row r="525" ht="12.75" customHeight="1">
      <c r="M525" s="44"/>
      <c r="P525" s="44"/>
      <c r="Q525" s="44"/>
      <c r="S525" s="44"/>
      <c r="U525" s="44"/>
      <c r="V525" s="45"/>
    </row>
    <row r="526" ht="12.75" customHeight="1">
      <c r="M526" s="44"/>
      <c r="P526" s="44"/>
      <c r="Q526" s="44"/>
      <c r="S526" s="44"/>
      <c r="U526" s="44"/>
      <c r="V526" s="45"/>
    </row>
    <row r="527" ht="12.75" customHeight="1">
      <c r="M527" s="44"/>
      <c r="P527" s="44"/>
      <c r="Q527" s="44"/>
      <c r="S527" s="44"/>
      <c r="U527" s="44"/>
      <c r="V527" s="45"/>
    </row>
    <row r="528" ht="12.75" customHeight="1">
      <c r="M528" s="44"/>
      <c r="P528" s="44"/>
      <c r="Q528" s="44"/>
      <c r="S528" s="44"/>
      <c r="U528" s="44"/>
      <c r="V528" s="45"/>
    </row>
    <row r="529" ht="12.75" customHeight="1">
      <c r="M529" s="44"/>
      <c r="P529" s="44"/>
      <c r="Q529" s="44"/>
      <c r="S529" s="44"/>
      <c r="U529" s="44"/>
      <c r="V529" s="45"/>
    </row>
    <row r="530" ht="12.75" customHeight="1">
      <c r="M530" s="44"/>
      <c r="P530" s="44"/>
      <c r="Q530" s="44"/>
      <c r="S530" s="44"/>
      <c r="U530" s="44"/>
      <c r="V530" s="45"/>
    </row>
    <row r="531" ht="12.75" customHeight="1">
      <c r="M531" s="44"/>
      <c r="P531" s="44"/>
      <c r="Q531" s="44"/>
      <c r="S531" s="44"/>
      <c r="U531" s="44"/>
      <c r="V531" s="45"/>
    </row>
    <row r="532" ht="12.75" customHeight="1">
      <c r="M532" s="44"/>
      <c r="P532" s="44"/>
      <c r="Q532" s="44"/>
      <c r="S532" s="44"/>
      <c r="U532" s="44"/>
      <c r="V532" s="45"/>
    </row>
    <row r="533" ht="12.75" customHeight="1">
      <c r="M533" s="44"/>
      <c r="P533" s="44"/>
      <c r="Q533" s="44"/>
      <c r="S533" s="44"/>
      <c r="U533" s="44"/>
      <c r="V533" s="45"/>
    </row>
    <row r="534" ht="12.75" customHeight="1">
      <c r="M534" s="44"/>
      <c r="P534" s="44"/>
      <c r="Q534" s="44"/>
      <c r="S534" s="44"/>
      <c r="U534" s="44"/>
      <c r="V534" s="45"/>
    </row>
    <row r="535" ht="12.75" customHeight="1">
      <c r="M535" s="44"/>
      <c r="P535" s="44"/>
      <c r="Q535" s="44"/>
      <c r="S535" s="44"/>
      <c r="U535" s="44"/>
      <c r="V535" s="45"/>
    </row>
    <row r="536" ht="12.75" customHeight="1">
      <c r="M536" s="44"/>
      <c r="P536" s="44"/>
      <c r="Q536" s="44"/>
      <c r="S536" s="44"/>
      <c r="U536" s="44"/>
      <c r="V536" s="45"/>
    </row>
    <row r="537" ht="12.75" customHeight="1">
      <c r="M537" s="44"/>
      <c r="P537" s="44"/>
      <c r="Q537" s="44"/>
      <c r="S537" s="44"/>
      <c r="U537" s="44"/>
      <c r="V537" s="45"/>
    </row>
    <row r="538" ht="12.75" customHeight="1">
      <c r="M538" s="44"/>
      <c r="P538" s="44"/>
      <c r="Q538" s="44"/>
      <c r="S538" s="44"/>
      <c r="U538" s="44"/>
      <c r="V538" s="45"/>
    </row>
    <row r="539" ht="12.75" customHeight="1">
      <c r="M539" s="44"/>
      <c r="P539" s="44"/>
      <c r="Q539" s="44"/>
      <c r="S539" s="44"/>
      <c r="U539" s="44"/>
      <c r="V539" s="45"/>
    </row>
    <row r="540" ht="12.75" customHeight="1">
      <c r="M540" s="44"/>
      <c r="P540" s="44"/>
      <c r="Q540" s="44"/>
      <c r="S540" s="44"/>
      <c r="U540" s="44"/>
      <c r="V540" s="45"/>
    </row>
    <row r="541" ht="12.75" customHeight="1">
      <c r="M541" s="44"/>
      <c r="P541" s="44"/>
      <c r="Q541" s="44"/>
      <c r="S541" s="44"/>
      <c r="U541" s="44"/>
      <c r="V541" s="45"/>
    </row>
    <row r="542" ht="12.75" customHeight="1">
      <c r="M542" s="44"/>
      <c r="P542" s="44"/>
      <c r="Q542" s="44"/>
      <c r="S542" s="44"/>
      <c r="U542" s="44"/>
      <c r="V542" s="45"/>
    </row>
    <row r="543" ht="12.75" customHeight="1">
      <c r="M543" s="44"/>
      <c r="P543" s="44"/>
      <c r="Q543" s="44"/>
      <c r="S543" s="44"/>
      <c r="U543" s="44"/>
      <c r="V543" s="45"/>
    </row>
    <row r="544" ht="12.75" customHeight="1">
      <c r="M544" s="44"/>
      <c r="P544" s="44"/>
      <c r="Q544" s="44"/>
      <c r="S544" s="44"/>
      <c r="U544" s="44"/>
      <c r="V544" s="45"/>
    </row>
    <row r="545" ht="12.75" customHeight="1">
      <c r="M545" s="44"/>
      <c r="P545" s="44"/>
      <c r="Q545" s="44"/>
      <c r="S545" s="44"/>
      <c r="U545" s="44"/>
      <c r="V545" s="45"/>
    </row>
    <row r="546" ht="12.75" customHeight="1">
      <c r="M546" s="44"/>
      <c r="P546" s="44"/>
      <c r="Q546" s="44"/>
      <c r="S546" s="44"/>
      <c r="U546" s="44"/>
      <c r="V546" s="45"/>
    </row>
    <row r="547" ht="12.75" customHeight="1">
      <c r="M547" s="44"/>
      <c r="P547" s="44"/>
      <c r="Q547" s="44"/>
      <c r="S547" s="44"/>
      <c r="U547" s="44"/>
      <c r="V547" s="45"/>
    </row>
    <row r="548" ht="12.75" customHeight="1">
      <c r="M548" s="44"/>
      <c r="P548" s="44"/>
      <c r="Q548" s="44"/>
      <c r="S548" s="44"/>
      <c r="U548" s="44"/>
      <c r="V548" s="45"/>
    </row>
    <row r="549" ht="12.75" customHeight="1">
      <c r="M549" s="44"/>
      <c r="P549" s="44"/>
      <c r="Q549" s="44"/>
      <c r="S549" s="44"/>
      <c r="U549" s="44"/>
      <c r="V549" s="45"/>
    </row>
    <row r="550" ht="12.75" customHeight="1">
      <c r="M550" s="44"/>
      <c r="P550" s="44"/>
      <c r="Q550" s="44"/>
      <c r="S550" s="44"/>
      <c r="U550" s="44"/>
      <c r="V550" s="45"/>
    </row>
    <row r="551" ht="12.75" customHeight="1">
      <c r="M551" s="44"/>
      <c r="P551" s="44"/>
      <c r="Q551" s="44"/>
      <c r="S551" s="44"/>
      <c r="U551" s="44"/>
      <c r="V551" s="45"/>
    </row>
    <row r="552" ht="12.75" customHeight="1">
      <c r="M552" s="44"/>
      <c r="P552" s="44"/>
      <c r="Q552" s="44"/>
      <c r="S552" s="44"/>
      <c r="U552" s="44"/>
      <c r="V552" s="45"/>
    </row>
    <row r="553" ht="12.75" customHeight="1">
      <c r="M553" s="44"/>
      <c r="P553" s="44"/>
      <c r="Q553" s="44"/>
      <c r="S553" s="44"/>
      <c r="U553" s="44"/>
      <c r="V553" s="45"/>
    </row>
    <row r="554" ht="12.75" customHeight="1">
      <c r="M554" s="44"/>
      <c r="P554" s="44"/>
      <c r="Q554" s="44"/>
      <c r="S554" s="44"/>
      <c r="U554" s="44"/>
      <c r="V554" s="45"/>
    </row>
    <row r="555" ht="12.75" customHeight="1">
      <c r="M555" s="44"/>
      <c r="P555" s="44"/>
      <c r="Q555" s="44"/>
      <c r="S555" s="44"/>
      <c r="U555" s="44"/>
      <c r="V555" s="45"/>
    </row>
    <row r="556" ht="12.75" customHeight="1">
      <c r="M556" s="44"/>
      <c r="P556" s="44"/>
      <c r="Q556" s="44"/>
      <c r="S556" s="44"/>
      <c r="U556" s="44"/>
      <c r="V556" s="45"/>
    </row>
    <row r="557" ht="12.75" customHeight="1">
      <c r="M557" s="44"/>
      <c r="P557" s="44"/>
      <c r="Q557" s="44"/>
      <c r="S557" s="44"/>
      <c r="U557" s="44"/>
      <c r="V557" s="45"/>
    </row>
    <row r="558" ht="12.75" customHeight="1">
      <c r="M558" s="44"/>
      <c r="P558" s="44"/>
      <c r="Q558" s="44"/>
      <c r="S558" s="44"/>
      <c r="U558" s="44"/>
      <c r="V558" s="45"/>
    </row>
    <row r="559" ht="12.75" customHeight="1">
      <c r="M559" s="44"/>
      <c r="P559" s="44"/>
      <c r="Q559" s="44"/>
      <c r="S559" s="44"/>
      <c r="U559" s="44"/>
      <c r="V559" s="45"/>
    </row>
    <row r="560" ht="12.75" customHeight="1">
      <c r="M560" s="44"/>
      <c r="P560" s="44"/>
      <c r="Q560" s="44"/>
      <c r="S560" s="44"/>
      <c r="U560" s="44"/>
      <c r="V560" s="45"/>
    </row>
    <row r="561" ht="12.75" customHeight="1">
      <c r="M561" s="44"/>
      <c r="P561" s="44"/>
      <c r="Q561" s="44"/>
      <c r="S561" s="44"/>
      <c r="U561" s="44"/>
      <c r="V561" s="45"/>
    </row>
    <row r="562" ht="12.75" customHeight="1">
      <c r="M562" s="44"/>
      <c r="P562" s="44"/>
      <c r="Q562" s="44"/>
      <c r="S562" s="44"/>
      <c r="U562" s="44"/>
      <c r="V562" s="45"/>
    </row>
    <row r="563" ht="12.75" customHeight="1">
      <c r="M563" s="44"/>
      <c r="P563" s="44"/>
      <c r="Q563" s="44"/>
      <c r="S563" s="44"/>
      <c r="U563" s="44"/>
      <c r="V563" s="45"/>
    </row>
    <row r="564" ht="12.75" customHeight="1">
      <c r="M564" s="44"/>
      <c r="P564" s="44"/>
      <c r="Q564" s="44"/>
      <c r="S564" s="44"/>
      <c r="U564" s="44"/>
      <c r="V564" s="45"/>
    </row>
    <row r="565" ht="12.75" customHeight="1">
      <c r="M565" s="44"/>
      <c r="P565" s="44"/>
      <c r="Q565" s="44"/>
      <c r="S565" s="44"/>
      <c r="U565" s="44"/>
      <c r="V565" s="45"/>
    </row>
    <row r="566" ht="12.75" customHeight="1">
      <c r="M566" s="44"/>
      <c r="P566" s="44"/>
      <c r="Q566" s="44"/>
      <c r="S566" s="44"/>
      <c r="U566" s="44"/>
      <c r="V566" s="45"/>
    </row>
    <row r="567" ht="12.75" customHeight="1">
      <c r="M567" s="44"/>
      <c r="P567" s="44"/>
      <c r="Q567" s="44"/>
      <c r="S567" s="44"/>
      <c r="U567" s="44"/>
      <c r="V567" s="45"/>
    </row>
    <row r="568" ht="12.75" customHeight="1">
      <c r="M568" s="44"/>
      <c r="P568" s="44"/>
      <c r="Q568" s="44"/>
      <c r="S568" s="44"/>
      <c r="U568" s="44"/>
      <c r="V568" s="45"/>
    </row>
    <row r="569" ht="12.75" customHeight="1">
      <c r="M569" s="44"/>
      <c r="P569" s="44"/>
      <c r="Q569" s="44"/>
      <c r="S569" s="44"/>
      <c r="U569" s="44"/>
      <c r="V569" s="45"/>
    </row>
    <row r="570" ht="12.75" customHeight="1">
      <c r="M570" s="44"/>
      <c r="P570" s="44"/>
      <c r="Q570" s="44"/>
      <c r="S570" s="44"/>
      <c r="U570" s="44"/>
      <c r="V570" s="45"/>
    </row>
    <row r="571" ht="12.75" customHeight="1">
      <c r="M571" s="44"/>
      <c r="P571" s="44"/>
      <c r="Q571" s="44"/>
      <c r="S571" s="44"/>
      <c r="U571" s="44"/>
      <c r="V571" s="45"/>
    </row>
    <row r="572" ht="12.75" customHeight="1">
      <c r="M572" s="44"/>
      <c r="P572" s="44"/>
      <c r="Q572" s="44"/>
      <c r="S572" s="44"/>
      <c r="U572" s="44"/>
      <c r="V572" s="45"/>
    </row>
    <row r="573" ht="12.75" customHeight="1">
      <c r="M573" s="44"/>
      <c r="P573" s="44"/>
      <c r="Q573" s="44"/>
      <c r="S573" s="44"/>
      <c r="U573" s="44"/>
      <c r="V573" s="45"/>
    </row>
    <row r="574" ht="12.75" customHeight="1">
      <c r="M574" s="44"/>
      <c r="P574" s="44"/>
      <c r="Q574" s="44"/>
      <c r="S574" s="44"/>
      <c r="U574" s="44"/>
      <c r="V574" s="45"/>
    </row>
    <row r="575" ht="12.75" customHeight="1">
      <c r="M575" s="44"/>
      <c r="P575" s="44"/>
      <c r="Q575" s="44"/>
      <c r="S575" s="44"/>
      <c r="U575" s="44"/>
      <c r="V575" s="45"/>
    </row>
    <row r="576" ht="12.75" customHeight="1">
      <c r="M576" s="44"/>
      <c r="P576" s="44"/>
      <c r="Q576" s="44"/>
      <c r="S576" s="44"/>
      <c r="U576" s="44"/>
      <c r="V576" s="45"/>
    </row>
    <row r="577" ht="12.75" customHeight="1">
      <c r="M577" s="44"/>
      <c r="P577" s="44"/>
      <c r="Q577" s="44"/>
      <c r="S577" s="44"/>
      <c r="U577" s="44"/>
      <c r="V577" s="45"/>
    </row>
    <row r="578" ht="12.75" customHeight="1">
      <c r="M578" s="44"/>
      <c r="P578" s="44"/>
      <c r="Q578" s="44"/>
      <c r="S578" s="44"/>
      <c r="U578" s="44"/>
      <c r="V578" s="45"/>
    </row>
    <row r="579" ht="12.75" customHeight="1">
      <c r="M579" s="44"/>
      <c r="P579" s="44"/>
      <c r="Q579" s="44"/>
      <c r="S579" s="44"/>
      <c r="U579" s="44"/>
      <c r="V579" s="45"/>
    </row>
    <row r="580" ht="12.75" customHeight="1">
      <c r="M580" s="44"/>
      <c r="P580" s="44"/>
      <c r="Q580" s="44"/>
      <c r="S580" s="44"/>
      <c r="U580" s="44"/>
      <c r="V580" s="45"/>
    </row>
    <row r="581" ht="12.75" customHeight="1">
      <c r="M581" s="44"/>
      <c r="P581" s="44"/>
      <c r="Q581" s="44"/>
      <c r="S581" s="44"/>
      <c r="U581" s="44"/>
      <c r="V581" s="45"/>
    </row>
    <row r="582" ht="12.75" customHeight="1">
      <c r="M582" s="44"/>
      <c r="P582" s="44"/>
      <c r="Q582" s="44"/>
      <c r="S582" s="44"/>
      <c r="U582" s="44"/>
      <c r="V582" s="45"/>
    </row>
    <row r="583" ht="12.75" customHeight="1">
      <c r="M583" s="44"/>
      <c r="P583" s="44"/>
      <c r="Q583" s="44"/>
      <c r="S583" s="44"/>
      <c r="U583" s="44"/>
      <c r="V583" s="45"/>
    </row>
    <row r="584" ht="12.75" customHeight="1">
      <c r="M584" s="44"/>
      <c r="P584" s="44"/>
      <c r="Q584" s="44"/>
      <c r="S584" s="44"/>
      <c r="U584" s="44"/>
      <c r="V584" s="45"/>
    </row>
    <row r="585" ht="12.75" customHeight="1">
      <c r="M585" s="44"/>
      <c r="P585" s="44"/>
      <c r="Q585" s="44"/>
      <c r="S585" s="44"/>
      <c r="U585" s="44"/>
      <c r="V585" s="45"/>
    </row>
    <row r="586" ht="12.75" customHeight="1">
      <c r="M586" s="44"/>
      <c r="P586" s="44"/>
      <c r="Q586" s="44"/>
      <c r="S586" s="44"/>
      <c r="U586" s="44"/>
      <c r="V586" s="45"/>
    </row>
    <row r="587" ht="12.75" customHeight="1">
      <c r="M587" s="44"/>
      <c r="P587" s="44"/>
      <c r="Q587" s="44"/>
      <c r="S587" s="44"/>
      <c r="U587" s="44"/>
      <c r="V587" s="45"/>
    </row>
    <row r="588" ht="12.75" customHeight="1">
      <c r="M588" s="44"/>
      <c r="P588" s="44"/>
      <c r="Q588" s="44"/>
      <c r="S588" s="44"/>
      <c r="U588" s="44"/>
      <c r="V588" s="45"/>
    </row>
    <row r="589" ht="12.75" customHeight="1">
      <c r="M589" s="44"/>
      <c r="P589" s="44"/>
      <c r="Q589" s="44"/>
      <c r="S589" s="44"/>
      <c r="U589" s="44"/>
      <c r="V589" s="45"/>
    </row>
    <row r="590" ht="12.75" customHeight="1">
      <c r="M590" s="44"/>
      <c r="P590" s="44"/>
      <c r="Q590" s="44"/>
      <c r="S590" s="44"/>
      <c r="U590" s="44"/>
      <c r="V590" s="45"/>
    </row>
    <row r="591" ht="12.75" customHeight="1">
      <c r="M591" s="44"/>
      <c r="P591" s="44"/>
      <c r="Q591" s="44"/>
      <c r="S591" s="44"/>
      <c r="U591" s="44"/>
      <c r="V591" s="45"/>
    </row>
    <row r="592" ht="12.75" customHeight="1">
      <c r="M592" s="44"/>
      <c r="P592" s="44"/>
      <c r="Q592" s="44"/>
      <c r="S592" s="44"/>
      <c r="U592" s="44"/>
      <c r="V592" s="45"/>
    </row>
    <row r="593" ht="12.75" customHeight="1">
      <c r="M593" s="44"/>
      <c r="P593" s="44"/>
      <c r="Q593" s="44"/>
      <c r="S593" s="44"/>
      <c r="U593" s="44"/>
      <c r="V593" s="45"/>
    </row>
    <row r="594" ht="12.75" customHeight="1">
      <c r="M594" s="44"/>
      <c r="P594" s="44"/>
      <c r="Q594" s="44"/>
      <c r="S594" s="44"/>
      <c r="U594" s="44"/>
      <c r="V594" s="45"/>
    </row>
    <row r="595" ht="12.75" customHeight="1">
      <c r="M595" s="44"/>
      <c r="P595" s="44"/>
      <c r="Q595" s="44"/>
      <c r="S595" s="44"/>
      <c r="U595" s="44"/>
      <c r="V595" s="45"/>
    </row>
    <row r="596" ht="12.75" customHeight="1">
      <c r="M596" s="44"/>
      <c r="P596" s="44"/>
      <c r="Q596" s="44"/>
      <c r="S596" s="44"/>
      <c r="U596" s="44"/>
      <c r="V596" s="45"/>
    </row>
    <row r="597" ht="12.75" customHeight="1">
      <c r="M597" s="44"/>
      <c r="P597" s="44"/>
      <c r="Q597" s="44"/>
      <c r="S597" s="44"/>
      <c r="U597" s="44"/>
      <c r="V597" s="45"/>
    </row>
    <row r="598" ht="12.75" customHeight="1">
      <c r="M598" s="44"/>
      <c r="P598" s="44"/>
      <c r="Q598" s="44"/>
      <c r="S598" s="44"/>
      <c r="U598" s="44"/>
      <c r="V598" s="45"/>
    </row>
    <row r="599" ht="12.75" customHeight="1">
      <c r="M599" s="44"/>
      <c r="P599" s="44"/>
      <c r="Q599" s="44"/>
      <c r="S599" s="44"/>
      <c r="U599" s="44"/>
      <c r="V599" s="45"/>
    </row>
    <row r="600" ht="12.75" customHeight="1">
      <c r="M600" s="44"/>
      <c r="P600" s="44"/>
      <c r="Q600" s="44"/>
      <c r="S600" s="44"/>
      <c r="U600" s="44"/>
      <c r="V600" s="45"/>
    </row>
    <row r="601" ht="12.75" customHeight="1">
      <c r="M601" s="44"/>
      <c r="P601" s="44"/>
      <c r="Q601" s="44"/>
      <c r="S601" s="44"/>
      <c r="U601" s="44"/>
      <c r="V601" s="45"/>
    </row>
    <row r="602" ht="12.75" customHeight="1">
      <c r="M602" s="44"/>
      <c r="P602" s="44"/>
      <c r="Q602" s="44"/>
      <c r="S602" s="44"/>
      <c r="U602" s="44"/>
      <c r="V602" s="45"/>
    </row>
    <row r="603" ht="12.75" customHeight="1">
      <c r="M603" s="44"/>
      <c r="P603" s="44"/>
      <c r="Q603" s="44"/>
      <c r="S603" s="44"/>
      <c r="U603" s="44"/>
      <c r="V603" s="45"/>
    </row>
    <row r="604" ht="12.75" customHeight="1">
      <c r="M604" s="44"/>
      <c r="P604" s="44"/>
      <c r="Q604" s="44"/>
      <c r="S604" s="44"/>
      <c r="U604" s="44"/>
      <c r="V604" s="45"/>
    </row>
    <row r="605" ht="12.75" customHeight="1">
      <c r="M605" s="44"/>
      <c r="P605" s="44"/>
      <c r="Q605" s="44"/>
      <c r="S605" s="44"/>
      <c r="U605" s="44"/>
      <c r="V605" s="45"/>
    </row>
    <row r="606" ht="12.75" customHeight="1">
      <c r="M606" s="44"/>
      <c r="P606" s="44"/>
      <c r="Q606" s="44"/>
      <c r="S606" s="44"/>
      <c r="U606" s="44"/>
      <c r="V606" s="45"/>
    </row>
    <row r="607" ht="12.75" customHeight="1">
      <c r="M607" s="44"/>
      <c r="P607" s="44"/>
      <c r="Q607" s="44"/>
      <c r="S607" s="44"/>
      <c r="U607" s="44"/>
      <c r="V607" s="45"/>
    </row>
    <row r="608" ht="12.75" customHeight="1">
      <c r="M608" s="44"/>
      <c r="P608" s="44"/>
      <c r="Q608" s="44"/>
      <c r="S608" s="44"/>
      <c r="U608" s="44"/>
      <c r="V608" s="45"/>
    </row>
    <row r="609" ht="12.75" customHeight="1">
      <c r="M609" s="44"/>
      <c r="P609" s="44"/>
      <c r="Q609" s="44"/>
      <c r="S609" s="44"/>
      <c r="U609" s="44"/>
      <c r="V609" s="45"/>
    </row>
    <row r="610" ht="12.75" customHeight="1">
      <c r="M610" s="44"/>
      <c r="P610" s="44"/>
      <c r="Q610" s="44"/>
      <c r="S610" s="44"/>
      <c r="U610" s="44"/>
      <c r="V610" s="45"/>
    </row>
    <row r="611" ht="12.75" customHeight="1">
      <c r="M611" s="44"/>
      <c r="P611" s="44"/>
      <c r="Q611" s="44"/>
      <c r="S611" s="44"/>
      <c r="U611" s="44"/>
      <c r="V611" s="45"/>
    </row>
    <row r="612" ht="12.75" customHeight="1">
      <c r="M612" s="44"/>
      <c r="P612" s="44"/>
      <c r="Q612" s="44"/>
      <c r="S612" s="44"/>
      <c r="U612" s="44"/>
      <c r="V612" s="45"/>
    </row>
    <row r="613" ht="12.75" customHeight="1">
      <c r="M613" s="44"/>
      <c r="P613" s="44"/>
      <c r="Q613" s="44"/>
      <c r="S613" s="44"/>
      <c r="U613" s="44"/>
      <c r="V613" s="45"/>
    </row>
    <row r="614" ht="12.75" customHeight="1">
      <c r="M614" s="44"/>
      <c r="P614" s="44"/>
      <c r="Q614" s="44"/>
      <c r="S614" s="44"/>
      <c r="U614" s="44"/>
      <c r="V614" s="45"/>
    </row>
    <row r="615" ht="12.75" customHeight="1">
      <c r="M615" s="44"/>
      <c r="P615" s="44"/>
      <c r="Q615" s="44"/>
      <c r="S615" s="44"/>
      <c r="U615" s="44"/>
      <c r="V615" s="45"/>
    </row>
    <row r="616" ht="12.75" customHeight="1">
      <c r="M616" s="44"/>
      <c r="P616" s="44"/>
      <c r="Q616" s="44"/>
      <c r="S616" s="44"/>
      <c r="U616" s="44"/>
      <c r="V616" s="45"/>
    </row>
    <row r="617" ht="12.75" customHeight="1">
      <c r="M617" s="44"/>
      <c r="P617" s="44"/>
      <c r="Q617" s="44"/>
      <c r="S617" s="44"/>
      <c r="U617" s="44"/>
      <c r="V617" s="45"/>
    </row>
    <row r="618" ht="12.75" customHeight="1">
      <c r="M618" s="44"/>
      <c r="P618" s="44"/>
      <c r="Q618" s="44"/>
      <c r="S618" s="44"/>
      <c r="U618" s="44"/>
      <c r="V618" s="45"/>
    </row>
    <row r="619" ht="12.75" customHeight="1">
      <c r="M619" s="44"/>
      <c r="P619" s="44"/>
      <c r="Q619" s="44"/>
      <c r="S619" s="44"/>
      <c r="U619" s="44"/>
      <c r="V619" s="45"/>
    </row>
    <row r="620" ht="12.75" customHeight="1">
      <c r="M620" s="44"/>
      <c r="P620" s="44"/>
      <c r="Q620" s="44"/>
      <c r="S620" s="44"/>
      <c r="U620" s="44"/>
      <c r="V620" s="45"/>
    </row>
    <row r="621" ht="12.75" customHeight="1">
      <c r="M621" s="44"/>
      <c r="P621" s="44"/>
      <c r="Q621" s="44"/>
      <c r="S621" s="44"/>
      <c r="U621" s="44"/>
      <c r="V621" s="45"/>
    </row>
    <row r="622" ht="12.75" customHeight="1">
      <c r="M622" s="44"/>
      <c r="P622" s="44"/>
      <c r="Q622" s="44"/>
      <c r="S622" s="44"/>
      <c r="U622" s="44"/>
      <c r="V622" s="45"/>
    </row>
    <row r="623" ht="12.75" customHeight="1">
      <c r="M623" s="44"/>
      <c r="P623" s="44"/>
      <c r="Q623" s="44"/>
      <c r="S623" s="44"/>
      <c r="U623" s="44"/>
      <c r="V623" s="45"/>
    </row>
    <row r="624" ht="12.75" customHeight="1">
      <c r="M624" s="44"/>
      <c r="P624" s="44"/>
      <c r="Q624" s="44"/>
      <c r="S624" s="44"/>
      <c r="U624" s="44"/>
      <c r="V624" s="45"/>
    </row>
    <row r="625" ht="12.75" customHeight="1">
      <c r="M625" s="44"/>
      <c r="P625" s="44"/>
      <c r="Q625" s="44"/>
      <c r="S625" s="44"/>
      <c r="U625" s="44"/>
      <c r="V625" s="45"/>
    </row>
    <row r="626" ht="12.75" customHeight="1">
      <c r="M626" s="44"/>
      <c r="P626" s="44"/>
      <c r="Q626" s="44"/>
      <c r="S626" s="44"/>
      <c r="U626" s="44"/>
      <c r="V626" s="45"/>
    </row>
    <row r="627" ht="12.75" customHeight="1">
      <c r="M627" s="44"/>
      <c r="P627" s="44"/>
      <c r="Q627" s="44"/>
      <c r="S627" s="44"/>
      <c r="U627" s="44"/>
      <c r="V627" s="45"/>
    </row>
    <row r="628" ht="12.75" customHeight="1">
      <c r="M628" s="44"/>
      <c r="P628" s="44"/>
      <c r="Q628" s="44"/>
      <c r="S628" s="44"/>
      <c r="U628" s="44"/>
      <c r="V628" s="45"/>
    </row>
    <row r="629" ht="12.75" customHeight="1">
      <c r="M629" s="44"/>
      <c r="P629" s="44"/>
      <c r="Q629" s="44"/>
      <c r="S629" s="44"/>
      <c r="U629" s="44"/>
      <c r="V629" s="45"/>
    </row>
    <row r="630" ht="12.75" customHeight="1">
      <c r="M630" s="44"/>
      <c r="P630" s="44"/>
      <c r="Q630" s="44"/>
      <c r="S630" s="44"/>
      <c r="U630" s="44"/>
      <c r="V630" s="45"/>
    </row>
    <row r="631" ht="12.75" customHeight="1">
      <c r="M631" s="44"/>
      <c r="P631" s="44"/>
      <c r="Q631" s="44"/>
      <c r="S631" s="44"/>
      <c r="U631" s="44"/>
      <c r="V631" s="45"/>
    </row>
    <row r="632" ht="12.75" customHeight="1">
      <c r="M632" s="44"/>
      <c r="P632" s="44"/>
      <c r="Q632" s="44"/>
      <c r="S632" s="44"/>
      <c r="U632" s="44"/>
      <c r="V632" s="45"/>
    </row>
    <row r="633" ht="12.75" customHeight="1">
      <c r="M633" s="44"/>
      <c r="P633" s="44"/>
      <c r="Q633" s="44"/>
      <c r="S633" s="44"/>
      <c r="U633" s="44"/>
      <c r="V633" s="45"/>
    </row>
    <row r="634" ht="12.75" customHeight="1">
      <c r="M634" s="44"/>
      <c r="P634" s="44"/>
      <c r="Q634" s="44"/>
      <c r="S634" s="44"/>
      <c r="U634" s="44"/>
      <c r="V634" s="45"/>
    </row>
    <row r="635" ht="12.75" customHeight="1">
      <c r="M635" s="44"/>
      <c r="P635" s="44"/>
      <c r="Q635" s="44"/>
      <c r="S635" s="44"/>
      <c r="U635" s="44"/>
      <c r="V635" s="45"/>
    </row>
    <row r="636" ht="12.75" customHeight="1">
      <c r="M636" s="44"/>
      <c r="P636" s="44"/>
      <c r="Q636" s="44"/>
      <c r="S636" s="44"/>
      <c r="U636" s="44"/>
      <c r="V636" s="45"/>
    </row>
    <row r="637" ht="12.75" customHeight="1">
      <c r="M637" s="44"/>
      <c r="P637" s="44"/>
      <c r="Q637" s="44"/>
      <c r="S637" s="44"/>
      <c r="U637" s="44"/>
      <c r="V637" s="45"/>
    </row>
    <row r="638" ht="12.75" customHeight="1">
      <c r="M638" s="44"/>
      <c r="P638" s="44"/>
      <c r="Q638" s="44"/>
      <c r="S638" s="44"/>
      <c r="U638" s="44"/>
      <c r="V638" s="45"/>
    </row>
    <row r="639" ht="12.75" customHeight="1">
      <c r="M639" s="44"/>
      <c r="P639" s="44"/>
      <c r="Q639" s="44"/>
      <c r="S639" s="44"/>
      <c r="U639" s="44"/>
      <c r="V639" s="45"/>
    </row>
    <row r="640" ht="12.75" customHeight="1">
      <c r="M640" s="44"/>
      <c r="P640" s="44"/>
      <c r="Q640" s="44"/>
      <c r="S640" s="44"/>
      <c r="U640" s="44"/>
      <c r="V640" s="45"/>
    </row>
    <row r="641" ht="12.75" customHeight="1">
      <c r="M641" s="44"/>
      <c r="P641" s="44"/>
      <c r="Q641" s="44"/>
      <c r="S641" s="44"/>
      <c r="U641" s="44"/>
      <c r="V641" s="45"/>
    </row>
    <row r="642" ht="12.75" customHeight="1">
      <c r="M642" s="44"/>
      <c r="P642" s="44"/>
      <c r="Q642" s="44"/>
      <c r="S642" s="44"/>
      <c r="U642" s="44"/>
      <c r="V642" s="45"/>
    </row>
    <row r="643" ht="12.75" customHeight="1">
      <c r="M643" s="44"/>
      <c r="P643" s="44"/>
      <c r="Q643" s="44"/>
      <c r="S643" s="44"/>
      <c r="U643" s="44"/>
      <c r="V643" s="45"/>
    </row>
    <row r="644" ht="12.75" customHeight="1">
      <c r="M644" s="44"/>
      <c r="P644" s="44"/>
      <c r="Q644" s="44"/>
      <c r="S644" s="44"/>
      <c r="U644" s="44"/>
      <c r="V644" s="45"/>
    </row>
    <row r="645" ht="12.75" customHeight="1">
      <c r="M645" s="44"/>
      <c r="P645" s="44"/>
      <c r="Q645" s="44"/>
      <c r="S645" s="44"/>
      <c r="U645" s="44"/>
      <c r="V645" s="45"/>
    </row>
    <row r="646" ht="12.75" customHeight="1">
      <c r="M646" s="44"/>
      <c r="P646" s="44"/>
      <c r="Q646" s="44"/>
      <c r="S646" s="44"/>
      <c r="U646" s="44"/>
      <c r="V646" s="45"/>
    </row>
    <row r="647" ht="12.75" customHeight="1">
      <c r="M647" s="44"/>
      <c r="P647" s="44"/>
      <c r="Q647" s="44"/>
      <c r="S647" s="44"/>
      <c r="U647" s="44"/>
      <c r="V647" s="45"/>
    </row>
    <row r="648" ht="12.75" customHeight="1">
      <c r="M648" s="44"/>
      <c r="P648" s="44"/>
      <c r="Q648" s="44"/>
      <c r="S648" s="44"/>
      <c r="U648" s="44"/>
      <c r="V648" s="45"/>
    </row>
    <row r="649" ht="12.75" customHeight="1">
      <c r="M649" s="44"/>
      <c r="P649" s="44"/>
      <c r="Q649" s="44"/>
      <c r="S649" s="44"/>
      <c r="U649" s="44"/>
      <c r="V649" s="45"/>
    </row>
    <row r="650" ht="12.75" customHeight="1">
      <c r="M650" s="44"/>
      <c r="P650" s="44"/>
      <c r="Q650" s="44"/>
      <c r="S650" s="44"/>
      <c r="U650" s="44"/>
      <c r="V650" s="45"/>
    </row>
    <row r="651" ht="12.75" customHeight="1">
      <c r="M651" s="44"/>
      <c r="P651" s="44"/>
      <c r="Q651" s="44"/>
      <c r="S651" s="44"/>
      <c r="U651" s="44"/>
      <c r="V651" s="45"/>
    </row>
    <row r="652" ht="12.75" customHeight="1">
      <c r="M652" s="44"/>
      <c r="P652" s="44"/>
      <c r="Q652" s="44"/>
      <c r="S652" s="44"/>
      <c r="U652" s="44"/>
      <c r="V652" s="45"/>
    </row>
    <row r="653" ht="12.75" customHeight="1">
      <c r="M653" s="44"/>
      <c r="P653" s="44"/>
      <c r="Q653" s="44"/>
      <c r="S653" s="44"/>
      <c r="U653" s="44"/>
      <c r="V653" s="45"/>
    </row>
    <row r="654" ht="12.75" customHeight="1">
      <c r="M654" s="44"/>
      <c r="P654" s="44"/>
      <c r="Q654" s="44"/>
      <c r="S654" s="44"/>
      <c r="U654" s="44"/>
      <c r="V654" s="45"/>
    </row>
    <row r="655" ht="12.75" customHeight="1">
      <c r="M655" s="44"/>
      <c r="P655" s="44"/>
      <c r="Q655" s="44"/>
      <c r="S655" s="44"/>
      <c r="U655" s="44"/>
      <c r="V655" s="45"/>
    </row>
    <row r="656" ht="12.75" customHeight="1">
      <c r="M656" s="44"/>
      <c r="P656" s="44"/>
      <c r="Q656" s="44"/>
      <c r="S656" s="44"/>
      <c r="U656" s="44"/>
      <c r="V656" s="45"/>
    </row>
    <row r="657" ht="12.75" customHeight="1">
      <c r="M657" s="44"/>
      <c r="P657" s="44"/>
      <c r="Q657" s="44"/>
      <c r="S657" s="44"/>
      <c r="U657" s="44"/>
      <c r="V657" s="45"/>
    </row>
    <row r="658" ht="12.75" customHeight="1">
      <c r="M658" s="44"/>
      <c r="P658" s="44"/>
      <c r="Q658" s="44"/>
      <c r="S658" s="44"/>
      <c r="U658" s="44"/>
      <c r="V658" s="45"/>
    </row>
    <row r="659" ht="12.75" customHeight="1">
      <c r="M659" s="44"/>
      <c r="P659" s="44"/>
      <c r="Q659" s="44"/>
      <c r="S659" s="44"/>
      <c r="U659" s="44"/>
      <c r="V659" s="45"/>
    </row>
    <row r="660" ht="12.75" customHeight="1">
      <c r="M660" s="44"/>
      <c r="P660" s="44"/>
      <c r="Q660" s="44"/>
      <c r="S660" s="44"/>
      <c r="U660" s="44"/>
      <c r="V660" s="45"/>
    </row>
    <row r="661" ht="12.75" customHeight="1">
      <c r="M661" s="44"/>
      <c r="P661" s="44"/>
      <c r="Q661" s="44"/>
      <c r="S661" s="44"/>
      <c r="U661" s="44"/>
      <c r="V661" s="45"/>
    </row>
    <row r="662" ht="12.75" customHeight="1">
      <c r="M662" s="44"/>
      <c r="P662" s="44"/>
      <c r="Q662" s="44"/>
      <c r="S662" s="44"/>
      <c r="U662" s="44"/>
      <c r="V662" s="45"/>
    </row>
    <row r="663" ht="12.75" customHeight="1">
      <c r="M663" s="44"/>
      <c r="P663" s="44"/>
      <c r="Q663" s="44"/>
      <c r="S663" s="44"/>
      <c r="U663" s="44"/>
      <c r="V663" s="45"/>
    </row>
    <row r="664" ht="12.75" customHeight="1">
      <c r="M664" s="44"/>
      <c r="P664" s="44"/>
      <c r="Q664" s="44"/>
      <c r="S664" s="44"/>
      <c r="U664" s="44"/>
      <c r="V664" s="45"/>
    </row>
    <row r="665" ht="12.75" customHeight="1">
      <c r="M665" s="44"/>
      <c r="P665" s="44"/>
      <c r="Q665" s="44"/>
      <c r="S665" s="44"/>
      <c r="U665" s="44"/>
      <c r="V665" s="45"/>
    </row>
    <row r="666" ht="12.75" customHeight="1">
      <c r="M666" s="44"/>
      <c r="P666" s="44"/>
      <c r="Q666" s="44"/>
      <c r="S666" s="44"/>
      <c r="U666" s="44"/>
      <c r="V666" s="45"/>
    </row>
    <row r="667" ht="12.75" customHeight="1">
      <c r="M667" s="44"/>
      <c r="P667" s="44"/>
      <c r="Q667" s="44"/>
      <c r="S667" s="44"/>
      <c r="U667" s="44"/>
      <c r="V667" s="45"/>
    </row>
    <row r="668" ht="12.75" customHeight="1">
      <c r="M668" s="44"/>
      <c r="P668" s="44"/>
      <c r="Q668" s="44"/>
      <c r="S668" s="44"/>
      <c r="U668" s="44"/>
      <c r="V668" s="45"/>
    </row>
    <row r="669" ht="12.75" customHeight="1">
      <c r="M669" s="44"/>
      <c r="P669" s="44"/>
      <c r="Q669" s="44"/>
      <c r="S669" s="44"/>
      <c r="U669" s="44"/>
      <c r="V669" s="45"/>
    </row>
    <row r="670" ht="12.75" customHeight="1">
      <c r="M670" s="44"/>
      <c r="P670" s="44"/>
      <c r="Q670" s="44"/>
      <c r="S670" s="44"/>
      <c r="U670" s="44"/>
      <c r="V670" s="45"/>
    </row>
    <row r="671" ht="12.75" customHeight="1">
      <c r="M671" s="44"/>
      <c r="P671" s="44"/>
      <c r="Q671" s="44"/>
      <c r="S671" s="44"/>
      <c r="U671" s="44"/>
      <c r="V671" s="45"/>
    </row>
    <row r="672" ht="12.75" customHeight="1">
      <c r="M672" s="44"/>
      <c r="P672" s="44"/>
      <c r="Q672" s="44"/>
      <c r="S672" s="44"/>
      <c r="U672" s="44"/>
      <c r="V672" s="45"/>
    </row>
    <row r="673" ht="12.75" customHeight="1">
      <c r="M673" s="44"/>
      <c r="P673" s="44"/>
      <c r="Q673" s="44"/>
      <c r="S673" s="44"/>
      <c r="U673" s="44"/>
      <c r="V673" s="45"/>
    </row>
    <row r="674" ht="12.75" customHeight="1">
      <c r="M674" s="44"/>
      <c r="P674" s="44"/>
      <c r="Q674" s="44"/>
      <c r="S674" s="44"/>
      <c r="U674" s="44"/>
      <c r="V674" s="45"/>
    </row>
    <row r="675" ht="12.75" customHeight="1">
      <c r="M675" s="44"/>
      <c r="P675" s="44"/>
      <c r="Q675" s="44"/>
      <c r="S675" s="44"/>
      <c r="U675" s="44"/>
      <c r="V675" s="45"/>
    </row>
    <row r="676" ht="12.75" customHeight="1">
      <c r="M676" s="44"/>
      <c r="P676" s="44"/>
      <c r="Q676" s="44"/>
      <c r="S676" s="44"/>
      <c r="U676" s="44"/>
      <c r="V676" s="45"/>
    </row>
    <row r="677" ht="12.75" customHeight="1">
      <c r="M677" s="44"/>
      <c r="P677" s="44"/>
      <c r="Q677" s="44"/>
      <c r="S677" s="44"/>
      <c r="U677" s="44"/>
      <c r="V677" s="45"/>
    </row>
    <row r="678" ht="12.75" customHeight="1">
      <c r="M678" s="44"/>
      <c r="P678" s="44"/>
      <c r="Q678" s="44"/>
      <c r="S678" s="44"/>
      <c r="U678" s="44"/>
      <c r="V678" s="45"/>
    </row>
    <row r="679" ht="12.75" customHeight="1">
      <c r="M679" s="44"/>
      <c r="P679" s="44"/>
      <c r="Q679" s="44"/>
      <c r="S679" s="44"/>
      <c r="U679" s="44"/>
      <c r="V679" s="45"/>
    </row>
    <row r="680" ht="12.75" customHeight="1">
      <c r="M680" s="44"/>
      <c r="P680" s="44"/>
      <c r="Q680" s="44"/>
      <c r="S680" s="44"/>
      <c r="U680" s="44"/>
      <c r="V680" s="45"/>
    </row>
    <row r="681" ht="12.75" customHeight="1">
      <c r="M681" s="44"/>
      <c r="P681" s="44"/>
      <c r="Q681" s="44"/>
      <c r="S681" s="44"/>
      <c r="U681" s="44"/>
      <c r="V681" s="45"/>
    </row>
    <row r="682" ht="12.75" customHeight="1">
      <c r="M682" s="44"/>
      <c r="P682" s="44"/>
      <c r="Q682" s="44"/>
      <c r="S682" s="44"/>
      <c r="U682" s="44"/>
      <c r="V682" s="45"/>
    </row>
    <row r="683" ht="12.75" customHeight="1">
      <c r="M683" s="44"/>
      <c r="P683" s="44"/>
      <c r="Q683" s="44"/>
      <c r="S683" s="44"/>
      <c r="U683" s="44"/>
      <c r="V683" s="45"/>
    </row>
    <row r="684" ht="12.75" customHeight="1">
      <c r="M684" s="44"/>
      <c r="P684" s="44"/>
      <c r="Q684" s="44"/>
      <c r="S684" s="44"/>
      <c r="U684" s="44"/>
      <c r="V684" s="45"/>
    </row>
    <row r="685" ht="12.75" customHeight="1">
      <c r="M685" s="44"/>
      <c r="P685" s="44"/>
      <c r="Q685" s="44"/>
      <c r="S685" s="44"/>
      <c r="U685" s="44"/>
      <c r="V685" s="45"/>
    </row>
    <row r="686" ht="12.75" customHeight="1">
      <c r="M686" s="44"/>
      <c r="P686" s="44"/>
      <c r="Q686" s="44"/>
      <c r="S686" s="44"/>
      <c r="U686" s="44"/>
      <c r="V686" s="45"/>
    </row>
    <row r="687" ht="12.75" customHeight="1">
      <c r="M687" s="44"/>
      <c r="P687" s="44"/>
      <c r="Q687" s="44"/>
      <c r="S687" s="44"/>
      <c r="U687" s="44"/>
      <c r="V687" s="45"/>
    </row>
    <row r="688" ht="12.75" customHeight="1">
      <c r="M688" s="44"/>
      <c r="P688" s="44"/>
      <c r="Q688" s="44"/>
      <c r="S688" s="44"/>
      <c r="U688" s="44"/>
      <c r="V688" s="45"/>
    </row>
    <row r="689" ht="12.75" customHeight="1">
      <c r="M689" s="44"/>
      <c r="P689" s="44"/>
      <c r="Q689" s="44"/>
      <c r="S689" s="44"/>
      <c r="U689" s="44"/>
      <c r="V689" s="45"/>
    </row>
    <row r="690" ht="12.75" customHeight="1">
      <c r="M690" s="44"/>
      <c r="P690" s="44"/>
      <c r="Q690" s="44"/>
      <c r="S690" s="44"/>
      <c r="U690" s="44"/>
      <c r="V690" s="45"/>
    </row>
    <row r="691" ht="12.75" customHeight="1">
      <c r="M691" s="44"/>
      <c r="P691" s="44"/>
      <c r="Q691" s="44"/>
      <c r="S691" s="44"/>
      <c r="U691" s="44"/>
      <c r="V691" s="45"/>
    </row>
    <row r="692" ht="12.75" customHeight="1">
      <c r="M692" s="44"/>
      <c r="P692" s="44"/>
      <c r="Q692" s="44"/>
      <c r="S692" s="44"/>
      <c r="U692" s="44"/>
      <c r="V692" s="45"/>
    </row>
    <row r="693" ht="12.75" customHeight="1">
      <c r="M693" s="44"/>
      <c r="P693" s="44"/>
      <c r="Q693" s="44"/>
      <c r="S693" s="44"/>
      <c r="U693" s="44"/>
      <c r="V693" s="45"/>
    </row>
    <row r="694" ht="12.75" customHeight="1">
      <c r="M694" s="44"/>
      <c r="P694" s="44"/>
      <c r="Q694" s="44"/>
      <c r="S694" s="44"/>
      <c r="U694" s="44"/>
      <c r="V694" s="45"/>
    </row>
    <row r="695" ht="12.75" customHeight="1">
      <c r="M695" s="44"/>
      <c r="P695" s="44"/>
      <c r="Q695" s="44"/>
      <c r="S695" s="44"/>
      <c r="U695" s="44"/>
      <c r="V695" s="45"/>
    </row>
    <row r="696" ht="12.75" customHeight="1">
      <c r="M696" s="44"/>
      <c r="P696" s="44"/>
      <c r="Q696" s="44"/>
      <c r="S696" s="44"/>
      <c r="U696" s="44"/>
      <c r="V696" s="45"/>
    </row>
    <row r="697" ht="12.75" customHeight="1">
      <c r="M697" s="44"/>
      <c r="P697" s="44"/>
      <c r="Q697" s="44"/>
      <c r="S697" s="44"/>
      <c r="U697" s="44"/>
      <c r="V697" s="45"/>
    </row>
    <row r="698" ht="12.75" customHeight="1">
      <c r="M698" s="44"/>
      <c r="P698" s="44"/>
      <c r="Q698" s="44"/>
      <c r="S698" s="44"/>
      <c r="U698" s="44"/>
      <c r="V698" s="45"/>
    </row>
    <row r="699" ht="12.75" customHeight="1">
      <c r="M699" s="44"/>
      <c r="P699" s="44"/>
      <c r="Q699" s="44"/>
      <c r="S699" s="44"/>
      <c r="U699" s="44"/>
      <c r="V699" s="45"/>
    </row>
    <row r="700" ht="12.75" customHeight="1">
      <c r="M700" s="44"/>
      <c r="P700" s="44"/>
      <c r="Q700" s="44"/>
      <c r="S700" s="44"/>
      <c r="U700" s="44"/>
      <c r="V700" s="45"/>
    </row>
    <row r="701" ht="12.75" customHeight="1">
      <c r="M701" s="44"/>
      <c r="P701" s="44"/>
      <c r="Q701" s="44"/>
      <c r="S701" s="44"/>
      <c r="U701" s="44"/>
      <c r="V701" s="45"/>
    </row>
    <row r="702" ht="12.75" customHeight="1">
      <c r="M702" s="44"/>
      <c r="P702" s="44"/>
      <c r="Q702" s="44"/>
      <c r="S702" s="44"/>
      <c r="U702" s="44"/>
      <c r="V702" s="45"/>
    </row>
    <row r="703" ht="12.75" customHeight="1">
      <c r="M703" s="44"/>
      <c r="P703" s="44"/>
      <c r="Q703" s="44"/>
      <c r="S703" s="44"/>
      <c r="U703" s="44"/>
      <c r="V703" s="45"/>
    </row>
    <row r="704" ht="12.75" customHeight="1">
      <c r="M704" s="44"/>
      <c r="P704" s="44"/>
      <c r="Q704" s="44"/>
      <c r="S704" s="44"/>
      <c r="U704" s="44"/>
      <c r="V704" s="45"/>
    </row>
    <row r="705" ht="12.75" customHeight="1">
      <c r="M705" s="44"/>
      <c r="P705" s="44"/>
      <c r="Q705" s="44"/>
      <c r="S705" s="44"/>
      <c r="U705" s="44"/>
      <c r="V705" s="45"/>
    </row>
    <row r="706" ht="12.75" customHeight="1">
      <c r="M706" s="44"/>
      <c r="P706" s="44"/>
      <c r="Q706" s="44"/>
      <c r="S706" s="44"/>
      <c r="U706" s="44"/>
      <c r="V706" s="45"/>
    </row>
    <row r="707" ht="12.75" customHeight="1">
      <c r="M707" s="44"/>
      <c r="P707" s="44"/>
      <c r="Q707" s="44"/>
      <c r="S707" s="44"/>
      <c r="U707" s="44"/>
      <c r="V707" s="45"/>
    </row>
    <row r="708" ht="12.75" customHeight="1">
      <c r="M708" s="44"/>
      <c r="P708" s="44"/>
      <c r="Q708" s="44"/>
      <c r="S708" s="44"/>
      <c r="U708" s="44"/>
      <c r="V708" s="45"/>
    </row>
    <row r="709" ht="12.75" customHeight="1">
      <c r="M709" s="44"/>
      <c r="P709" s="44"/>
      <c r="Q709" s="44"/>
      <c r="S709" s="44"/>
      <c r="U709" s="44"/>
      <c r="V709" s="45"/>
    </row>
    <row r="710" ht="12.75" customHeight="1">
      <c r="M710" s="44"/>
      <c r="P710" s="44"/>
      <c r="Q710" s="44"/>
      <c r="S710" s="44"/>
      <c r="U710" s="44"/>
      <c r="V710" s="45"/>
    </row>
    <row r="711" ht="12.75" customHeight="1">
      <c r="M711" s="44"/>
      <c r="P711" s="44"/>
      <c r="Q711" s="44"/>
      <c r="S711" s="44"/>
      <c r="U711" s="44"/>
      <c r="V711" s="45"/>
    </row>
    <row r="712" ht="12.75" customHeight="1">
      <c r="M712" s="44"/>
      <c r="P712" s="44"/>
      <c r="Q712" s="44"/>
      <c r="S712" s="44"/>
      <c r="U712" s="44"/>
      <c r="V712" s="45"/>
    </row>
    <row r="713" ht="12.75" customHeight="1">
      <c r="M713" s="44"/>
      <c r="P713" s="44"/>
      <c r="Q713" s="44"/>
      <c r="S713" s="44"/>
      <c r="U713" s="44"/>
      <c r="V713" s="45"/>
    </row>
    <row r="714" ht="12.75" customHeight="1">
      <c r="M714" s="44"/>
      <c r="P714" s="44"/>
      <c r="Q714" s="44"/>
      <c r="S714" s="44"/>
      <c r="U714" s="44"/>
      <c r="V714" s="45"/>
    </row>
    <row r="715" ht="12.75" customHeight="1">
      <c r="M715" s="44"/>
      <c r="P715" s="44"/>
      <c r="Q715" s="44"/>
      <c r="S715" s="44"/>
      <c r="U715" s="44"/>
      <c r="V715" s="45"/>
    </row>
    <row r="716" ht="12.75" customHeight="1">
      <c r="M716" s="44"/>
      <c r="P716" s="44"/>
      <c r="Q716" s="44"/>
      <c r="S716" s="44"/>
      <c r="U716" s="44"/>
      <c r="V716" s="45"/>
    </row>
    <row r="717" ht="12.75" customHeight="1">
      <c r="M717" s="44"/>
      <c r="P717" s="44"/>
      <c r="Q717" s="44"/>
      <c r="S717" s="44"/>
      <c r="U717" s="44"/>
      <c r="V717" s="45"/>
    </row>
    <row r="718" ht="12.75" customHeight="1">
      <c r="M718" s="44"/>
      <c r="P718" s="44"/>
      <c r="Q718" s="44"/>
      <c r="S718" s="44"/>
      <c r="U718" s="44"/>
      <c r="V718" s="45"/>
    </row>
    <row r="719" ht="12.75" customHeight="1">
      <c r="M719" s="44"/>
      <c r="P719" s="44"/>
      <c r="Q719" s="44"/>
      <c r="S719" s="44"/>
      <c r="U719" s="44"/>
      <c r="V719" s="45"/>
    </row>
    <row r="720" ht="12.75" customHeight="1">
      <c r="M720" s="44"/>
      <c r="P720" s="44"/>
      <c r="Q720" s="44"/>
      <c r="S720" s="44"/>
      <c r="U720" s="44"/>
      <c r="V720" s="45"/>
    </row>
    <row r="721" ht="12.75" customHeight="1">
      <c r="M721" s="44"/>
      <c r="P721" s="44"/>
      <c r="Q721" s="44"/>
      <c r="S721" s="44"/>
      <c r="U721" s="44"/>
      <c r="V721" s="45"/>
    </row>
    <row r="722" ht="12.75" customHeight="1">
      <c r="M722" s="44"/>
      <c r="P722" s="44"/>
      <c r="Q722" s="44"/>
      <c r="S722" s="44"/>
      <c r="U722" s="44"/>
      <c r="V722" s="45"/>
    </row>
    <row r="723" ht="12.75" customHeight="1">
      <c r="M723" s="44"/>
      <c r="P723" s="44"/>
      <c r="Q723" s="44"/>
      <c r="S723" s="44"/>
      <c r="U723" s="44"/>
      <c r="V723" s="45"/>
    </row>
    <row r="724" ht="12.75" customHeight="1">
      <c r="M724" s="44"/>
      <c r="P724" s="44"/>
      <c r="Q724" s="44"/>
      <c r="S724" s="44"/>
      <c r="U724" s="44"/>
      <c r="V724" s="45"/>
    </row>
    <row r="725" ht="12.75" customHeight="1">
      <c r="M725" s="44"/>
      <c r="P725" s="44"/>
      <c r="Q725" s="44"/>
      <c r="S725" s="44"/>
      <c r="U725" s="44"/>
      <c r="V725" s="45"/>
    </row>
    <row r="726" ht="12.75" customHeight="1">
      <c r="M726" s="44"/>
      <c r="P726" s="44"/>
      <c r="Q726" s="44"/>
      <c r="S726" s="44"/>
      <c r="U726" s="44"/>
      <c r="V726" s="45"/>
    </row>
    <row r="727" ht="12.75" customHeight="1">
      <c r="M727" s="44"/>
      <c r="P727" s="44"/>
      <c r="Q727" s="44"/>
      <c r="S727" s="44"/>
      <c r="U727" s="44"/>
      <c r="V727" s="45"/>
    </row>
    <row r="728" ht="12.75" customHeight="1">
      <c r="M728" s="44"/>
      <c r="P728" s="44"/>
      <c r="Q728" s="44"/>
      <c r="S728" s="44"/>
      <c r="U728" s="44"/>
      <c r="V728" s="45"/>
    </row>
    <row r="729" ht="12.75" customHeight="1">
      <c r="M729" s="44"/>
      <c r="P729" s="44"/>
      <c r="Q729" s="44"/>
      <c r="S729" s="44"/>
      <c r="U729" s="44"/>
      <c r="V729" s="45"/>
    </row>
    <row r="730" ht="12.75" customHeight="1">
      <c r="M730" s="44"/>
      <c r="P730" s="44"/>
      <c r="Q730" s="44"/>
      <c r="S730" s="44"/>
      <c r="U730" s="44"/>
      <c r="V730" s="45"/>
    </row>
    <row r="731" ht="12.75" customHeight="1">
      <c r="M731" s="44"/>
      <c r="P731" s="44"/>
      <c r="Q731" s="44"/>
      <c r="S731" s="44"/>
      <c r="U731" s="44"/>
      <c r="V731" s="45"/>
    </row>
    <row r="732" ht="12.75" customHeight="1">
      <c r="M732" s="44"/>
      <c r="P732" s="44"/>
      <c r="Q732" s="44"/>
      <c r="S732" s="44"/>
      <c r="U732" s="44"/>
      <c r="V732" s="45"/>
    </row>
    <row r="733" ht="12.75" customHeight="1">
      <c r="M733" s="44"/>
      <c r="P733" s="44"/>
      <c r="Q733" s="44"/>
      <c r="S733" s="44"/>
      <c r="U733" s="44"/>
      <c r="V733" s="45"/>
    </row>
    <row r="734" ht="12.75" customHeight="1">
      <c r="M734" s="44"/>
      <c r="P734" s="44"/>
      <c r="Q734" s="44"/>
      <c r="S734" s="44"/>
      <c r="U734" s="44"/>
      <c r="V734" s="45"/>
    </row>
    <row r="735" ht="12.75" customHeight="1">
      <c r="M735" s="44"/>
      <c r="P735" s="44"/>
      <c r="Q735" s="44"/>
      <c r="S735" s="44"/>
      <c r="U735" s="44"/>
      <c r="V735" s="45"/>
    </row>
    <row r="736" ht="12.75" customHeight="1">
      <c r="M736" s="44"/>
      <c r="P736" s="44"/>
      <c r="Q736" s="44"/>
      <c r="S736" s="44"/>
      <c r="U736" s="44"/>
      <c r="V736" s="45"/>
    </row>
    <row r="737" ht="12.75" customHeight="1">
      <c r="M737" s="44"/>
      <c r="P737" s="44"/>
      <c r="Q737" s="44"/>
      <c r="S737" s="44"/>
      <c r="U737" s="44"/>
      <c r="V737" s="45"/>
    </row>
    <row r="738" ht="12.75" customHeight="1">
      <c r="M738" s="44"/>
      <c r="P738" s="44"/>
      <c r="Q738" s="44"/>
      <c r="S738" s="44"/>
      <c r="U738" s="44"/>
      <c r="V738" s="45"/>
    </row>
    <row r="739" ht="12.75" customHeight="1">
      <c r="M739" s="44"/>
      <c r="P739" s="44"/>
      <c r="Q739" s="44"/>
      <c r="S739" s="44"/>
      <c r="U739" s="44"/>
      <c r="V739" s="45"/>
    </row>
    <row r="740" ht="12.75" customHeight="1">
      <c r="M740" s="44"/>
      <c r="P740" s="44"/>
      <c r="Q740" s="44"/>
      <c r="S740" s="44"/>
      <c r="U740" s="44"/>
      <c r="V740" s="45"/>
    </row>
    <row r="741" ht="12.75" customHeight="1">
      <c r="M741" s="44"/>
      <c r="P741" s="44"/>
      <c r="Q741" s="44"/>
      <c r="S741" s="44"/>
      <c r="U741" s="44"/>
      <c r="V741" s="45"/>
    </row>
    <row r="742" ht="12.75" customHeight="1">
      <c r="M742" s="44"/>
      <c r="P742" s="44"/>
      <c r="Q742" s="44"/>
      <c r="S742" s="44"/>
      <c r="U742" s="44"/>
      <c r="V742" s="45"/>
    </row>
    <row r="743" ht="12.75" customHeight="1">
      <c r="M743" s="44"/>
      <c r="P743" s="44"/>
      <c r="Q743" s="44"/>
      <c r="S743" s="44"/>
      <c r="U743" s="44"/>
      <c r="V743" s="45"/>
    </row>
    <row r="744" ht="12.75" customHeight="1">
      <c r="M744" s="44"/>
      <c r="P744" s="44"/>
      <c r="Q744" s="44"/>
      <c r="S744" s="44"/>
      <c r="U744" s="44"/>
      <c r="V744" s="45"/>
    </row>
    <row r="745" ht="12.75" customHeight="1">
      <c r="M745" s="44"/>
      <c r="P745" s="44"/>
      <c r="Q745" s="44"/>
      <c r="S745" s="44"/>
      <c r="U745" s="44"/>
      <c r="V745" s="45"/>
    </row>
    <row r="746" ht="12.75" customHeight="1">
      <c r="M746" s="44"/>
      <c r="P746" s="44"/>
      <c r="Q746" s="44"/>
      <c r="S746" s="44"/>
      <c r="U746" s="44"/>
      <c r="V746" s="45"/>
    </row>
    <row r="747" ht="12.75" customHeight="1">
      <c r="M747" s="44"/>
      <c r="P747" s="44"/>
      <c r="Q747" s="44"/>
      <c r="S747" s="44"/>
      <c r="U747" s="44"/>
      <c r="V747" s="45"/>
    </row>
    <row r="748" ht="12.75" customHeight="1">
      <c r="M748" s="44"/>
      <c r="P748" s="44"/>
      <c r="Q748" s="44"/>
      <c r="S748" s="44"/>
      <c r="U748" s="44"/>
      <c r="V748" s="45"/>
    </row>
    <row r="749" ht="12.75" customHeight="1">
      <c r="M749" s="44"/>
      <c r="P749" s="44"/>
      <c r="Q749" s="44"/>
      <c r="S749" s="44"/>
      <c r="U749" s="44"/>
      <c r="V749" s="45"/>
    </row>
    <row r="750" ht="12.75" customHeight="1">
      <c r="M750" s="44"/>
      <c r="P750" s="44"/>
      <c r="Q750" s="44"/>
      <c r="S750" s="44"/>
      <c r="U750" s="44"/>
      <c r="V750" s="45"/>
    </row>
    <row r="751" ht="12.75" customHeight="1">
      <c r="M751" s="44"/>
      <c r="P751" s="44"/>
      <c r="Q751" s="44"/>
      <c r="S751" s="44"/>
      <c r="U751" s="44"/>
      <c r="V751" s="45"/>
    </row>
    <row r="752" ht="12.75" customHeight="1">
      <c r="M752" s="44"/>
      <c r="P752" s="44"/>
      <c r="Q752" s="44"/>
      <c r="S752" s="44"/>
      <c r="U752" s="44"/>
      <c r="V752" s="45"/>
    </row>
    <row r="753" ht="12.75" customHeight="1">
      <c r="M753" s="44"/>
      <c r="P753" s="44"/>
      <c r="Q753" s="44"/>
      <c r="S753" s="44"/>
      <c r="U753" s="44"/>
      <c r="V753" s="45"/>
    </row>
    <row r="754" ht="12.75" customHeight="1">
      <c r="M754" s="44"/>
      <c r="P754" s="44"/>
      <c r="Q754" s="44"/>
      <c r="S754" s="44"/>
      <c r="U754" s="44"/>
      <c r="V754" s="45"/>
    </row>
    <row r="755" ht="12.75" customHeight="1">
      <c r="M755" s="44"/>
      <c r="P755" s="44"/>
      <c r="Q755" s="44"/>
      <c r="S755" s="44"/>
      <c r="U755" s="44"/>
      <c r="V755" s="45"/>
    </row>
    <row r="756" ht="12.75" customHeight="1">
      <c r="M756" s="44"/>
      <c r="P756" s="44"/>
      <c r="Q756" s="44"/>
      <c r="S756" s="44"/>
      <c r="U756" s="44"/>
      <c r="V756" s="45"/>
    </row>
    <row r="757" ht="12.75" customHeight="1">
      <c r="M757" s="44"/>
      <c r="P757" s="44"/>
      <c r="Q757" s="44"/>
      <c r="S757" s="44"/>
      <c r="U757" s="44"/>
      <c r="V757" s="45"/>
    </row>
    <row r="758" ht="12.75" customHeight="1">
      <c r="M758" s="44"/>
      <c r="P758" s="44"/>
      <c r="Q758" s="44"/>
      <c r="S758" s="44"/>
      <c r="U758" s="44"/>
      <c r="V758" s="45"/>
    </row>
    <row r="759" ht="12.75" customHeight="1">
      <c r="M759" s="44"/>
      <c r="P759" s="44"/>
      <c r="Q759" s="44"/>
      <c r="S759" s="44"/>
      <c r="U759" s="44"/>
      <c r="V759" s="45"/>
    </row>
    <row r="760" ht="12.75" customHeight="1">
      <c r="M760" s="44"/>
      <c r="P760" s="44"/>
      <c r="Q760" s="44"/>
      <c r="S760" s="44"/>
      <c r="U760" s="44"/>
      <c r="V760" s="45"/>
    </row>
    <row r="761" ht="12.75" customHeight="1">
      <c r="M761" s="44"/>
      <c r="P761" s="44"/>
      <c r="Q761" s="44"/>
      <c r="S761" s="44"/>
      <c r="U761" s="44"/>
      <c r="V761" s="45"/>
    </row>
    <row r="762" ht="12.75" customHeight="1">
      <c r="M762" s="44"/>
      <c r="P762" s="44"/>
      <c r="Q762" s="44"/>
      <c r="S762" s="44"/>
      <c r="U762" s="44"/>
      <c r="V762" s="45"/>
    </row>
    <row r="763" ht="12.75" customHeight="1">
      <c r="M763" s="44"/>
      <c r="P763" s="44"/>
      <c r="Q763" s="44"/>
      <c r="S763" s="44"/>
      <c r="U763" s="44"/>
      <c r="V763" s="45"/>
    </row>
    <row r="764" ht="12.75" customHeight="1">
      <c r="M764" s="44"/>
      <c r="P764" s="44"/>
      <c r="Q764" s="44"/>
      <c r="S764" s="44"/>
      <c r="U764" s="44"/>
      <c r="V764" s="45"/>
    </row>
    <row r="765" ht="12.75" customHeight="1">
      <c r="M765" s="44"/>
      <c r="P765" s="44"/>
      <c r="Q765" s="44"/>
      <c r="S765" s="44"/>
      <c r="U765" s="44"/>
      <c r="V765" s="45"/>
    </row>
    <row r="766" ht="12.75" customHeight="1">
      <c r="M766" s="44"/>
      <c r="P766" s="44"/>
      <c r="Q766" s="44"/>
      <c r="S766" s="44"/>
      <c r="U766" s="44"/>
      <c r="V766" s="45"/>
    </row>
    <row r="767" ht="12.75" customHeight="1">
      <c r="M767" s="44"/>
      <c r="P767" s="44"/>
      <c r="Q767" s="44"/>
      <c r="S767" s="44"/>
      <c r="U767" s="44"/>
      <c r="V767" s="45"/>
    </row>
    <row r="768" ht="12.75" customHeight="1">
      <c r="M768" s="44"/>
      <c r="P768" s="44"/>
      <c r="Q768" s="44"/>
      <c r="S768" s="44"/>
      <c r="U768" s="44"/>
      <c r="V768" s="45"/>
    </row>
    <row r="769" ht="12.75" customHeight="1">
      <c r="M769" s="44"/>
      <c r="P769" s="44"/>
      <c r="Q769" s="44"/>
      <c r="S769" s="44"/>
      <c r="U769" s="44"/>
      <c r="V769" s="45"/>
    </row>
    <row r="770" ht="12.75" customHeight="1">
      <c r="M770" s="44"/>
      <c r="P770" s="44"/>
      <c r="Q770" s="44"/>
      <c r="S770" s="44"/>
      <c r="U770" s="44"/>
      <c r="V770" s="45"/>
    </row>
    <row r="771" ht="12.75" customHeight="1">
      <c r="M771" s="44"/>
      <c r="P771" s="44"/>
      <c r="Q771" s="44"/>
      <c r="S771" s="44"/>
      <c r="U771" s="44"/>
      <c r="V771" s="45"/>
    </row>
    <row r="772" ht="12.75" customHeight="1">
      <c r="M772" s="44"/>
      <c r="P772" s="44"/>
      <c r="Q772" s="44"/>
      <c r="S772" s="44"/>
      <c r="U772" s="44"/>
      <c r="V772" s="45"/>
    </row>
    <row r="773" ht="12.75" customHeight="1">
      <c r="M773" s="44"/>
      <c r="P773" s="44"/>
      <c r="Q773" s="44"/>
      <c r="S773" s="44"/>
      <c r="U773" s="44"/>
      <c r="V773" s="45"/>
    </row>
    <row r="774" ht="12.75" customHeight="1">
      <c r="M774" s="44"/>
      <c r="P774" s="44"/>
      <c r="Q774" s="44"/>
      <c r="S774" s="44"/>
      <c r="U774" s="44"/>
      <c r="V774" s="45"/>
    </row>
    <row r="775" ht="12.75" customHeight="1">
      <c r="M775" s="44"/>
      <c r="P775" s="44"/>
      <c r="Q775" s="44"/>
      <c r="S775" s="44"/>
      <c r="U775" s="44"/>
      <c r="V775" s="45"/>
    </row>
    <row r="776" ht="12.75" customHeight="1">
      <c r="M776" s="44"/>
      <c r="P776" s="44"/>
      <c r="Q776" s="44"/>
      <c r="S776" s="44"/>
      <c r="U776" s="44"/>
      <c r="V776" s="45"/>
    </row>
    <row r="777" ht="12.75" customHeight="1">
      <c r="M777" s="44"/>
      <c r="P777" s="44"/>
      <c r="Q777" s="44"/>
      <c r="S777" s="44"/>
      <c r="U777" s="44"/>
      <c r="V777" s="45"/>
    </row>
    <row r="778" ht="12.75" customHeight="1">
      <c r="M778" s="44"/>
      <c r="P778" s="44"/>
      <c r="Q778" s="44"/>
      <c r="S778" s="44"/>
      <c r="U778" s="44"/>
      <c r="V778" s="45"/>
    </row>
    <row r="779" ht="12.75" customHeight="1">
      <c r="M779" s="44"/>
      <c r="P779" s="44"/>
      <c r="Q779" s="44"/>
      <c r="S779" s="44"/>
      <c r="U779" s="44"/>
      <c r="V779" s="45"/>
    </row>
    <row r="780" ht="12.75" customHeight="1">
      <c r="M780" s="44"/>
      <c r="P780" s="44"/>
      <c r="Q780" s="44"/>
      <c r="S780" s="44"/>
      <c r="U780" s="44"/>
      <c r="V780" s="45"/>
    </row>
    <row r="781" ht="12.75" customHeight="1">
      <c r="M781" s="44"/>
      <c r="P781" s="44"/>
      <c r="Q781" s="44"/>
      <c r="S781" s="44"/>
      <c r="U781" s="44"/>
      <c r="V781" s="45"/>
    </row>
    <row r="782" ht="12.75" customHeight="1">
      <c r="M782" s="44"/>
      <c r="P782" s="44"/>
      <c r="Q782" s="44"/>
      <c r="S782" s="44"/>
      <c r="U782" s="44"/>
      <c r="V782" s="45"/>
    </row>
    <row r="783" ht="12.75" customHeight="1">
      <c r="M783" s="44"/>
      <c r="P783" s="44"/>
      <c r="Q783" s="44"/>
      <c r="S783" s="44"/>
      <c r="U783" s="44"/>
      <c r="V783" s="45"/>
    </row>
    <row r="784" ht="12.75" customHeight="1">
      <c r="M784" s="44"/>
      <c r="P784" s="44"/>
      <c r="Q784" s="44"/>
      <c r="S784" s="44"/>
      <c r="U784" s="44"/>
      <c r="V784" s="45"/>
    </row>
    <row r="785" ht="12.75" customHeight="1">
      <c r="M785" s="44"/>
      <c r="P785" s="44"/>
      <c r="Q785" s="44"/>
      <c r="S785" s="44"/>
      <c r="U785" s="44"/>
      <c r="V785" s="45"/>
    </row>
    <row r="786" ht="12.75" customHeight="1">
      <c r="M786" s="44"/>
      <c r="P786" s="44"/>
      <c r="Q786" s="44"/>
      <c r="S786" s="44"/>
      <c r="U786" s="44"/>
      <c r="V786" s="45"/>
    </row>
    <row r="787" ht="12.75" customHeight="1">
      <c r="M787" s="44"/>
      <c r="P787" s="44"/>
      <c r="Q787" s="44"/>
      <c r="S787" s="44"/>
      <c r="U787" s="44"/>
      <c r="V787" s="45"/>
    </row>
    <row r="788" ht="12.75" customHeight="1">
      <c r="M788" s="44"/>
      <c r="P788" s="44"/>
      <c r="Q788" s="44"/>
      <c r="S788" s="44"/>
      <c r="U788" s="44"/>
      <c r="V788" s="45"/>
    </row>
    <row r="789" ht="12.75" customHeight="1">
      <c r="M789" s="44"/>
      <c r="P789" s="44"/>
      <c r="Q789" s="44"/>
      <c r="S789" s="44"/>
      <c r="U789" s="44"/>
      <c r="V789" s="45"/>
    </row>
    <row r="790" ht="12.75" customHeight="1">
      <c r="M790" s="44"/>
      <c r="P790" s="44"/>
      <c r="Q790" s="44"/>
      <c r="S790" s="44"/>
      <c r="U790" s="44"/>
      <c r="V790" s="45"/>
    </row>
    <row r="791" ht="12.75" customHeight="1">
      <c r="M791" s="44"/>
      <c r="P791" s="44"/>
      <c r="Q791" s="44"/>
      <c r="S791" s="44"/>
      <c r="U791" s="44"/>
      <c r="V791" s="45"/>
    </row>
    <row r="792" ht="12.75" customHeight="1">
      <c r="M792" s="44"/>
      <c r="P792" s="44"/>
      <c r="Q792" s="44"/>
      <c r="S792" s="44"/>
      <c r="U792" s="44"/>
      <c r="V792" s="45"/>
    </row>
    <row r="793" ht="12.75" customHeight="1">
      <c r="M793" s="44"/>
      <c r="P793" s="44"/>
      <c r="Q793" s="44"/>
      <c r="S793" s="44"/>
      <c r="U793" s="44"/>
      <c r="V793" s="45"/>
    </row>
    <row r="794" ht="12.75" customHeight="1">
      <c r="M794" s="44"/>
      <c r="P794" s="44"/>
      <c r="Q794" s="44"/>
      <c r="S794" s="44"/>
      <c r="U794" s="44"/>
      <c r="V794" s="45"/>
    </row>
    <row r="795" ht="12.75" customHeight="1">
      <c r="M795" s="44"/>
      <c r="P795" s="44"/>
      <c r="Q795" s="44"/>
      <c r="S795" s="44"/>
      <c r="U795" s="44"/>
      <c r="V795" s="45"/>
    </row>
    <row r="796" ht="12.75" customHeight="1">
      <c r="M796" s="44"/>
      <c r="P796" s="44"/>
      <c r="Q796" s="44"/>
      <c r="S796" s="44"/>
      <c r="U796" s="44"/>
      <c r="V796" s="45"/>
    </row>
    <row r="797" ht="12.75" customHeight="1">
      <c r="M797" s="44"/>
      <c r="P797" s="44"/>
      <c r="Q797" s="44"/>
      <c r="S797" s="44"/>
      <c r="U797" s="44"/>
      <c r="V797" s="45"/>
    </row>
    <row r="798" ht="12.75" customHeight="1">
      <c r="M798" s="44"/>
      <c r="P798" s="44"/>
      <c r="Q798" s="44"/>
      <c r="S798" s="44"/>
      <c r="U798" s="44"/>
      <c r="V798" s="45"/>
    </row>
    <row r="799" ht="12.75" customHeight="1">
      <c r="M799" s="44"/>
      <c r="P799" s="44"/>
      <c r="Q799" s="44"/>
      <c r="S799" s="44"/>
      <c r="U799" s="44"/>
      <c r="V799" s="45"/>
    </row>
    <row r="800" ht="12.75" customHeight="1">
      <c r="M800" s="44"/>
      <c r="P800" s="44"/>
      <c r="Q800" s="44"/>
      <c r="S800" s="44"/>
      <c r="U800" s="44"/>
      <c r="V800" s="45"/>
    </row>
    <row r="801" ht="12.75" customHeight="1">
      <c r="M801" s="44"/>
      <c r="P801" s="44"/>
      <c r="Q801" s="44"/>
      <c r="S801" s="44"/>
      <c r="U801" s="44"/>
      <c r="V801" s="45"/>
    </row>
    <row r="802" ht="12.75" customHeight="1">
      <c r="M802" s="44"/>
      <c r="P802" s="44"/>
      <c r="Q802" s="44"/>
      <c r="S802" s="44"/>
      <c r="U802" s="44"/>
      <c r="V802" s="45"/>
    </row>
    <row r="803" ht="12.75" customHeight="1">
      <c r="M803" s="44"/>
      <c r="P803" s="44"/>
      <c r="Q803" s="44"/>
      <c r="S803" s="44"/>
      <c r="U803" s="44"/>
      <c r="V803" s="45"/>
    </row>
    <row r="804" ht="12.75" customHeight="1">
      <c r="M804" s="44"/>
      <c r="P804" s="44"/>
      <c r="Q804" s="44"/>
      <c r="S804" s="44"/>
      <c r="U804" s="44"/>
      <c r="V804" s="45"/>
    </row>
    <row r="805" ht="12.75" customHeight="1">
      <c r="M805" s="44"/>
      <c r="P805" s="44"/>
      <c r="Q805" s="44"/>
      <c r="S805" s="44"/>
      <c r="U805" s="44"/>
      <c r="V805" s="45"/>
    </row>
    <row r="806" ht="12.75" customHeight="1">
      <c r="M806" s="44"/>
      <c r="P806" s="44"/>
      <c r="Q806" s="44"/>
      <c r="S806" s="44"/>
      <c r="U806" s="44"/>
      <c r="V806" s="45"/>
    </row>
    <row r="807" ht="12.75" customHeight="1">
      <c r="M807" s="44"/>
      <c r="P807" s="44"/>
      <c r="Q807" s="44"/>
      <c r="S807" s="44"/>
      <c r="U807" s="44"/>
      <c r="V807" s="45"/>
    </row>
    <row r="808" ht="12.75" customHeight="1">
      <c r="M808" s="44"/>
      <c r="P808" s="44"/>
      <c r="Q808" s="44"/>
      <c r="S808" s="44"/>
      <c r="U808" s="44"/>
      <c r="V808" s="45"/>
    </row>
    <row r="809" ht="12.75" customHeight="1">
      <c r="M809" s="44"/>
      <c r="P809" s="44"/>
      <c r="Q809" s="44"/>
      <c r="S809" s="44"/>
      <c r="U809" s="44"/>
      <c r="V809" s="45"/>
    </row>
    <row r="810" ht="12.75" customHeight="1">
      <c r="M810" s="44"/>
      <c r="P810" s="44"/>
      <c r="Q810" s="44"/>
      <c r="S810" s="44"/>
      <c r="U810" s="44"/>
      <c r="V810" s="45"/>
    </row>
    <row r="811" ht="12.75" customHeight="1">
      <c r="M811" s="44"/>
      <c r="P811" s="44"/>
      <c r="Q811" s="44"/>
      <c r="S811" s="44"/>
      <c r="U811" s="44"/>
      <c r="V811" s="45"/>
    </row>
    <row r="812" ht="12.75" customHeight="1">
      <c r="M812" s="44"/>
      <c r="P812" s="44"/>
      <c r="Q812" s="44"/>
      <c r="S812" s="44"/>
      <c r="U812" s="44"/>
      <c r="V812" s="45"/>
    </row>
    <row r="813" ht="12.75" customHeight="1">
      <c r="M813" s="44"/>
      <c r="P813" s="44"/>
      <c r="Q813" s="44"/>
      <c r="S813" s="44"/>
      <c r="U813" s="44"/>
      <c r="V813" s="45"/>
    </row>
    <row r="814" ht="12.75" customHeight="1">
      <c r="M814" s="44"/>
      <c r="P814" s="44"/>
      <c r="Q814" s="44"/>
      <c r="S814" s="44"/>
      <c r="U814" s="44"/>
      <c r="V814" s="45"/>
    </row>
    <row r="815" ht="12.75" customHeight="1">
      <c r="M815" s="44"/>
      <c r="P815" s="44"/>
      <c r="Q815" s="44"/>
      <c r="S815" s="44"/>
      <c r="U815" s="44"/>
      <c r="V815" s="45"/>
    </row>
    <row r="816" ht="12.75" customHeight="1">
      <c r="M816" s="44"/>
      <c r="P816" s="44"/>
      <c r="Q816" s="44"/>
      <c r="S816" s="44"/>
      <c r="U816" s="44"/>
      <c r="V816" s="45"/>
    </row>
    <row r="817" ht="12.75" customHeight="1">
      <c r="M817" s="44"/>
      <c r="P817" s="44"/>
      <c r="Q817" s="44"/>
      <c r="S817" s="44"/>
      <c r="U817" s="44"/>
      <c r="V817" s="45"/>
    </row>
    <row r="818" ht="12.75" customHeight="1">
      <c r="M818" s="44"/>
      <c r="P818" s="44"/>
      <c r="Q818" s="44"/>
      <c r="S818" s="44"/>
      <c r="U818" s="44"/>
      <c r="V818" s="45"/>
    </row>
    <row r="819" ht="12.75" customHeight="1">
      <c r="M819" s="44"/>
      <c r="P819" s="44"/>
      <c r="Q819" s="44"/>
      <c r="S819" s="44"/>
      <c r="U819" s="44"/>
      <c r="V819" s="45"/>
    </row>
    <row r="820" ht="12.75" customHeight="1">
      <c r="M820" s="44"/>
      <c r="P820" s="44"/>
      <c r="Q820" s="44"/>
      <c r="S820" s="44"/>
      <c r="U820" s="44"/>
      <c r="V820" s="45"/>
    </row>
    <row r="821" ht="12.75" customHeight="1">
      <c r="M821" s="44"/>
      <c r="P821" s="44"/>
      <c r="Q821" s="44"/>
      <c r="S821" s="44"/>
      <c r="U821" s="44"/>
      <c r="V821" s="45"/>
    </row>
    <row r="822" ht="12.75" customHeight="1">
      <c r="M822" s="44"/>
      <c r="P822" s="44"/>
      <c r="Q822" s="44"/>
      <c r="S822" s="44"/>
      <c r="U822" s="44"/>
      <c r="V822" s="45"/>
    </row>
    <row r="823" ht="12.75" customHeight="1">
      <c r="M823" s="44"/>
      <c r="P823" s="44"/>
      <c r="Q823" s="44"/>
      <c r="S823" s="44"/>
      <c r="U823" s="44"/>
      <c r="V823" s="45"/>
    </row>
    <row r="824" ht="12.75" customHeight="1">
      <c r="M824" s="44"/>
      <c r="P824" s="44"/>
      <c r="Q824" s="44"/>
      <c r="S824" s="44"/>
      <c r="U824" s="44"/>
      <c r="V824" s="45"/>
    </row>
    <row r="825" ht="12.75" customHeight="1">
      <c r="M825" s="44"/>
      <c r="P825" s="44"/>
      <c r="Q825" s="44"/>
      <c r="S825" s="44"/>
      <c r="U825" s="44"/>
      <c r="V825" s="45"/>
    </row>
    <row r="826" ht="12.75" customHeight="1">
      <c r="M826" s="44"/>
      <c r="P826" s="44"/>
      <c r="Q826" s="44"/>
      <c r="S826" s="44"/>
      <c r="U826" s="44"/>
      <c r="V826" s="45"/>
    </row>
    <row r="827" ht="12.75" customHeight="1">
      <c r="M827" s="44"/>
      <c r="P827" s="44"/>
      <c r="Q827" s="44"/>
      <c r="S827" s="44"/>
      <c r="U827" s="44"/>
      <c r="V827" s="45"/>
    </row>
    <row r="828" ht="12.75" customHeight="1">
      <c r="M828" s="44"/>
      <c r="P828" s="44"/>
      <c r="Q828" s="44"/>
      <c r="S828" s="44"/>
      <c r="U828" s="44"/>
      <c r="V828" s="45"/>
    </row>
    <row r="829" ht="12.75" customHeight="1">
      <c r="M829" s="44"/>
      <c r="P829" s="44"/>
      <c r="Q829" s="44"/>
      <c r="S829" s="44"/>
      <c r="U829" s="44"/>
      <c r="V829" s="45"/>
    </row>
    <row r="830" ht="12.75" customHeight="1">
      <c r="M830" s="44"/>
      <c r="P830" s="44"/>
      <c r="Q830" s="44"/>
      <c r="S830" s="44"/>
      <c r="U830" s="44"/>
      <c r="V830" s="45"/>
    </row>
    <row r="831" ht="12.75" customHeight="1">
      <c r="M831" s="44"/>
      <c r="P831" s="44"/>
      <c r="Q831" s="44"/>
      <c r="S831" s="44"/>
      <c r="U831" s="44"/>
      <c r="V831" s="45"/>
    </row>
    <row r="832" ht="12.75" customHeight="1">
      <c r="M832" s="44"/>
      <c r="P832" s="44"/>
      <c r="Q832" s="44"/>
      <c r="S832" s="44"/>
      <c r="U832" s="44"/>
      <c r="V832" s="45"/>
    </row>
    <row r="833" ht="12.75" customHeight="1">
      <c r="M833" s="44"/>
      <c r="P833" s="44"/>
      <c r="Q833" s="44"/>
      <c r="S833" s="44"/>
      <c r="U833" s="44"/>
      <c r="V833" s="45"/>
    </row>
    <row r="834" ht="12.75" customHeight="1">
      <c r="M834" s="44"/>
      <c r="P834" s="44"/>
      <c r="Q834" s="44"/>
      <c r="S834" s="44"/>
      <c r="U834" s="44"/>
      <c r="V834" s="45"/>
    </row>
    <row r="835" ht="12.75" customHeight="1">
      <c r="M835" s="44"/>
      <c r="P835" s="44"/>
      <c r="Q835" s="44"/>
      <c r="S835" s="44"/>
      <c r="U835" s="44"/>
      <c r="V835" s="45"/>
    </row>
    <row r="836" ht="12.75" customHeight="1">
      <c r="M836" s="44"/>
      <c r="P836" s="44"/>
      <c r="Q836" s="44"/>
      <c r="S836" s="44"/>
      <c r="U836" s="44"/>
      <c r="V836" s="45"/>
    </row>
    <row r="837" ht="12.75" customHeight="1">
      <c r="M837" s="44"/>
      <c r="P837" s="44"/>
      <c r="Q837" s="44"/>
      <c r="S837" s="44"/>
      <c r="U837" s="44"/>
      <c r="V837" s="45"/>
    </row>
    <row r="838" ht="12.75" customHeight="1">
      <c r="M838" s="44"/>
      <c r="P838" s="44"/>
      <c r="Q838" s="44"/>
      <c r="S838" s="44"/>
      <c r="U838" s="44"/>
      <c r="V838" s="45"/>
    </row>
    <row r="839" ht="12.75" customHeight="1">
      <c r="M839" s="44"/>
      <c r="P839" s="44"/>
      <c r="Q839" s="44"/>
      <c r="S839" s="44"/>
      <c r="U839" s="44"/>
      <c r="V839" s="45"/>
    </row>
    <row r="840" ht="12.75" customHeight="1">
      <c r="M840" s="44"/>
      <c r="P840" s="44"/>
      <c r="Q840" s="44"/>
      <c r="S840" s="44"/>
      <c r="U840" s="44"/>
      <c r="V840" s="45"/>
    </row>
    <row r="841" ht="12.75" customHeight="1">
      <c r="M841" s="44"/>
      <c r="P841" s="44"/>
      <c r="Q841" s="44"/>
      <c r="S841" s="44"/>
      <c r="U841" s="44"/>
      <c r="V841" s="45"/>
    </row>
    <row r="842" ht="12.75" customHeight="1">
      <c r="M842" s="44"/>
      <c r="P842" s="44"/>
      <c r="Q842" s="44"/>
      <c r="S842" s="44"/>
      <c r="U842" s="44"/>
      <c r="V842" s="45"/>
    </row>
    <row r="843" ht="12.75" customHeight="1">
      <c r="M843" s="44"/>
      <c r="P843" s="44"/>
      <c r="Q843" s="44"/>
      <c r="S843" s="44"/>
      <c r="U843" s="44"/>
      <c r="V843" s="45"/>
    </row>
    <row r="844" ht="12.75" customHeight="1">
      <c r="M844" s="44"/>
      <c r="P844" s="44"/>
      <c r="Q844" s="44"/>
      <c r="S844" s="44"/>
      <c r="U844" s="44"/>
      <c r="V844" s="45"/>
    </row>
    <row r="845" ht="12.75" customHeight="1">
      <c r="M845" s="44"/>
      <c r="P845" s="44"/>
      <c r="Q845" s="44"/>
      <c r="S845" s="44"/>
      <c r="U845" s="44"/>
      <c r="V845" s="45"/>
    </row>
    <row r="846" ht="12.75" customHeight="1">
      <c r="M846" s="44"/>
      <c r="P846" s="44"/>
      <c r="Q846" s="44"/>
      <c r="S846" s="44"/>
      <c r="U846" s="44"/>
      <c r="V846" s="45"/>
    </row>
    <row r="847" ht="12.75" customHeight="1">
      <c r="M847" s="44"/>
      <c r="P847" s="44"/>
      <c r="Q847" s="44"/>
      <c r="S847" s="44"/>
      <c r="U847" s="44"/>
      <c r="V847" s="45"/>
    </row>
    <row r="848" ht="12.75" customHeight="1">
      <c r="M848" s="44"/>
      <c r="P848" s="44"/>
      <c r="Q848" s="44"/>
      <c r="S848" s="44"/>
      <c r="U848" s="44"/>
      <c r="V848" s="45"/>
    </row>
    <row r="849" ht="12.75" customHeight="1">
      <c r="M849" s="44"/>
      <c r="P849" s="44"/>
      <c r="Q849" s="44"/>
      <c r="S849" s="44"/>
      <c r="U849" s="44"/>
      <c r="V849" s="45"/>
    </row>
    <row r="850" ht="12.75" customHeight="1">
      <c r="M850" s="44"/>
      <c r="P850" s="44"/>
      <c r="Q850" s="44"/>
      <c r="S850" s="44"/>
      <c r="U850" s="44"/>
      <c r="V850" s="45"/>
    </row>
    <row r="851" ht="12.75" customHeight="1">
      <c r="M851" s="44"/>
      <c r="P851" s="44"/>
      <c r="Q851" s="44"/>
      <c r="S851" s="44"/>
      <c r="U851" s="44"/>
      <c r="V851" s="45"/>
    </row>
    <row r="852" ht="12.75" customHeight="1">
      <c r="M852" s="44"/>
      <c r="P852" s="44"/>
      <c r="Q852" s="44"/>
      <c r="S852" s="44"/>
      <c r="U852" s="44"/>
      <c r="V852" s="45"/>
    </row>
    <row r="853" ht="12.75" customHeight="1">
      <c r="M853" s="44"/>
      <c r="P853" s="44"/>
      <c r="Q853" s="44"/>
      <c r="S853" s="44"/>
      <c r="U853" s="44"/>
      <c r="V853" s="45"/>
    </row>
    <row r="854" ht="12.75" customHeight="1">
      <c r="M854" s="44"/>
      <c r="P854" s="44"/>
      <c r="Q854" s="44"/>
      <c r="S854" s="44"/>
      <c r="U854" s="44"/>
      <c r="V854" s="45"/>
    </row>
    <row r="855" ht="12.75" customHeight="1">
      <c r="M855" s="44"/>
      <c r="P855" s="44"/>
      <c r="Q855" s="44"/>
      <c r="S855" s="44"/>
      <c r="U855" s="44"/>
      <c r="V855" s="45"/>
    </row>
    <row r="856" ht="12.75" customHeight="1">
      <c r="M856" s="44"/>
      <c r="P856" s="44"/>
      <c r="Q856" s="44"/>
      <c r="S856" s="44"/>
      <c r="U856" s="44"/>
      <c r="V856" s="45"/>
    </row>
    <row r="857" ht="12.75" customHeight="1">
      <c r="M857" s="44"/>
      <c r="P857" s="44"/>
      <c r="Q857" s="44"/>
      <c r="S857" s="44"/>
      <c r="U857" s="44"/>
      <c r="V857" s="45"/>
    </row>
    <row r="858" ht="12.75" customHeight="1">
      <c r="M858" s="44"/>
      <c r="P858" s="44"/>
      <c r="Q858" s="44"/>
      <c r="S858" s="44"/>
      <c r="U858" s="44"/>
      <c r="V858" s="45"/>
    </row>
    <row r="859" ht="12.75" customHeight="1">
      <c r="M859" s="44"/>
      <c r="P859" s="44"/>
      <c r="Q859" s="44"/>
      <c r="S859" s="44"/>
      <c r="U859" s="44"/>
      <c r="V859" s="45"/>
    </row>
    <row r="860" ht="12.75" customHeight="1">
      <c r="M860" s="44"/>
      <c r="P860" s="44"/>
      <c r="Q860" s="44"/>
      <c r="S860" s="44"/>
      <c r="U860" s="44"/>
      <c r="V860" s="45"/>
    </row>
    <row r="861" ht="12.75" customHeight="1">
      <c r="M861" s="44"/>
      <c r="P861" s="44"/>
      <c r="Q861" s="44"/>
      <c r="S861" s="44"/>
      <c r="U861" s="44"/>
      <c r="V861" s="45"/>
    </row>
    <row r="862" ht="12.75" customHeight="1">
      <c r="M862" s="44"/>
      <c r="P862" s="44"/>
      <c r="Q862" s="44"/>
      <c r="S862" s="44"/>
      <c r="U862" s="44"/>
      <c r="V862" s="45"/>
    </row>
    <row r="863" ht="12.75" customHeight="1">
      <c r="M863" s="44"/>
      <c r="P863" s="44"/>
      <c r="Q863" s="44"/>
      <c r="S863" s="44"/>
      <c r="U863" s="44"/>
      <c r="V863" s="45"/>
    </row>
    <row r="864" ht="12.75" customHeight="1">
      <c r="M864" s="44"/>
      <c r="P864" s="44"/>
      <c r="Q864" s="44"/>
      <c r="S864" s="44"/>
      <c r="U864" s="44"/>
      <c r="V864" s="45"/>
    </row>
    <row r="865" ht="12.75" customHeight="1">
      <c r="M865" s="44"/>
      <c r="P865" s="44"/>
      <c r="Q865" s="44"/>
      <c r="S865" s="44"/>
      <c r="U865" s="44"/>
      <c r="V865" s="45"/>
    </row>
    <row r="866" ht="12.75" customHeight="1">
      <c r="M866" s="44"/>
      <c r="P866" s="44"/>
      <c r="Q866" s="44"/>
      <c r="S866" s="44"/>
      <c r="U866" s="44"/>
      <c r="V866" s="45"/>
    </row>
    <row r="867" ht="12.75" customHeight="1">
      <c r="M867" s="44"/>
      <c r="P867" s="44"/>
      <c r="Q867" s="44"/>
      <c r="S867" s="44"/>
      <c r="U867" s="44"/>
      <c r="V867" s="45"/>
    </row>
    <row r="868" ht="12.75" customHeight="1">
      <c r="M868" s="44"/>
      <c r="P868" s="44"/>
      <c r="Q868" s="44"/>
      <c r="S868" s="44"/>
      <c r="U868" s="44"/>
      <c r="V868" s="45"/>
    </row>
    <row r="869" ht="12.75" customHeight="1">
      <c r="M869" s="44"/>
      <c r="P869" s="44"/>
      <c r="Q869" s="44"/>
      <c r="S869" s="44"/>
      <c r="U869" s="44"/>
      <c r="V869" s="45"/>
    </row>
    <row r="870" ht="12.75" customHeight="1">
      <c r="M870" s="44"/>
      <c r="P870" s="44"/>
      <c r="Q870" s="44"/>
      <c r="S870" s="44"/>
      <c r="U870" s="44"/>
      <c r="V870" s="45"/>
    </row>
    <row r="871" ht="12.75" customHeight="1">
      <c r="M871" s="44"/>
      <c r="P871" s="44"/>
      <c r="Q871" s="44"/>
      <c r="S871" s="44"/>
      <c r="U871" s="44"/>
      <c r="V871" s="45"/>
    </row>
    <row r="872" ht="12.75" customHeight="1">
      <c r="M872" s="44"/>
      <c r="P872" s="44"/>
      <c r="Q872" s="44"/>
      <c r="S872" s="44"/>
      <c r="U872" s="44"/>
      <c r="V872" s="45"/>
    </row>
    <row r="873" ht="12.75" customHeight="1">
      <c r="M873" s="44"/>
      <c r="P873" s="44"/>
      <c r="Q873" s="44"/>
      <c r="S873" s="44"/>
      <c r="U873" s="44"/>
      <c r="V873" s="45"/>
    </row>
    <row r="874" ht="12.75" customHeight="1">
      <c r="M874" s="44"/>
      <c r="P874" s="44"/>
      <c r="Q874" s="44"/>
      <c r="S874" s="44"/>
      <c r="U874" s="44"/>
      <c r="V874" s="45"/>
    </row>
    <row r="875" ht="12.75" customHeight="1">
      <c r="M875" s="44"/>
      <c r="P875" s="44"/>
      <c r="Q875" s="44"/>
      <c r="S875" s="44"/>
      <c r="U875" s="44"/>
      <c r="V875" s="45"/>
    </row>
    <row r="876" ht="12.75" customHeight="1">
      <c r="M876" s="44"/>
      <c r="P876" s="44"/>
      <c r="Q876" s="44"/>
      <c r="S876" s="44"/>
      <c r="U876" s="44"/>
      <c r="V876" s="45"/>
    </row>
    <row r="877" ht="12.75" customHeight="1">
      <c r="M877" s="44"/>
      <c r="P877" s="44"/>
      <c r="Q877" s="44"/>
      <c r="S877" s="44"/>
      <c r="U877" s="44"/>
      <c r="V877" s="45"/>
    </row>
    <row r="878" ht="12.75" customHeight="1">
      <c r="M878" s="44"/>
      <c r="P878" s="44"/>
      <c r="Q878" s="44"/>
      <c r="S878" s="44"/>
      <c r="U878" s="44"/>
      <c r="V878" s="45"/>
    </row>
    <row r="879" ht="12.75" customHeight="1">
      <c r="M879" s="44"/>
      <c r="P879" s="44"/>
      <c r="Q879" s="44"/>
      <c r="S879" s="44"/>
      <c r="U879" s="44"/>
      <c r="V879" s="45"/>
    </row>
    <row r="880" ht="12.75" customHeight="1">
      <c r="M880" s="44"/>
      <c r="P880" s="44"/>
      <c r="Q880" s="44"/>
      <c r="S880" s="44"/>
      <c r="U880" s="44"/>
      <c r="V880" s="45"/>
    </row>
    <row r="881" ht="12.75" customHeight="1">
      <c r="M881" s="44"/>
      <c r="P881" s="44"/>
      <c r="Q881" s="44"/>
      <c r="S881" s="44"/>
      <c r="U881" s="44"/>
      <c r="V881" s="45"/>
    </row>
    <row r="882" ht="12.75" customHeight="1">
      <c r="M882" s="44"/>
      <c r="P882" s="44"/>
      <c r="Q882" s="44"/>
      <c r="S882" s="44"/>
      <c r="U882" s="44"/>
      <c r="V882" s="45"/>
    </row>
    <row r="883" ht="12.75" customHeight="1">
      <c r="M883" s="44"/>
      <c r="P883" s="44"/>
      <c r="Q883" s="44"/>
      <c r="S883" s="44"/>
      <c r="U883" s="44"/>
      <c r="V883" s="45"/>
    </row>
    <row r="884" ht="12.75" customHeight="1">
      <c r="M884" s="44"/>
      <c r="P884" s="44"/>
      <c r="Q884" s="44"/>
      <c r="S884" s="44"/>
      <c r="U884" s="44"/>
      <c r="V884" s="45"/>
    </row>
    <row r="885" ht="12.75" customHeight="1">
      <c r="M885" s="44"/>
      <c r="P885" s="44"/>
      <c r="Q885" s="44"/>
      <c r="S885" s="44"/>
      <c r="U885" s="44"/>
      <c r="V885" s="45"/>
    </row>
    <row r="886" ht="12.75" customHeight="1">
      <c r="M886" s="44"/>
      <c r="P886" s="44"/>
      <c r="Q886" s="44"/>
      <c r="S886" s="44"/>
      <c r="U886" s="44"/>
      <c r="V886" s="45"/>
    </row>
    <row r="887" ht="12.75" customHeight="1">
      <c r="M887" s="44"/>
      <c r="P887" s="44"/>
      <c r="Q887" s="44"/>
      <c r="S887" s="44"/>
      <c r="U887" s="44"/>
      <c r="V887" s="45"/>
    </row>
    <row r="888" ht="12.75" customHeight="1">
      <c r="M888" s="44"/>
      <c r="P888" s="44"/>
      <c r="Q888" s="44"/>
      <c r="S888" s="44"/>
      <c r="U888" s="44"/>
      <c r="V888" s="45"/>
    </row>
    <row r="889" ht="12.75" customHeight="1">
      <c r="M889" s="44"/>
      <c r="P889" s="44"/>
      <c r="Q889" s="44"/>
      <c r="S889" s="44"/>
      <c r="U889" s="44"/>
      <c r="V889" s="45"/>
    </row>
    <row r="890" ht="12.75" customHeight="1">
      <c r="M890" s="44"/>
      <c r="P890" s="44"/>
      <c r="Q890" s="44"/>
      <c r="S890" s="44"/>
      <c r="U890" s="44"/>
      <c r="V890" s="45"/>
    </row>
    <row r="891" ht="12.75" customHeight="1">
      <c r="M891" s="44"/>
      <c r="P891" s="44"/>
      <c r="Q891" s="44"/>
      <c r="S891" s="44"/>
      <c r="U891" s="44"/>
      <c r="V891" s="45"/>
    </row>
    <row r="892" ht="12.75" customHeight="1">
      <c r="M892" s="44"/>
      <c r="P892" s="44"/>
      <c r="Q892" s="44"/>
      <c r="S892" s="44"/>
      <c r="U892" s="44"/>
      <c r="V892" s="45"/>
    </row>
    <row r="893" ht="12.75" customHeight="1">
      <c r="M893" s="44"/>
      <c r="P893" s="44"/>
      <c r="Q893" s="44"/>
      <c r="S893" s="44"/>
      <c r="U893" s="44"/>
      <c r="V893" s="45"/>
    </row>
    <row r="894" ht="12.75" customHeight="1">
      <c r="M894" s="44"/>
      <c r="P894" s="44"/>
      <c r="Q894" s="44"/>
      <c r="S894" s="44"/>
      <c r="U894" s="44"/>
      <c r="V894" s="45"/>
    </row>
    <row r="895" ht="12.75" customHeight="1">
      <c r="M895" s="44"/>
      <c r="P895" s="44"/>
      <c r="Q895" s="44"/>
      <c r="S895" s="44"/>
      <c r="U895" s="44"/>
      <c r="V895" s="45"/>
    </row>
    <row r="896" ht="12.75" customHeight="1">
      <c r="M896" s="44"/>
      <c r="P896" s="44"/>
      <c r="Q896" s="44"/>
      <c r="S896" s="44"/>
      <c r="U896" s="44"/>
      <c r="V896" s="45"/>
    </row>
    <row r="897" ht="12.75" customHeight="1">
      <c r="M897" s="44"/>
      <c r="P897" s="44"/>
      <c r="Q897" s="44"/>
      <c r="S897" s="44"/>
      <c r="U897" s="44"/>
      <c r="V897" s="45"/>
    </row>
    <row r="898" ht="12.75" customHeight="1">
      <c r="M898" s="44"/>
      <c r="P898" s="44"/>
      <c r="Q898" s="44"/>
      <c r="S898" s="44"/>
      <c r="U898" s="44"/>
      <c r="V898" s="45"/>
    </row>
    <row r="899" ht="12.75" customHeight="1">
      <c r="M899" s="44"/>
      <c r="P899" s="44"/>
      <c r="Q899" s="44"/>
      <c r="S899" s="44"/>
      <c r="U899" s="44"/>
      <c r="V899" s="45"/>
    </row>
    <row r="900" ht="12.75" customHeight="1">
      <c r="M900" s="44"/>
      <c r="P900" s="44"/>
      <c r="Q900" s="44"/>
      <c r="S900" s="44"/>
      <c r="U900" s="44"/>
      <c r="V900" s="45"/>
    </row>
    <row r="901" ht="12.75" customHeight="1">
      <c r="M901" s="44"/>
      <c r="P901" s="44"/>
      <c r="Q901" s="44"/>
      <c r="S901" s="44"/>
      <c r="U901" s="44"/>
      <c r="V901" s="45"/>
    </row>
    <row r="902" ht="12.75" customHeight="1">
      <c r="M902" s="44"/>
      <c r="P902" s="44"/>
      <c r="Q902" s="44"/>
      <c r="S902" s="44"/>
      <c r="U902" s="44"/>
      <c r="V902" s="45"/>
    </row>
    <row r="903" ht="12.75" customHeight="1">
      <c r="M903" s="44"/>
      <c r="P903" s="44"/>
      <c r="Q903" s="44"/>
      <c r="S903" s="44"/>
      <c r="U903" s="44"/>
      <c r="V903" s="45"/>
    </row>
    <row r="904" ht="12.75" customHeight="1">
      <c r="M904" s="44"/>
      <c r="P904" s="44"/>
      <c r="Q904" s="44"/>
      <c r="S904" s="44"/>
      <c r="U904" s="44"/>
      <c r="V904" s="45"/>
    </row>
    <row r="905" ht="12.75" customHeight="1">
      <c r="M905" s="44"/>
      <c r="P905" s="44"/>
      <c r="Q905" s="44"/>
      <c r="S905" s="44"/>
      <c r="U905" s="44"/>
      <c r="V905" s="45"/>
    </row>
    <row r="906" ht="12.75" customHeight="1">
      <c r="M906" s="44"/>
      <c r="P906" s="44"/>
      <c r="Q906" s="44"/>
      <c r="S906" s="44"/>
      <c r="U906" s="44"/>
      <c r="V906" s="45"/>
    </row>
    <row r="907" ht="12.75" customHeight="1">
      <c r="M907" s="44"/>
      <c r="P907" s="44"/>
      <c r="Q907" s="44"/>
      <c r="S907" s="44"/>
      <c r="U907" s="44"/>
      <c r="V907" s="45"/>
    </row>
    <row r="908" ht="12.75" customHeight="1">
      <c r="M908" s="44"/>
      <c r="P908" s="44"/>
      <c r="Q908" s="44"/>
      <c r="S908" s="44"/>
      <c r="U908" s="44"/>
      <c r="V908" s="45"/>
    </row>
    <row r="909" ht="12.75" customHeight="1">
      <c r="M909" s="44"/>
      <c r="P909" s="44"/>
      <c r="Q909" s="44"/>
      <c r="S909" s="44"/>
      <c r="U909" s="44"/>
      <c r="V909" s="45"/>
    </row>
    <row r="910" ht="12.75" customHeight="1">
      <c r="M910" s="44"/>
      <c r="P910" s="44"/>
      <c r="Q910" s="44"/>
      <c r="S910" s="44"/>
      <c r="U910" s="44"/>
      <c r="V910" s="45"/>
    </row>
    <row r="911" ht="12.75" customHeight="1">
      <c r="M911" s="44"/>
      <c r="P911" s="44"/>
      <c r="Q911" s="44"/>
      <c r="S911" s="44"/>
      <c r="U911" s="44"/>
      <c r="V911" s="45"/>
    </row>
    <row r="912" ht="12.75" customHeight="1">
      <c r="M912" s="44"/>
      <c r="P912" s="44"/>
      <c r="Q912" s="44"/>
      <c r="S912" s="44"/>
      <c r="U912" s="44"/>
      <c r="V912" s="45"/>
    </row>
    <row r="913" ht="12.75" customHeight="1">
      <c r="M913" s="44"/>
      <c r="P913" s="44"/>
      <c r="Q913" s="44"/>
      <c r="S913" s="44"/>
      <c r="U913" s="44"/>
      <c r="V913" s="45"/>
    </row>
    <row r="914" ht="12.75" customHeight="1">
      <c r="M914" s="44"/>
      <c r="P914" s="44"/>
      <c r="Q914" s="44"/>
      <c r="S914" s="44"/>
      <c r="U914" s="44"/>
      <c r="V914" s="45"/>
    </row>
    <row r="915" ht="12.75" customHeight="1">
      <c r="M915" s="44"/>
      <c r="P915" s="44"/>
      <c r="Q915" s="44"/>
      <c r="S915" s="44"/>
      <c r="U915" s="44"/>
      <c r="V915" s="45"/>
    </row>
    <row r="916" ht="12.75" customHeight="1">
      <c r="M916" s="44"/>
      <c r="P916" s="44"/>
      <c r="Q916" s="44"/>
      <c r="S916" s="44"/>
      <c r="U916" s="44"/>
      <c r="V916" s="45"/>
    </row>
    <row r="917" ht="12.75" customHeight="1">
      <c r="M917" s="44"/>
      <c r="P917" s="44"/>
      <c r="Q917" s="44"/>
      <c r="S917" s="44"/>
      <c r="U917" s="44"/>
      <c r="V917" s="45"/>
    </row>
    <row r="918" ht="12.75" customHeight="1">
      <c r="M918" s="44"/>
      <c r="P918" s="44"/>
      <c r="Q918" s="44"/>
      <c r="S918" s="44"/>
      <c r="U918" s="44"/>
      <c r="V918" s="45"/>
    </row>
    <row r="919" ht="12.75" customHeight="1">
      <c r="M919" s="44"/>
      <c r="P919" s="44"/>
      <c r="Q919" s="44"/>
      <c r="S919" s="44"/>
      <c r="U919" s="44"/>
      <c r="V919" s="45"/>
    </row>
    <row r="920" ht="12.75" customHeight="1">
      <c r="M920" s="44"/>
      <c r="P920" s="44"/>
      <c r="Q920" s="44"/>
      <c r="S920" s="44"/>
      <c r="U920" s="44"/>
      <c r="V920" s="45"/>
    </row>
    <row r="921" ht="12.75" customHeight="1">
      <c r="M921" s="44"/>
      <c r="P921" s="44"/>
      <c r="Q921" s="44"/>
      <c r="S921" s="44"/>
      <c r="U921" s="44"/>
      <c r="V921" s="45"/>
    </row>
    <row r="922" ht="12.75" customHeight="1">
      <c r="M922" s="44"/>
      <c r="P922" s="44"/>
      <c r="Q922" s="44"/>
      <c r="S922" s="44"/>
      <c r="U922" s="44"/>
      <c r="V922" s="45"/>
    </row>
    <row r="923" ht="12.75" customHeight="1">
      <c r="M923" s="44"/>
      <c r="P923" s="44"/>
      <c r="Q923" s="44"/>
      <c r="S923" s="44"/>
      <c r="U923" s="44"/>
      <c r="V923" s="45"/>
    </row>
    <row r="924" ht="12.75" customHeight="1">
      <c r="M924" s="44"/>
      <c r="P924" s="44"/>
      <c r="Q924" s="44"/>
      <c r="S924" s="44"/>
      <c r="U924" s="44"/>
      <c r="V924" s="45"/>
    </row>
    <row r="925" ht="12.75" customHeight="1">
      <c r="M925" s="44"/>
      <c r="P925" s="44"/>
      <c r="Q925" s="44"/>
      <c r="S925" s="44"/>
      <c r="U925" s="44"/>
      <c r="V925" s="45"/>
    </row>
    <row r="926" ht="12.75" customHeight="1">
      <c r="M926" s="44"/>
      <c r="P926" s="44"/>
      <c r="Q926" s="44"/>
      <c r="S926" s="44"/>
      <c r="U926" s="44"/>
      <c r="V926" s="45"/>
    </row>
    <row r="927" ht="12.75" customHeight="1">
      <c r="M927" s="44"/>
      <c r="P927" s="44"/>
      <c r="Q927" s="44"/>
      <c r="S927" s="44"/>
      <c r="U927" s="44"/>
      <c r="V927" s="45"/>
    </row>
    <row r="928" ht="12.75" customHeight="1">
      <c r="M928" s="44"/>
      <c r="P928" s="44"/>
      <c r="Q928" s="44"/>
      <c r="S928" s="44"/>
      <c r="U928" s="44"/>
      <c r="V928" s="45"/>
    </row>
    <row r="929" ht="12.75" customHeight="1">
      <c r="M929" s="44"/>
      <c r="P929" s="44"/>
      <c r="Q929" s="44"/>
      <c r="S929" s="44"/>
      <c r="U929" s="44"/>
      <c r="V929" s="45"/>
    </row>
    <row r="930" ht="12.75" customHeight="1">
      <c r="M930" s="44"/>
      <c r="P930" s="44"/>
      <c r="Q930" s="44"/>
      <c r="S930" s="44"/>
      <c r="U930" s="44"/>
      <c r="V930" s="45"/>
    </row>
    <row r="931" ht="12.75" customHeight="1">
      <c r="M931" s="44"/>
      <c r="P931" s="44"/>
      <c r="Q931" s="44"/>
      <c r="S931" s="44"/>
      <c r="U931" s="44"/>
      <c r="V931" s="45"/>
    </row>
    <row r="932" ht="12.75" customHeight="1">
      <c r="M932" s="44"/>
      <c r="P932" s="44"/>
      <c r="Q932" s="44"/>
      <c r="S932" s="44"/>
      <c r="U932" s="44"/>
      <c r="V932" s="45"/>
    </row>
    <row r="933" ht="12.75" customHeight="1">
      <c r="M933" s="44"/>
      <c r="P933" s="44"/>
      <c r="Q933" s="44"/>
      <c r="S933" s="44"/>
      <c r="U933" s="44"/>
      <c r="V933" s="45"/>
    </row>
    <row r="934" ht="12.75" customHeight="1">
      <c r="M934" s="44"/>
      <c r="P934" s="44"/>
      <c r="Q934" s="44"/>
      <c r="S934" s="44"/>
      <c r="U934" s="44"/>
      <c r="V934" s="45"/>
    </row>
    <row r="935" ht="12.75" customHeight="1">
      <c r="M935" s="44"/>
      <c r="P935" s="44"/>
      <c r="Q935" s="44"/>
      <c r="S935" s="44"/>
      <c r="U935" s="44"/>
      <c r="V935" s="45"/>
    </row>
    <row r="936" ht="12.75" customHeight="1">
      <c r="M936" s="44"/>
      <c r="P936" s="44"/>
      <c r="Q936" s="44"/>
      <c r="S936" s="44"/>
      <c r="U936" s="44"/>
      <c r="V936" s="45"/>
    </row>
    <row r="937" ht="12.75" customHeight="1">
      <c r="M937" s="44"/>
      <c r="P937" s="44"/>
      <c r="Q937" s="44"/>
      <c r="S937" s="44"/>
      <c r="U937" s="44"/>
      <c r="V937" s="45"/>
    </row>
    <row r="938" ht="12.75" customHeight="1">
      <c r="M938" s="44"/>
      <c r="P938" s="44"/>
      <c r="Q938" s="44"/>
      <c r="S938" s="44"/>
      <c r="U938" s="44"/>
      <c r="V938" s="45"/>
    </row>
    <row r="939" ht="12.75" customHeight="1">
      <c r="M939" s="44"/>
      <c r="P939" s="44"/>
      <c r="Q939" s="44"/>
      <c r="S939" s="44"/>
      <c r="U939" s="44"/>
      <c r="V939" s="45"/>
    </row>
    <row r="940" ht="12.75" customHeight="1">
      <c r="M940" s="44"/>
      <c r="P940" s="44"/>
      <c r="Q940" s="44"/>
      <c r="S940" s="44"/>
      <c r="U940" s="44"/>
      <c r="V940" s="45"/>
    </row>
    <row r="941" ht="12.75" customHeight="1">
      <c r="M941" s="44"/>
      <c r="P941" s="44"/>
      <c r="Q941" s="44"/>
      <c r="S941" s="44"/>
      <c r="U941" s="44"/>
      <c r="V941" s="45"/>
    </row>
    <row r="942" ht="12.75" customHeight="1">
      <c r="M942" s="44"/>
      <c r="P942" s="44"/>
      <c r="Q942" s="44"/>
      <c r="S942" s="44"/>
      <c r="U942" s="44"/>
      <c r="V942" s="45"/>
    </row>
    <row r="943" ht="12.75" customHeight="1">
      <c r="M943" s="44"/>
      <c r="P943" s="44"/>
      <c r="Q943" s="44"/>
      <c r="S943" s="44"/>
      <c r="U943" s="44"/>
      <c r="V943" s="45"/>
    </row>
    <row r="944" ht="12.75" customHeight="1">
      <c r="M944" s="44"/>
      <c r="P944" s="44"/>
      <c r="Q944" s="44"/>
      <c r="S944" s="44"/>
      <c r="U944" s="44"/>
      <c r="V944" s="45"/>
    </row>
    <row r="945" ht="12.75" customHeight="1">
      <c r="M945" s="44"/>
      <c r="P945" s="44"/>
      <c r="Q945" s="44"/>
      <c r="S945" s="44"/>
      <c r="U945" s="44"/>
      <c r="V945" s="45"/>
    </row>
    <row r="946" ht="12.75" customHeight="1">
      <c r="M946" s="44"/>
      <c r="P946" s="44"/>
      <c r="Q946" s="44"/>
      <c r="S946" s="44"/>
      <c r="U946" s="44"/>
      <c r="V946" s="45"/>
    </row>
    <row r="947" ht="12.75" customHeight="1">
      <c r="M947" s="44"/>
      <c r="P947" s="44"/>
      <c r="Q947" s="44"/>
      <c r="S947" s="44"/>
      <c r="U947" s="44"/>
      <c r="V947" s="45"/>
    </row>
    <row r="948" ht="12.75" customHeight="1">
      <c r="M948" s="44"/>
      <c r="P948" s="44"/>
      <c r="Q948" s="44"/>
      <c r="S948" s="44"/>
      <c r="U948" s="44"/>
      <c r="V948" s="45"/>
    </row>
    <row r="949" ht="12.75" customHeight="1">
      <c r="M949" s="44"/>
      <c r="P949" s="44"/>
      <c r="Q949" s="44"/>
      <c r="S949" s="44"/>
      <c r="U949" s="44"/>
      <c r="V949" s="45"/>
    </row>
    <row r="950" ht="12.75" customHeight="1">
      <c r="M950" s="44"/>
      <c r="P950" s="44"/>
      <c r="Q950" s="44"/>
      <c r="S950" s="44"/>
      <c r="U950" s="44"/>
      <c r="V950" s="45"/>
    </row>
    <row r="951" ht="12.75" customHeight="1">
      <c r="M951" s="44"/>
      <c r="P951" s="44"/>
      <c r="Q951" s="44"/>
      <c r="S951" s="44"/>
      <c r="U951" s="44"/>
      <c r="V951" s="45"/>
    </row>
    <row r="952" ht="12.75" customHeight="1">
      <c r="M952" s="44"/>
      <c r="P952" s="44"/>
      <c r="Q952" s="44"/>
      <c r="S952" s="44"/>
      <c r="U952" s="44"/>
      <c r="V952" s="45"/>
    </row>
    <row r="953" ht="12.75" customHeight="1">
      <c r="M953" s="44"/>
      <c r="P953" s="44"/>
      <c r="Q953" s="44"/>
      <c r="S953" s="44"/>
      <c r="U953" s="44"/>
      <c r="V953" s="45"/>
    </row>
    <row r="954" ht="12.75" customHeight="1">
      <c r="M954" s="44"/>
      <c r="P954" s="44"/>
      <c r="Q954" s="44"/>
      <c r="S954" s="44"/>
      <c r="U954" s="44"/>
      <c r="V954" s="45"/>
    </row>
    <row r="955" ht="12.75" customHeight="1">
      <c r="M955" s="44"/>
      <c r="P955" s="44"/>
      <c r="Q955" s="44"/>
      <c r="S955" s="44"/>
      <c r="U955" s="44"/>
      <c r="V955" s="45"/>
    </row>
    <row r="956" ht="12.75" customHeight="1">
      <c r="M956" s="44"/>
      <c r="P956" s="44"/>
      <c r="Q956" s="44"/>
      <c r="S956" s="44"/>
      <c r="U956" s="44"/>
      <c r="V956" s="45"/>
    </row>
    <row r="957" ht="12.75" customHeight="1">
      <c r="M957" s="44"/>
      <c r="P957" s="44"/>
      <c r="Q957" s="44"/>
      <c r="S957" s="44"/>
      <c r="U957" s="44"/>
      <c r="V957" s="45"/>
    </row>
    <row r="958" ht="12.75" customHeight="1">
      <c r="M958" s="44"/>
      <c r="P958" s="44"/>
      <c r="Q958" s="44"/>
      <c r="S958" s="44"/>
      <c r="U958" s="44"/>
      <c r="V958" s="45"/>
    </row>
    <row r="959" ht="12.75" customHeight="1">
      <c r="M959" s="44"/>
      <c r="P959" s="44"/>
      <c r="Q959" s="44"/>
      <c r="S959" s="44"/>
      <c r="U959" s="44"/>
      <c r="V959" s="45"/>
    </row>
    <row r="960" ht="12.75" customHeight="1">
      <c r="M960" s="44"/>
      <c r="P960" s="44"/>
      <c r="Q960" s="44"/>
      <c r="S960" s="44"/>
      <c r="U960" s="44"/>
      <c r="V960" s="45"/>
    </row>
    <row r="961" ht="12.75" customHeight="1">
      <c r="M961" s="44"/>
      <c r="P961" s="44"/>
      <c r="Q961" s="44"/>
      <c r="S961" s="44"/>
      <c r="U961" s="44"/>
      <c r="V961" s="45"/>
    </row>
    <row r="962" ht="12.75" customHeight="1">
      <c r="M962" s="44"/>
      <c r="P962" s="44"/>
      <c r="Q962" s="44"/>
      <c r="S962" s="44"/>
      <c r="U962" s="44"/>
      <c r="V962" s="45"/>
    </row>
    <row r="963" ht="12.75" customHeight="1">
      <c r="M963" s="44"/>
      <c r="P963" s="44"/>
      <c r="Q963" s="44"/>
      <c r="S963" s="44"/>
      <c r="U963" s="44"/>
      <c r="V963" s="45"/>
    </row>
    <row r="964" ht="12.75" customHeight="1">
      <c r="M964" s="44"/>
      <c r="P964" s="44"/>
      <c r="Q964" s="44"/>
      <c r="S964" s="44"/>
      <c r="U964" s="44"/>
      <c r="V964" s="45"/>
    </row>
    <row r="965" ht="12.75" customHeight="1">
      <c r="M965" s="44"/>
      <c r="P965" s="44"/>
      <c r="Q965" s="44"/>
      <c r="S965" s="44"/>
      <c r="U965" s="44"/>
      <c r="V965" s="45"/>
    </row>
    <row r="966" ht="12.75" customHeight="1">
      <c r="M966" s="44"/>
      <c r="P966" s="44"/>
      <c r="Q966" s="44"/>
      <c r="S966" s="44"/>
      <c r="U966" s="44"/>
      <c r="V966" s="45"/>
    </row>
    <row r="967" ht="12.75" customHeight="1">
      <c r="M967" s="44"/>
      <c r="P967" s="44"/>
      <c r="Q967" s="44"/>
      <c r="S967" s="44"/>
      <c r="U967" s="44"/>
      <c r="V967" s="45"/>
    </row>
    <row r="968" ht="12.75" customHeight="1">
      <c r="M968" s="44"/>
      <c r="P968" s="44"/>
      <c r="Q968" s="44"/>
      <c r="S968" s="44"/>
      <c r="U968" s="44"/>
      <c r="V968" s="45"/>
    </row>
    <row r="969" ht="12.75" customHeight="1">
      <c r="M969" s="44"/>
      <c r="P969" s="44"/>
      <c r="Q969" s="44"/>
      <c r="S969" s="44"/>
      <c r="U969" s="44"/>
      <c r="V969" s="45"/>
    </row>
    <row r="970" ht="12.75" customHeight="1">
      <c r="M970" s="44"/>
      <c r="P970" s="44"/>
      <c r="Q970" s="44"/>
      <c r="S970" s="44"/>
      <c r="U970" s="44"/>
      <c r="V970" s="45"/>
    </row>
    <row r="971" ht="12.75" customHeight="1">
      <c r="M971" s="44"/>
      <c r="P971" s="44"/>
      <c r="Q971" s="44"/>
      <c r="S971" s="44"/>
      <c r="U971" s="44"/>
      <c r="V971" s="45"/>
    </row>
    <row r="972" ht="12.75" customHeight="1">
      <c r="M972" s="44"/>
      <c r="P972" s="44"/>
      <c r="Q972" s="44"/>
      <c r="S972" s="44"/>
      <c r="U972" s="44"/>
      <c r="V972" s="45"/>
    </row>
    <row r="973" ht="12.75" customHeight="1">
      <c r="M973" s="44"/>
      <c r="P973" s="44"/>
      <c r="Q973" s="44"/>
      <c r="S973" s="44"/>
      <c r="U973" s="44"/>
      <c r="V973" s="45"/>
    </row>
    <row r="974" ht="12.75" customHeight="1">
      <c r="M974" s="44"/>
      <c r="P974" s="44"/>
      <c r="Q974" s="44"/>
      <c r="S974" s="44"/>
      <c r="U974" s="44"/>
      <c r="V974" s="45"/>
    </row>
    <row r="975" ht="12.75" customHeight="1">
      <c r="M975" s="44"/>
      <c r="P975" s="44"/>
      <c r="Q975" s="44"/>
      <c r="S975" s="44"/>
      <c r="U975" s="44"/>
      <c r="V975" s="45"/>
    </row>
    <row r="976" ht="12.75" customHeight="1">
      <c r="M976" s="44"/>
      <c r="P976" s="44"/>
      <c r="Q976" s="44"/>
      <c r="S976" s="44"/>
      <c r="U976" s="44"/>
      <c r="V976" s="45"/>
    </row>
    <row r="977" ht="12.75" customHeight="1">
      <c r="M977" s="44"/>
      <c r="P977" s="44"/>
      <c r="Q977" s="44"/>
      <c r="S977" s="44"/>
      <c r="U977" s="44"/>
      <c r="V977" s="45"/>
    </row>
    <row r="978" ht="12.75" customHeight="1">
      <c r="M978" s="44"/>
      <c r="P978" s="44"/>
      <c r="Q978" s="44"/>
      <c r="S978" s="44"/>
      <c r="U978" s="44"/>
      <c r="V978" s="45"/>
    </row>
    <row r="979" ht="12.75" customHeight="1">
      <c r="M979" s="44"/>
      <c r="P979" s="44"/>
      <c r="Q979" s="44"/>
      <c r="S979" s="44"/>
      <c r="U979" s="44"/>
      <c r="V979" s="45"/>
    </row>
    <row r="980" ht="12.75" customHeight="1">
      <c r="M980" s="44"/>
      <c r="P980" s="44"/>
      <c r="Q980" s="44"/>
      <c r="S980" s="44"/>
      <c r="U980" s="44"/>
      <c r="V980" s="45"/>
    </row>
    <row r="981" ht="12.75" customHeight="1">
      <c r="M981" s="44"/>
      <c r="P981" s="44"/>
      <c r="Q981" s="44"/>
      <c r="S981" s="44"/>
      <c r="U981" s="44"/>
      <c r="V981" s="45"/>
    </row>
    <row r="982" ht="12.75" customHeight="1">
      <c r="M982" s="44"/>
      <c r="P982" s="44"/>
      <c r="Q982" s="44"/>
      <c r="S982" s="44"/>
      <c r="U982" s="44"/>
      <c r="V982" s="45"/>
    </row>
    <row r="983" ht="12.75" customHeight="1">
      <c r="M983" s="44"/>
      <c r="P983" s="44"/>
      <c r="Q983" s="44"/>
      <c r="S983" s="44"/>
      <c r="U983" s="44"/>
      <c r="V983" s="45"/>
    </row>
    <row r="984" ht="12.75" customHeight="1">
      <c r="M984" s="44"/>
      <c r="P984" s="44"/>
      <c r="Q984" s="44"/>
      <c r="S984" s="44"/>
      <c r="U984" s="44"/>
      <c r="V984" s="45"/>
    </row>
    <row r="985" ht="12.75" customHeight="1">
      <c r="M985" s="44"/>
      <c r="P985" s="44"/>
      <c r="Q985" s="44"/>
      <c r="S985" s="44"/>
      <c r="U985" s="44"/>
      <c r="V985" s="45"/>
    </row>
    <row r="986" ht="12.75" customHeight="1">
      <c r="M986" s="44"/>
      <c r="P986" s="44"/>
      <c r="Q986" s="44"/>
      <c r="S986" s="44"/>
      <c r="U986" s="44"/>
      <c r="V986" s="45"/>
    </row>
    <row r="987" ht="12.75" customHeight="1">
      <c r="M987" s="44"/>
      <c r="P987" s="44"/>
      <c r="Q987" s="44"/>
      <c r="S987" s="44"/>
      <c r="U987" s="44"/>
      <c r="V987" s="45"/>
    </row>
    <row r="988" ht="12.75" customHeight="1">
      <c r="M988" s="44"/>
      <c r="P988" s="44"/>
      <c r="Q988" s="44"/>
      <c r="S988" s="44"/>
      <c r="U988" s="44"/>
      <c r="V988" s="45"/>
    </row>
    <row r="989" ht="12.75" customHeight="1">
      <c r="M989" s="44"/>
      <c r="P989" s="44"/>
      <c r="Q989" s="44"/>
      <c r="S989" s="44"/>
      <c r="U989" s="44"/>
      <c r="V989" s="45"/>
    </row>
    <row r="990" ht="12.75" customHeight="1">
      <c r="M990" s="44"/>
      <c r="P990" s="44"/>
      <c r="Q990" s="44"/>
      <c r="S990" s="44"/>
      <c r="U990" s="44"/>
      <c r="V990" s="45"/>
    </row>
    <row r="991" ht="12.75" customHeight="1">
      <c r="M991" s="44"/>
      <c r="P991" s="44"/>
      <c r="Q991" s="44"/>
      <c r="S991" s="44"/>
      <c r="U991" s="44"/>
      <c r="V991" s="45"/>
    </row>
    <row r="992" ht="12.75" customHeight="1">
      <c r="M992" s="44"/>
      <c r="P992" s="44"/>
      <c r="Q992" s="44"/>
      <c r="S992" s="44"/>
      <c r="U992" s="44"/>
      <c r="V992" s="45"/>
    </row>
    <row r="993" ht="12.75" customHeight="1">
      <c r="M993" s="44"/>
      <c r="P993" s="44"/>
      <c r="Q993" s="44"/>
      <c r="S993" s="44"/>
      <c r="U993" s="44"/>
      <c r="V993" s="45"/>
    </row>
    <row r="994" ht="12.75" customHeight="1">
      <c r="M994" s="44"/>
      <c r="P994" s="44"/>
      <c r="Q994" s="44"/>
      <c r="S994" s="44"/>
      <c r="U994" s="44"/>
      <c r="V994" s="45"/>
    </row>
    <row r="995" ht="12.75" customHeight="1">
      <c r="M995" s="44"/>
      <c r="P995" s="44"/>
      <c r="Q995" s="44"/>
      <c r="S995" s="44"/>
      <c r="U995" s="44"/>
      <c r="V995" s="45"/>
    </row>
    <row r="996" ht="12.75" customHeight="1">
      <c r="M996" s="44"/>
      <c r="P996" s="44"/>
      <c r="Q996" s="44"/>
      <c r="S996" s="44"/>
      <c r="U996" s="44"/>
      <c r="V996" s="45"/>
    </row>
  </sheetData>
  <autoFilter ref="$A$1:$AQ$144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69.0"/>
    <col customWidth="1" min="3" max="4" width="11.75"/>
    <col customWidth="1" min="5" max="5" width="8.75"/>
    <col customWidth="1" min="6" max="7" width="10.88"/>
    <col customWidth="1" min="8" max="8" width="11.25"/>
    <col customWidth="1" min="9" max="9" width="13.0"/>
    <col customWidth="1" min="10" max="10" width="26.0"/>
    <col customWidth="1" min="11" max="11" width="38.88"/>
    <col customWidth="1" min="12" max="12" width="83.75"/>
    <col customWidth="1" min="13" max="13" width="10.38"/>
    <col customWidth="1" min="14" max="14" width="12.63"/>
    <col customWidth="1" min="15" max="15" width="11.13"/>
    <col customWidth="1" min="16" max="16" width="9.25"/>
    <col customWidth="1" min="17" max="17" width="10.0"/>
    <col customWidth="1" min="18" max="18" width="58.13"/>
    <col customWidth="1" min="19" max="19" width="9.38"/>
    <col customWidth="1" min="20" max="21" width="9.25"/>
    <col customWidth="1" min="22" max="22" width="19.13"/>
    <col customWidth="1" min="23" max="23" width="17.88"/>
    <col customWidth="1" min="24" max="24" width="10.5"/>
    <col customWidth="1" min="25" max="25" width="13.5"/>
    <col customWidth="1" min="26" max="26" width="14.5"/>
    <col customWidth="1" min="27" max="27" width="24.75"/>
    <col customWidth="1" min="28" max="28" width="22.38"/>
    <col customWidth="1" min="29" max="29" width="13.75"/>
    <col customWidth="1" min="30" max="30" width="51.88"/>
    <col customWidth="1" min="31" max="31" width="13.13"/>
    <col customWidth="1" min="32" max="32" width="14.75"/>
    <col customWidth="1" min="33" max="33" width="35.13"/>
    <col customWidth="1" min="34" max="34" width="57.13"/>
    <col customWidth="1" min="35" max="35" width="16.38"/>
    <col customWidth="1" min="36" max="36" width="14.38"/>
    <col customWidth="1" min="37" max="37" width="15.5"/>
    <col customWidth="1" min="38" max="38" width="12.0"/>
    <col customWidth="1" min="39" max="39" width="15.0"/>
    <col customWidth="1" min="40" max="40" width="17.25"/>
    <col customWidth="1" min="41" max="41" width="21.25"/>
    <col customWidth="1" min="42" max="42" width="14.13"/>
    <col customWidth="1" min="43" max="43" width="13.88"/>
  </cols>
  <sheetData>
    <row r="1">
      <c r="A1" s="81" t="s">
        <v>0</v>
      </c>
      <c r="B1" s="81" t="s">
        <v>0</v>
      </c>
      <c r="C1" s="81" t="s">
        <v>0</v>
      </c>
      <c r="D1" s="81" t="s">
        <v>0</v>
      </c>
      <c r="E1" s="81" t="s">
        <v>0</v>
      </c>
      <c r="F1" s="81" t="s">
        <v>0</v>
      </c>
      <c r="G1" s="81" t="s">
        <v>0</v>
      </c>
      <c r="H1" s="81" t="s">
        <v>0</v>
      </c>
      <c r="I1" s="81" t="s">
        <v>0</v>
      </c>
      <c r="J1" s="52" t="s">
        <v>1</v>
      </c>
      <c r="K1" s="52" t="s">
        <v>1</v>
      </c>
      <c r="L1" s="52" t="s">
        <v>1</v>
      </c>
      <c r="M1" s="52" t="s">
        <v>1</v>
      </c>
      <c r="N1" s="52" t="s">
        <v>1</v>
      </c>
      <c r="O1" s="52" t="s">
        <v>1</v>
      </c>
      <c r="P1" s="52" t="s">
        <v>1</v>
      </c>
      <c r="Q1" s="52" t="s">
        <v>1</v>
      </c>
      <c r="R1" s="52" t="s">
        <v>1</v>
      </c>
      <c r="S1" s="52" t="s">
        <v>1</v>
      </c>
      <c r="T1" s="52" t="s">
        <v>1</v>
      </c>
      <c r="U1" s="52" t="s">
        <v>1</v>
      </c>
      <c r="V1" s="52" t="s">
        <v>1</v>
      </c>
      <c r="W1" s="82" t="s">
        <v>2</v>
      </c>
      <c r="X1" s="82" t="s">
        <v>2</v>
      </c>
      <c r="Y1" s="82" t="s">
        <v>2</v>
      </c>
      <c r="Z1" s="52" t="s">
        <v>1</v>
      </c>
      <c r="AA1" s="52" t="s">
        <v>1</v>
      </c>
      <c r="AB1" s="52" t="s">
        <v>1</v>
      </c>
      <c r="AC1" s="52" t="s">
        <v>1</v>
      </c>
      <c r="AD1" s="52" t="s">
        <v>1</v>
      </c>
      <c r="AE1" s="82" t="s">
        <v>2</v>
      </c>
      <c r="AF1" s="52" t="s">
        <v>1</v>
      </c>
      <c r="AG1" s="52" t="s">
        <v>1</v>
      </c>
      <c r="AH1" s="52" t="s">
        <v>1</v>
      </c>
      <c r="AI1" s="52" t="s">
        <v>1</v>
      </c>
      <c r="AJ1" s="52" t="s">
        <v>1</v>
      </c>
      <c r="AK1" s="52" t="s">
        <v>1</v>
      </c>
      <c r="AL1" s="82" t="s">
        <v>2</v>
      </c>
      <c r="AM1" s="82" t="s">
        <v>2</v>
      </c>
      <c r="AN1" s="82" t="s">
        <v>2</v>
      </c>
      <c r="AO1" s="82" t="s">
        <v>2</v>
      </c>
      <c r="AP1" s="82" t="s">
        <v>2</v>
      </c>
      <c r="AQ1" s="82" t="s">
        <v>2</v>
      </c>
    </row>
    <row r="2">
      <c r="A2" s="83" t="s">
        <v>3</v>
      </c>
      <c r="B2" s="83" t="s">
        <v>4</v>
      </c>
      <c r="C2" s="83" t="s">
        <v>5</v>
      </c>
      <c r="D2" s="83" t="s">
        <v>6</v>
      </c>
      <c r="E2" s="83" t="s">
        <v>7</v>
      </c>
      <c r="F2" s="83" t="s">
        <v>8</v>
      </c>
      <c r="G2" s="83" t="s">
        <v>9</v>
      </c>
      <c r="H2" s="83" t="s">
        <v>10</v>
      </c>
      <c r="I2" s="83" t="s">
        <v>11</v>
      </c>
      <c r="J2" s="84" t="s">
        <v>12</v>
      </c>
      <c r="K2" s="84" t="s">
        <v>13</v>
      </c>
      <c r="L2" s="84" t="s">
        <v>14</v>
      </c>
      <c r="M2" s="84" t="s">
        <v>15</v>
      </c>
      <c r="N2" s="84" t="s">
        <v>16</v>
      </c>
      <c r="O2" s="84" t="s">
        <v>17</v>
      </c>
      <c r="P2" s="84" t="s">
        <v>18</v>
      </c>
      <c r="Q2" s="84" t="s">
        <v>19</v>
      </c>
      <c r="R2" s="84" t="s">
        <v>20</v>
      </c>
      <c r="S2" s="84" t="s">
        <v>21</v>
      </c>
      <c r="T2" s="84" t="s">
        <v>22</v>
      </c>
      <c r="U2" s="84" t="s">
        <v>23</v>
      </c>
      <c r="V2" s="84" t="s">
        <v>24</v>
      </c>
      <c r="W2" s="84" t="s">
        <v>25</v>
      </c>
      <c r="X2" s="84" t="s">
        <v>26</v>
      </c>
      <c r="Y2" s="84" t="s">
        <v>27</v>
      </c>
      <c r="Z2" s="84" t="s">
        <v>28</v>
      </c>
      <c r="AA2" s="84" t="s">
        <v>29</v>
      </c>
      <c r="AB2" s="84" t="s">
        <v>30</v>
      </c>
      <c r="AC2" s="84" t="s">
        <v>31</v>
      </c>
      <c r="AD2" s="84" t="s">
        <v>32</v>
      </c>
      <c r="AE2" s="84" t="s">
        <v>33</v>
      </c>
      <c r="AF2" s="84" t="s">
        <v>34</v>
      </c>
      <c r="AG2" s="85" t="s">
        <v>35</v>
      </c>
      <c r="AH2" s="84" t="s">
        <v>36</v>
      </c>
      <c r="AI2" s="84" t="s">
        <v>37</v>
      </c>
      <c r="AJ2" s="84" t="s">
        <v>38</v>
      </c>
      <c r="AK2" s="84" t="s">
        <v>39</v>
      </c>
      <c r="AL2" s="84" t="s">
        <v>40</v>
      </c>
      <c r="AM2" s="84" t="s">
        <v>41</v>
      </c>
      <c r="AN2" s="84" t="s">
        <v>42</v>
      </c>
      <c r="AO2" s="84" t="s">
        <v>43</v>
      </c>
      <c r="AP2" s="84" t="s">
        <v>44</v>
      </c>
      <c r="AQ2" s="84" t="s">
        <v>45</v>
      </c>
    </row>
    <row r="3">
      <c r="A3" s="86">
        <v>1.0</v>
      </c>
      <c r="B3" s="87" t="s">
        <v>4110</v>
      </c>
      <c r="C3" s="87" t="s">
        <v>4111</v>
      </c>
      <c r="D3" s="87" t="s">
        <v>3024</v>
      </c>
      <c r="E3" s="88" t="s">
        <v>298</v>
      </c>
      <c r="F3" s="86" t="s">
        <v>73</v>
      </c>
      <c r="G3" s="88" t="s">
        <v>315</v>
      </c>
      <c r="H3" s="87"/>
      <c r="I3" s="87">
        <v>4.0</v>
      </c>
      <c r="J3" s="87" t="s">
        <v>4112</v>
      </c>
      <c r="K3" s="87" t="s">
        <v>4110</v>
      </c>
      <c r="L3" s="87" t="s">
        <v>4113</v>
      </c>
      <c r="M3" s="86" t="s">
        <v>298</v>
      </c>
      <c r="N3" s="87" t="s">
        <v>4111</v>
      </c>
      <c r="O3" s="87"/>
      <c r="P3" s="87">
        <v>2015.0</v>
      </c>
      <c r="Q3" s="87" t="s">
        <v>4114</v>
      </c>
      <c r="R3" s="87" t="s">
        <v>4115</v>
      </c>
      <c r="S3" s="87" t="s">
        <v>1805</v>
      </c>
      <c r="T3" s="87" t="s">
        <v>2673</v>
      </c>
      <c r="U3" s="86" t="s">
        <v>1807</v>
      </c>
      <c r="V3" s="87">
        <v>3.0</v>
      </c>
      <c r="W3" s="87"/>
      <c r="X3" s="87"/>
      <c r="Y3" s="87"/>
      <c r="Z3" s="89" t="s">
        <v>564</v>
      </c>
      <c r="AA3" s="46" t="s">
        <v>4116</v>
      </c>
      <c r="AB3" s="89" t="s">
        <v>2711</v>
      </c>
      <c r="AC3" s="89" t="s">
        <v>564</v>
      </c>
      <c r="AD3" s="89" t="s">
        <v>565</v>
      </c>
      <c r="AE3" s="87"/>
      <c r="AF3" s="89" t="s">
        <v>2728</v>
      </c>
      <c r="AG3" s="46" t="s">
        <v>4117</v>
      </c>
      <c r="AH3" s="87" t="s">
        <v>4118</v>
      </c>
      <c r="AI3" s="86">
        <v>2015.0</v>
      </c>
      <c r="AJ3" s="86">
        <v>2015.0</v>
      </c>
      <c r="AK3" s="86" t="s">
        <v>70</v>
      </c>
      <c r="AL3" s="86"/>
      <c r="AM3" s="86"/>
      <c r="AN3" s="86"/>
      <c r="AO3" s="86"/>
      <c r="AP3" s="86"/>
      <c r="AQ3" s="86"/>
    </row>
    <row r="4">
      <c r="A4" s="86">
        <v>2.0</v>
      </c>
      <c r="B4" s="87" t="s">
        <v>4119</v>
      </c>
      <c r="C4" s="87" t="s">
        <v>4120</v>
      </c>
      <c r="D4" s="87" t="s">
        <v>2682</v>
      </c>
      <c r="E4" s="88" t="s">
        <v>298</v>
      </c>
      <c r="F4" s="86" t="s">
        <v>73</v>
      </c>
      <c r="G4" s="88" t="s">
        <v>315</v>
      </c>
      <c r="H4" s="87"/>
      <c r="I4" s="87">
        <v>7.0</v>
      </c>
      <c r="J4" s="87" t="s">
        <v>4121</v>
      </c>
      <c r="K4" s="87" t="s">
        <v>4119</v>
      </c>
      <c r="L4" s="87" t="s">
        <v>4122</v>
      </c>
      <c r="M4" s="86" t="s">
        <v>298</v>
      </c>
      <c r="N4" s="87" t="s">
        <v>4120</v>
      </c>
      <c r="O4" s="87"/>
      <c r="P4" s="87">
        <v>2007.0</v>
      </c>
      <c r="Q4" s="87" t="s">
        <v>3370</v>
      </c>
      <c r="R4" s="87" t="s">
        <v>3371</v>
      </c>
      <c r="S4" s="87" t="s">
        <v>1805</v>
      </c>
      <c r="T4" s="87" t="s">
        <v>2673</v>
      </c>
      <c r="U4" s="86" t="s">
        <v>1807</v>
      </c>
      <c r="V4" s="87">
        <v>4.0</v>
      </c>
      <c r="W4" s="87"/>
      <c r="X4" s="87"/>
      <c r="Y4" s="87"/>
      <c r="Z4" s="89" t="s">
        <v>564</v>
      </c>
      <c r="AA4" s="89" t="s">
        <v>2687</v>
      </c>
      <c r="AB4" s="46" t="s">
        <v>4123</v>
      </c>
      <c r="AC4" s="89" t="s">
        <v>564</v>
      </c>
      <c r="AD4" s="89" t="s">
        <v>565</v>
      </c>
      <c r="AE4" s="87"/>
      <c r="AF4" s="89" t="s">
        <v>2728</v>
      </c>
      <c r="AG4" s="46" t="s">
        <v>4117</v>
      </c>
      <c r="AH4" s="87" t="s">
        <v>4124</v>
      </c>
      <c r="AI4" s="86">
        <v>2007.0</v>
      </c>
      <c r="AJ4" s="86">
        <v>2007.0</v>
      </c>
      <c r="AK4" s="86" t="s">
        <v>70</v>
      </c>
      <c r="AL4" s="86"/>
      <c r="AM4" s="86"/>
      <c r="AN4" s="86"/>
      <c r="AO4" s="86"/>
      <c r="AP4" s="86"/>
      <c r="AQ4" s="86"/>
    </row>
    <row r="5">
      <c r="A5" s="86">
        <v>3.0</v>
      </c>
      <c r="B5" s="87" t="s">
        <v>4125</v>
      </c>
      <c r="C5" s="87" t="s">
        <v>4126</v>
      </c>
      <c r="D5" s="87" t="s">
        <v>2682</v>
      </c>
      <c r="E5" s="88" t="s">
        <v>298</v>
      </c>
      <c r="F5" s="86" t="s">
        <v>73</v>
      </c>
      <c r="G5" s="88" t="s">
        <v>315</v>
      </c>
      <c r="H5" s="87"/>
      <c r="I5" s="87">
        <v>13.0</v>
      </c>
      <c r="J5" s="87" t="s">
        <v>4127</v>
      </c>
      <c r="K5" s="87" t="s">
        <v>4125</v>
      </c>
      <c r="L5" s="87" t="s">
        <v>4128</v>
      </c>
      <c r="M5" s="86" t="s">
        <v>298</v>
      </c>
      <c r="N5" s="87" t="s">
        <v>4126</v>
      </c>
      <c r="O5" s="87"/>
      <c r="P5" s="87">
        <v>2016.0</v>
      </c>
      <c r="Q5" s="87" t="s">
        <v>3135</v>
      </c>
      <c r="R5" s="87" t="s">
        <v>3136</v>
      </c>
      <c r="S5" s="87" t="s">
        <v>1805</v>
      </c>
      <c r="T5" s="87" t="s">
        <v>2673</v>
      </c>
      <c r="U5" s="86" t="s">
        <v>1807</v>
      </c>
      <c r="V5" s="87">
        <v>4.0</v>
      </c>
      <c r="W5" s="87"/>
      <c r="X5" s="87"/>
      <c r="Y5" s="87"/>
      <c r="Z5" s="89" t="s">
        <v>564</v>
      </c>
      <c r="AA5" s="89" t="s">
        <v>2687</v>
      </c>
      <c r="AB5" s="46" t="s">
        <v>4123</v>
      </c>
      <c r="AC5" s="89" t="s">
        <v>564</v>
      </c>
      <c r="AD5" s="89" t="s">
        <v>565</v>
      </c>
      <c r="AE5" s="87"/>
      <c r="AF5" s="89" t="s">
        <v>2728</v>
      </c>
      <c r="AG5" s="46" t="s">
        <v>4117</v>
      </c>
      <c r="AH5" s="87" t="s">
        <v>4129</v>
      </c>
      <c r="AI5" s="86">
        <v>2016.0</v>
      </c>
      <c r="AJ5" s="86">
        <v>2016.0</v>
      </c>
      <c r="AK5" s="86" t="s">
        <v>70</v>
      </c>
      <c r="AL5" s="86"/>
      <c r="AM5" s="86"/>
      <c r="AN5" s="86"/>
      <c r="AO5" s="86"/>
      <c r="AP5" s="86"/>
      <c r="AQ5" s="86"/>
    </row>
    <row r="6">
      <c r="A6" s="86">
        <v>4.0</v>
      </c>
      <c r="B6" s="87" t="s">
        <v>4130</v>
      </c>
      <c r="C6" s="87" t="s">
        <v>4131</v>
      </c>
      <c r="D6" s="87" t="s">
        <v>2682</v>
      </c>
      <c r="E6" s="88" t="s">
        <v>298</v>
      </c>
      <c r="F6" s="86" t="s">
        <v>73</v>
      </c>
      <c r="G6" s="88" t="s">
        <v>315</v>
      </c>
      <c r="H6" s="87"/>
      <c r="I6" s="87">
        <v>6.0</v>
      </c>
      <c r="J6" s="87" t="s">
        <v>4132</v>
      </c>
      <c r="K6" s="87" t="s">
        <v>4130</v>
      </c>
      <c r="L6" s="87" t="s">
        <v>4133</v>
      </c>
      <c r="M6" s="86" t="s">
        <v>298</v>
      </c>
      <c r="N6" s="87" t="s">
        <v>4131</v>
      </c>
      <c r="O6" s="87"/>
      <c r="P6" s="87">
        <v>2015.0</v>
      </c>
      <c r="Q6" s="87" t="s">
        <v>3795</v>
      </c>
      <c r="R6" s="87" t="s">
        <v>3796</v>
      </c>
      <c r="S6" s="87" t="s">
        <v>1805</v>
      </c>
      <c r="T6" s="87" t="s">
        <v>2673</v>
      </c>
      <c r="U6" s="86" t="s">
        <v>1807</v>
      </c>
      <c r="V6" s="87">
        <v>4.0</v>
      </c>
      <c r="W6" s="87"/>
      <c r="X6" s="87"/>
      <c r="Y6" s="87"/>
      <c r="Z6" s="89" t="s">
        <v>564</v>
      </c>
      <c r="AA6" s="89" t="s">
        <v>2687</v>
      </c>
      <c r="AB6" s="46" t="s">
        <v>4123</v>
      </c>
      <c r="AC6" s="89" t="s">
        <v>564</v>
      </c>
      <c r="AD6" s="89" t="s">
        <v>565</v>
      </c>
      <c r="AE6" s="87"/>
      <c r="AF6" s="89" t="s">
        <v>2728</v>
      </c>
      <c r="AG6" s="46" t="s">
        <v>4117</v>
      </c>
      <c r="AH6" s="87" t="s">
        <v>4134</v>
      </c>
      <c r="AI6" s="86">
        <v>2015.0</v>
      </c>
      <c r="AJ6" s="86">
        <v>2015.0</v>
      </c>
      <c r="AK6" s="86" t="s">
        <v>70</v>
      </c>
      <c r="AL6" s="86"/>
      <c r="AM6" s="86"/>
      <c r="AN6" s="86"/>
      <c r="AO6" s="86"/>
      <c r="AP6" s="86"/>
      <c r="AQ6" s="86"/>
    </row>
    <row r="7">
      <c r="A7" s="86">
        <v>5.0</v>
      </c>
      <c r="B7" s="87" t="s">
        <v>4135</v>
      </c>
      <c r="C7" s="87" t="s">
        <v>3066</v>
      </c>
      <c r="D7" s="87" t="s">
        <v>2682</v>
      </c>
      <c r="E7" s="88" t="s">
        <v>298</v>
      </c>
      <c r="F7" s="86" t="s">
        <v>73</v>
      </c>
      <c r="G7" s="88" t="s">
        <v>315</v>
      </c>
      <c r="H7" s="87"/>
      <c r="I7" s="87">
        <v>16.0</v>
      </c>
      <c r="J7" s="87" t="s">
        <v>4136</v>
      </c>
      <c r="K7" s="87" t="s">
        <v>4135</v>
      </c>
      <c r="L7" s="87" t="s">
        <v>4137</v>
      </c>
      <c r="M7" s="86" t="s">
        <v>298</v>
      </c>
      <c r="N7" s="87" t="s">
        <v>3066</v>
      </c>
      <c r="O7" s="87"/>
      <c r="P7" s="87">
        <v>2019.0</v>
      </c>
      <c r="Q7" s="87" t="s">
        <v>3135</v>
      </c>
      <c r="R7" s="87" t="s">
        <v>3136</v>
      </c>
      <c r="S7" s="87" t="s">
        <v>1805</v>
      </c>
      <c r="T7" s="87" t="s">
        <v>2673</v>
      </c>
      <c r="U7" s="86" t="s">
        <v>1807</v>
      </c>
      <c r="V7" s="87">
        <v>4.0</v>
      </c>
      <c r="W7" s="87"/>
      <c r="X7" s="87"/>
      <c r="Y7" s="87"/>
      <c r="Z7" s="89" t="s">
        <v>564</v>
      </c>
      <c r="AA7" s="89" t="s">
        <v>2687</v>
      </c>
      <c r="AB7" s="46" t="s">
        <v>4123</v>
      </c>
      <c r="AC7" s="89" t="s">
        <v>564</v>
      </c>
      <c r="AD7" s="89" t="s">
        <v>565</v>
      </c>
      <c r="AE7" s="87"/>
      <c r="AF7" s="89" t="s">
        <v>2728</v>
      </c>
      <c r="AG7" s="46" t="s">
        <v>4117</v>
      </c>
      <c r="AH7" s="87" t="s">
        <v>4138</v>
      </c>
      <c r="AI7" s="86">
        <v>2019.0</v>
      </c>
      <c r="AJ7" s="86">
        <v>2019.0</v>
      </c>
      <c r="AK7" s="86" t="s">
        <v>70</v>
      </c>
      <c r="AL7" s="86"/>
      <c r="AM7" s="86"/>
      <c r="AN7" s="86"/>
      <c r="AO7" s="86"/>
      <c r="AP7" s="86"/>
      <c r="AQ7" s="86"/>
    </row>
    <row r="8">
      <c r="A8" s="86">
        <v>6.0</v>
      </c>
      <c r="B8" s="87" t="s">
        <v>4139</v>
      </c>
      <c r="C8" s="87" t="s">
        <v>3081</v>
      </c>
      <c r="D8" s="87" t="s">
        <v>2682</v>
      </c>
      <c r="E8" s="88" t="s">
        <v>298</v>
      </c>
      <c r="F8" s="86" t="s">
        <v>73</v>
      </c>
      <c r="G8" s="88" t="s">
        <v>315</v>
      </c>
      <c r="H8" s="87"/>
      <c r="I8" s="87">
        <v>4.0</v>
      </c>
      <c r="J8" s="87" t="s">
        <v>4140</v>
      </c>
      <c r="K8" s="87" t="s">
        <v>4139</v>
      </c>
      <c r="L8" s="87" t="s">
        <v>4141</v>
      </c>
      <c r="M8" s="86" t="s">
        <v>298</v>
      </c>
      <c r="N8" s="87" t="s">
        <v>3081</v>
      </c>
      <c r="O8" s="87"/>
      <c r="P8" s="87">
        <v>2015.0</v>
      </c>
      <c r="Q8" s="87" t="s">
        <v>3435</v>
      </c>
      <c r="R8" s="87" t="s">
        <v>3436</v>
      </c>
      <c r="S8" s="87" t="s">
        <v>1805</v>
      </c>
      <c r="T8" s="87" t="s">
        <v>2673</v>
      </c>
      <c r="U8" s="86" t="s">
        <v>1807</v>
      </c>
      <c r="V8" s="87">
        <v>4.0</v>
      </c>
      <c r="W8" s="87"/>
      <c r="X8" s="87"/>
      <c r="Y8" s="87"/>
      <c r="Z8" s="89" t="s">
        <v>564</v>
      </c>
      <c r="AA8" s="89" t="s">
        <v>2687</v>
      </c>
      <c r="AB8" s="46" t="s">
        <v>4123</v>
      </c>
      <c r="AC8" s="89" t="s">
        <v>564</v>
      </c>
      <c r="AD8" s="89" t="s">
        <v>565</v>
      </c>
      <c r="AE8" s="87"/>
      <c r="AF8" s="89" t="s">
        <v>2728</v>
      </c>
      <c r="AG8" s="46" t="s">
        <v>4117</v>
      </c>
      <c r="AH8" s="87" t="s">
        <v>4142</v>
      </c>
      <c r="AI8" s="86">
        <v>2015.0</v>
      </c>
      <c r="AJ8" s="86">
        <v>2015.0</v>
      </c>
      <c r="AK8" s="86" t="s">
        <v>70</v>
      </c>
      <c r="AL8" s="86"/>
      <c r="AM8" s="86"/>
      <c r="AN8" s="86"/>
      <c r="AO8" s="86"/>
      <c r="AP8" s="86"/>
      <c r="AQ8" s="86"/>
    </row>
    <row r="9">
      <c r="A9" s="86">
        <v>7.0</v>
      </c>
      <c r="B9" s="87" t="s">
        <v>4143</v>
      </c>
      <c r="C9" s="87" t="s">
        <v>3081</v>
      </c>
      <c r="D9" s="87" t="s">
        <v>2682</v>
      </c>
      <c r="E9" s="88" t="s">
        <v>298</v>
      </c>
      <c r="F9" s="86" t="s">
        <v>73</v>
      </c>
      <c r="G9" s="13" t="s">
        <v>315</v>
      </c>
      <c r="H9" s="87"/>
      <c r="I9" s="87">
        <v>10.0</v>
      </c>
      <c r="J9" s="87" t="s">
        <v>4144</v>
      </c>
      <c r="K9" s="87" t="s">
        <v>4143</v>
      </c>
      <c r="L9" s="87" t="s">
        <v>4145</v>
      </c>
      <c r="M9" s="86" t="s">
        <v>298</v>
      </c>
      <c r="N9" s="87" t="s">
        <v>3081</v>
      </c>
      <c r="O9" s="87"/>
      <c r="P9" s="87">
        <v>2019.0</v>
      </c>
      <c r="Q9" s="87" t="s">
        <v>3435</v>
      </c>
      <c r="R9" s="87" t="s">
        <v>3436</v>
      </c>
      <c r="S9" s="87" t="s">
        <v>1805</v>
      </c>
      <c r="T9" s="87" t="s">
        <v>2673</v>
      </c>
      <c r="U9" s="86" t="s">
        <v>1807</v>
      </c>
      <c r="V9" s="87">
        <v>4.0</v>
      </c>
      <c r="W9" s="87"/>
      <c r="X9" s="87"/>
      <c r="Y9" s="87"/>
      <c r="Z9" s="89" t="s">
        <v>564</v>
      </c>
      <c r="AA9" s="89" t="s">
        <v>2687</v>
      </c>
      <c r="AB9" s="46" t="s">
        <v>4123</v>
      </c>
      <c r="AC9" s="89" t="s">
        <v>564</v>
      </c>
      <c r="AD9" s="89" t="s">
        <v>565</v>
      </c>
      <c r="AE9" s="87"/>
      <c r="AF9" s="89" t="s">
        <v>2728</v>
      </c>
      <c r="AG9" s="46" t="s">
        <v>4117</v>
      </c>
      <c r="AH9" s="87" t="s">
        <v>4146</v>
      </c>
      <c r="AI9" s="86">
        <v>2019.0</v>
      </c>
      <c r="AJ9" s="86">
        <v>2019.0</v>
      </c>
      <c r="AK9" s="86" t="s">
        <v>70</v>
      </c>
      <c r="AL9" s="86"/>
      <c r="AM9" s="86"/>
      <c r="AN9" s="86"/>
      <c r="AO9" s="86"/>
      <c r="AP9" s="86"/>
      <c r="AQ9" s="86"/>
    </row>
    <row r="10">
      <c r="A10" s="86">
        <v>8.0</v>
      </c>
      <c r="B10" s="87" t="s">
        <v>4147</v>
      </c>
      <c r="C10" s="87" t="s">
        <v>4148</v>
      </c>
      <c r="D10" s="87" t="s">
        <v>2682</v>
      </c>
      <c r="E10" s="88" t="s">
        <v>298</v>
      </c>
      <c r="F10" s="86" t="s">
        <v>73</v>
      </c>
      <c r="G10" s="88" t="s">
        <v>315</v>
      </c>
      <c r="H10" s="87"/>
      <c r="I10" s="87">
        <v>59.0</v>
      </c>
      <c r="J10" s="87" t="s">
        <v>4149</v>
      </c>
      <c r="K10" s="87" t="s">
        <v>4147</v>
      </c>
      <c r="L10" s="87" t="s">
        <v>4150</v>
      </c>
      <c r="M10" s="86" t="s">
        <v>298</v>
      </c>
      <c r="N10" s="87" t="s">
        <v>4148</v>
      </c>
      <c r="O10" s="87"/>
      <c r="P10" s="87">
        <v>2016.0</v>
      </c>
      <c r="Q10" s="87" t="s">
        <v>4151</v>
      </c>
      <c r="R10" s="87" t="s">
        <v>4152</v>
      </c>
      <c r="S10" s="87" t="s">
        <v>1805</v>
      </c>
      <c r="T10" s="87" t="s">
        <v>2673</v>
      </c>
      <c r="U10" s="86" t="s">
        <v>1807</v>
      </c>
      <c r="V10" s="87">
        <v>4.0</v>
      </c>
      <c r="W10" s="87"/>
      <c r="X10" s="87"/>
      <c r="Y10" s="87"/>
      <c r="Z10" s="89" t="s">
        <v>564</v>
      </c>
      <c r="AA10" s="89" t="s">
        <v>2687</v>
      </c>
      <c r="AB10" s="46" t="s">
        <v>4123</v>
      </c>
      <c r="AC10" s="89" t="s">
        <v>564</v>
      </c>
      <c r="AD10" s="89" t="s">
        <v>565</v>
      </c>
      <c r="AE10" s="87"/>
      <c r="AF10" s="89" t="s">
        <v>2728</v>
      </c>
      <c r="AG10" s="46" t="s">
        <v>4117</v>
      </c>
      <c r="AH10" s="87" t="s">
        <v>4153</v>
      </c>
      <c r="AI10" s="86">
        <v>2016.0</v>
      </c>
      <c r="AJ10" s="86">
        <v>2016.0</v>
      </c>
      <c r="AK10" s="86" t="s">
        <v>70</v>
      </c>
      <c r="AL10" s="86"/>
      <c r="AM10" s="86"/>
      <c r="AN10" s="86"/>
      <c r="AO10" s="86"/>
      <c r="AP10" s="86"/>
      <c r="AQ10" s="86"/>
    </row>
    <row r="11">
      <c r="A11" s="86">
        <v>9.0</v>
      </c>
      <c r="B11" s="87" t="s">
        <v>4154</v>
      </c>
      <c r="C11" s="87" t="s">
        <v>4148</v>
      </c>
      <c r="D11" s="87" t="s">
        <v>2682</v>
      </c>
      <c r="E11" s="88" t="s">
        <v>298</v>
      </c>
      <c r="F11" s="86" t="s">
        <v>73</v>
      </c>
      <c r="G11" s="88" t="s">
        <v>315</v>
      </c>
      <c r="H11" s="87"/>
      <c r="I11" s="87">
        <v>6.0</v>
      </c>
      <c r="J11" s="87" t="s">
        <v>4155</v>
      </c>
      <c r="K11" s="87" t="s">
        <v>4154</v>
      </c>
      <c r="L11" s="87" t="s">
        <v>4156</v>
      </c>
      <c r="M11" s="86" t="s">
        <v>298</v>
      </c>
      <c r="N11" s="87" t="s">
        <v>4148</v>
      </c>
      <c r="O11" s="87"/>
      <c r="P11" s="87">
        <v>2017.0</v>
      </c>
      <c r="Q11" s="87" t="s">
        <v>3435</v>
      </c>
      <c r="R11" s="87" t="s">
        <v>3436</v>
      </c>
      <c r="S11" s="87" t="s">
        <v>1805</v>
      </c>
      <c r="T11" s="87" t="s">
        <v>2673</v>
      </c>
      <c r="U11" s="86" t="s">
        <v>1807</v>
      </c>
      <c r="V11" s="87">
        <v>4.0</v>
      </c>
      <c r="W11" s="87"/>
      <c r="X11" s="87"/>
      <c r="Y11" s="87"/>
      <c r="Z11" s="89" t="s">
        <v>564</v>
      </c>
      <c r="AA11" s="89" t="s">
        <v>2687</v>
      </c>
      <c r="AB11" s="46" t="s">
        <v>4123</v>
      </c>
      <c r="AC11" s="89" t="s">
        <v>564</v>
      </c>
      <c r="AD11" s="89" t="s">
        <v>565</v>
      </c>
      <c r="AE11" s="87"/>
      <c r="AF11" s="89" t="s">
        <v>2728</v>
      </c>
      <c r="AG11" s="46" t="s">
        <v>4117</v>
      </c>
      <c r="AH11" s="87" t="s">
        <v>4157</v>
      </c>
      <c r="AI11" s="86">
        <v>2017.0</v>
      </c>
      <c r="AJ11" s="86">
        <v>2017.0</v>
      </c>
      <c r="AK11" s="86" t="s">
        <v>70</v>
      </c>
      <c r="AL11" s="86"/>
      <c r="AM11" s="86"/>
      <c r="AN11" s="86"/>
      <c r="AO11" s="86"/>
      <c r="AP11" s="86"/>
      <c r="AQ11" s="86"/>
    </row>
    <row r="12">
      <c r="A12" s="86">
        <v>10.0</v>
      </c>
      <c r="B12" s="87" t="s">
        <v>4158</v>
      </c>
      <c r="C12" s="87" t="s">
        <v>4148</v>
      </c>
      <c r="D12" s="87" t="s">
        <v>2682</v>
      </c>
      <c r="E12" s="88" t="s">
        <v>298</v>
      </c>
      <c r="F12" s="86" t="s">
        <v>73</v>
      </c>
      <c r="G12" s="88" t="s">
        <v>315</v>
      </c>
      <c r="H12" s="87"/>
      <c r="I12" s="87">
        <v>45.0</v>
      </c>
      <c r="J12" s="87" t="s">
        <v>4159</v>
      </c>
      <c r="K12" s="87" t="s">
        <v>4158</v>
      </c>
      <c r="L12" s="87" t="s">
        <v>4160</v>
      </c>
      <c r="M12" s="86" t="s">
        <v>298</v>
      </c>
      <c r="N12" s="87" t="s">
        <v>4148</v>
      </c>
      <c r="O12" s="87"/>
      <c r="P12" s="87">
        <v>2019.0</v>
      </c>
      <c r="Q12" s="87" t="s">
        <v>3233</v>
      </c>
      <c r="R12" s="87" t="s">
        <v>3234</v>
      </c>
      <c r="S12" s="87" t="s">
        <v>1805</v>
      </c>
      <c r="T12" s="87" t="s">
        <v>2673</v>
      </c>
      <c r="U12" s="86" t="s">
        <v>1807</v>
      </c>
      <c r="V12" s="87">
        <v>4.0</v>
      </c>
      <c r="W12" s="87"/>
      <c r="X12" s="87"/>
      <c r="Y12" s="87"/>
      <c r="Z12" s="89" t="s">
        <v>564</v>
      </c>
      <c r="AA12" s="89" t="s">
        <v>2687</v>
      </c>
      <c r="AB12" s="46" t="s">
        <v>4123</v>
      </c>
      <c r="AC12" s="89" t="s">
        <v>564</v>
      </c>
      <c r="AD12" s="89" t="s">
        <v>565</v>
      </c>
      <c r="AE12" s="87"/>
      <c r="AF12" s="89" t="s">
        <v>2728</v>
      </c>
      <c r="AG12" s="46" t="s">
        <v>4117</v>
      </c>
      <c r="AH12" s="87" t="s">
        <v>4161</v>
      </c>
      <c r="AI12" s="86">
        <v>2019.0</v>
      </c>
      <c r="AJ12" s="86">
        <v>2019.0</v>
      </c>
      <c r="AK12" s="86" t="s">
        <v>70</v>
      </c>
      <c r="AL12" s="86"/>
      <c r="AM12" s="86"/>
      <c r="AN12" s="86"/>
      <c r="AO12" s="86"/>
      <c r="AP12" s="86"/>
      <c r="AQ12" s="86"/>
    </row>
    <row r="13">
      <c r="A13" s="86">
        <v>11.0</v>
      </c>
      <c r="B13" s="87" t="s">
        <v>4162</v>
      </c>
      <c r="C13" s="87" t="s">
        <v>4163</v>
      </c>
      <c r="D13" s="87" t="s">
        <v>2682</v>
      </c>
      <c r="E13" s="88" t="s">
        <v>298</v>
      </c>
      <c r="F13" s="86" t="s">
        <v>73</v>
      </c>
      <c r="G13" s="88" t="s">
        <v>315</v>
      </c>
      <c r="H13" s="87"/>
      <c r="I13" s="87">
        <v>118.0</v>
      </c>
      <c r="J13" s="87" t="s">
        <v>4164</v>
      </c>
      <c r="K13" s="87" t="s">
        <v>4162</v>
      </c>
      <c r="L13" s="87" t="s">
        <v>4165</v>
      </c>
      <c r="M13" s="86" t="s">
        <v>298</v>
      </c>
      <c r="N13" s="87" t="s">
        <v>4163</v>
      </c>
      <c r="O13" s="87"/>
      <c r="P13" s="87">
        <v>2019.0</v>
      </c>
      <c r="Q13" s="87" t="s">
        <v>3435</v>
      </c>
      <c r="R13" s="87" t="s">
        <v>3436</v>
      </c>
      <c r="S13" s="87" t="s">
        <v>1805</v>
      </c>
      <c r="T13" s="87" t="s">
        <v>2673</v>
      </c>
      <c r="U13" s="86" t="s">
        <v>1807</v>
      </c>
      <c r="V13" s="87">
        <v>4.0</v>
      </c>
      <c r="W13" s="87"/>
      <c r="X13" s="87"/>
      <c r="Y13" s="87"/>
      <c r="Z13" s="89" t="s">
        <v>564</v>
      </c>
      <c r="AA13" s="89" t="s">
        <v>2687</v>
      </c>
      <c r="AB13" s="46" t="s">
        <v>4123</v>
      </c>
      <c r="AC13" s="89" t="s">
        <v>564</v>
      </c>
      <c r="AD13" s="89" t="s">
        <v>565</v>
      </c>
      <c r="AE13" s="87"/>
      <c r="AF13" s="89" t="s">
        <v>2728</v>
      </c>
      <c r="AG13" s="46" t="s">
        <v>4117</v>
      </c>
      <c r="AH13" s="87" t="s">
        <v>4166</v>
      </c>
      <c r="AI13" s="86">
        <v>2019.0</v>
      </c>
      <c r="AJ13" s="86">
        <v>2019.0</v>
      </c>
      <c r="AK13" s="86" t="s">
        <v>70</v>
      </c>
      <c r="AL13" s="86"/>
      <c r="AM13" s="86"/>
      <c r="AN13" s="86"/>
      <c r="AO13" s="86"/>
      <c r="AP13" s="86"/>
      <c r="AQ13" s="86"/>
    </row>
    <row r="14">
      <c r="A14" s="86">
        <v>12.0</v>
      </c>
      <c r="B14" s="87" t="s">
        <v>4167</v>
      </c>
      <c r="C14" s="87" t="s">
        <v>3106</v>
      </c>
      <c r="D14" s="87" t="s">
        <v>2682</v>
      </c>
      <c r="E14" s="88" t="s">
        <v>298</v>
      </c>
      <c r="F14" s="86" t="s">
        <v>73</v>
      </c>
      <c r="G14" s="88" t="s">
        <v>315</v>
      </c>
      <c r="H14" s="87"/>
      <c r="I14" s="87">
        <v>11.0</v>
      </c>
      <c r="J14" s="87" t="s">
        <v>4168</v>
      </c>
      <c r="K14" s="87" t="s">
        <v>4167</v>
      </c>
      <c r="L14" s="87" t="s">
        <v>4169</v>
      </c>
      <c r="M14" s="86" t="s">
        <v>298</v>
      </c>
      <c r="N14" s="87" t="s">
        <v>3106</v>
      </c>
      <c r="O14" s="87"/>
      <c r="P14" s="87">
        <v>2018.0</v>
      </c>
      <c r="Q14" s="87" t="s">
        <v>3795</v>
      </c>
      <c r="R14" s="87" t="s">
        <v>3796</v>
      </c>
      <c r="S14" s="87" t="s">
        <v>1805</v>
      </c>
      <c r="T14" s="87" t="s">
        <v>2673</v>
      </c>
      <c r="U14" s="86" t="s">
        <v>1807</v>
      </c>
      <c r="V14" s="87">
        <v>4.0</v>
      </c>
      <c r="W14" s="87"/>
      <c r="X14" s="87"/>
      <c r="Y14" s="87"/>
      <c r="Z14" s="89" t="s">
        <v>564</v>
      </c>
      <c r="AA14" s="89" t="s">
        <v>2687</v>
      </c>
      <c r="AB14" s="46" t="s">
        <v>4123</v>
      </c>
      <c r="AC14" s="89" t="s">
        <v>564</v>
      </c>
      <c r="AD14" s="89" t="s">
        <v>565</v>
      </c>
      <c r="AE14" s="87"/>
      <c r="AF14" s="89" t="s">
        <v>2728</v>
      </c>
      <c r="AG14" s="46" t="s">
        <v>4117</v>
      </c>
      <c r="AH14" s="87" t="s">
        <v>4170</v>
      </c>
      <c r="AI14" s="86">
        <v>2018.0</v>
      </c>
      <c r="AJ14" s="86">
        <v>2018.0</v>
      </c>
      <c r="AK14" s="86" t="s">
        <v>70</v>
      </c>
      <c r="AL14" s="86"/>
      <c r="AM14" s="86"/>
      <c r="AN14" s="86"/>
      <c r="AO14" s="86"/>
      <c r="AP14" s="86"/>
      <c r="AQ14" s="86"/>
    </row>
    <row r="15">
      <c r="A15" s="86">
        <v>13.0</v>
      </c>
      <c r="B15" s="87" t="s">
        <v>4171</v>
      </c>
      <c r="C15" s="90" t="s">
        <v>4172</v>
      </c>
      <c r="D15" s="87" t="s">
        <v>2682</v>
      </c>
      <c r="E15" s="88" t="s">
        <v>298</v>
      </c>
      <c r="F15" s="86" t="s">
        <v>73</v>
      </c>
      <c r="G15" s="13" t="s">
        <v>315</v>
      </c>
      <c r="H15" s="87"/>
      <c r="I15" s="87">
        <v>2.0</v>
      </c>
      <c r="J15" s="90" t="s">
        <v>4173</v>
      </c>
      <c r="K15" s="87" t="s">
        <v>4171</v>
      </c>
      <c r="L15" s="87" t="s">
        <v>4174</v>
      </c>
      <c r="M15" s="86" t="s">
        <v>298</v>
      </c>
      <c r="N15" s="90" t="s">
        <v>4172</v>
      </c>
      <c r="O15" s="87"/>
      <c r="P15" s="87">
        <v>2012.0</v>
      </c>
      <c r="Q15" s="87" t="s">
        <v>3370</v>
      </c>
      <c r="R15" s="87" t="s">
        <v>3371</v>
      </c>
      <c r="S15" s="87" t="s">
        <v>1805</v>
      </c>
      <c r="T15" s="87" t="s">
        <v>2673</v>
      </c>
      <c r="U15" s="86" t="s">
        <v>1807</v>
      </c>
      <c r="V15" s="87">
        <v>4.0</v>
      </c>
      <c r="W15" s="87"/>
      <c r="X15" s="87"/>
      <c r="Y15" s="87"/>
      <c r="Z15" s="89" t="s">
        <v>564</v>
      </c>
      <c r="AA15" s="89" t="s">
        <v>2687</v>
      </c>
      <c r="AB15" s="46" t="s">
        <v>4123</v>
      </c>
      <c r="AC15" s="89" t="s">
        <v>564</v>
      </c>
      <c r="AD15" s="89" t="s">
        <v>565</v>
      </c>
      <c r="AE15" s="87"/>
      <c r="AF15" s="89" t="s">
        <v>2728</v>
      </c>
      <c r="AG15" s="46" t="s">
        <v>4117</v>
      </c>
      <c r="AH15" s="87" t="s">
        <v>4175</v>
      </c>
      <c r="AI15" s="86">
        <v>2012.0</v>
      </c>
      <c r="AJ15" s="86">
        <v>2012.0</v>
      </c>
      <c r="AK15" s="86" t="s">
        <v>70</v>
      </c>
      <c r="AL15" s="86"/>
      <c r="AM15" s="86"/>
      <c r="AN15" s="86"/>
      <c r="AO15" s="86"/>
      <c r="AP15" s="86"/>
      <c r="AQ15" s="86"/>
    </row>
    <row r="16">
      <c r="A16" s="86">
        <v>14.0</v>
      </c>
      <c r="B16" s="87" t="s">
        <v>4176</v>
      </c>
      <c r="C16" s="87" t="s">
        <v>3114</v>
      </c>
      <c r="D16" s="87" t="s">
        <v>2682</v>
      </c>
      <c r="E16" s="88" t="s">
        <v>298</v>
      </c>
      <c r="F16" s="86" t="s">
        <v>73</v>
      </c>
      <c r="G16" s="13" t="s">
        <v>315</v>
      </c>
      <c r="H16" s="87"/>
      <c r="I16" s="87">
        <v>69.0</v>
      </c>
      <c r="J16" s="87" t="s">
        <v>4177</v>
      </c>
      <c r="K16" s="87" t="s">
        <v>4176</v>
      </c>
      <c r="L16" s="87" t="s">
        <v>4178</v>
      </c>
      <c r="M16" s="86" t="s">
        <v>298</v>
      </c>
      <c r="N16" s="87" t="s">
        <v>3114</v>
      </c>
      <c r="O16" s="87"/>
      <c r="P16" s="87">
        <v>2012.0</v>
      </c>
      <c r="Q16" s="87" t="s">
        <v>3233</v>
      </c>
      <c r="R16" s="87" t="s">
        <v>3234</v>
      </c>
      <c r="S16" s="87" t="s">
        <v>1805</v>
      </c>
      <c r="T16" s="87" t="s">
        <v>2673</v>
      </c>
      <c r="U16" s="86" t="s">
        <v>1807</v>
      </c>
      <c r="V16" s="87">
        <v>4.0</v>
      </c>
      <c r="W16" s="87"/>
      <c r="X16" s="87"/>
      <c r="Y16" s="87"/>
      <c r="Z16" s="89" t="s">
        <v>564</v>
      </c>
      <c r="AA16" s="89" t="s">
        <v>2687</v>
      </c>
      <c r="AB16" s="46" t="s">
        <v>4123</v>
      </c>
      <c r="AC16" s="89" t="s">
        <v>564</v>
      </c>
      <c r="AD16" s="89" t="s">
        <v>565</v>
      </c>
      <c r="AE16" s="87"/>
      <c r="AF16" s="89" t="s">
        <v>2728</v>
      </c>
      <c r="AG16" s="46" t="s">
        <v>4117</v>
      </c>
      <c r="AH16" s="87" t="s">
        <v>4179</v>
      </c>
      <c r="AI16" s="86">
        <v>2012.0</v>
      </c>
      <c r="AJ16" s="86">
        <v>2012.0</v>
      </c>
      <c r="AK16" s="86" t="s">
        <v>70</v>
      </c>
      <c r="AL16" s="86"/>
      <c r="AM16" s="86"/>
      <c r="AN16" s="86"/>
      <c r="AO16" s="86"/>
      <c r="AP16" s="86"/>
      <c r="AQ16" s="86"/>
    </row>
    <row r="17">
      <c r="A17" s="86">
        <v>15.0</v>
      </c>
      <c r="B17" s="87" t="s">
        <v>4180</v>
      </c>
      <c r="C17" s="87" t="s">
        <v>3114</v>
      </c>
      <c r="D17" s="87" t="s">
        <v>2682</v>
      </c>
      <c r="E17" s="88" t="s">
        <v>298</v>
      </c>
      <c r="F17" s="86" t="s">
        <v>73</v>
      </c>
      <c r="G17" s="88" t="s">
        <v>315</v>
      </c>
      <c r="H17" s="87"/>
      <c r="I17" s="87">
        <v>5.0</v>
      </c>
      <c r="J17" s="87" t="s">
        <v>4181</v>
      </c>
      <c r="K17" s="87" t="s">
        <v>4180</v>
      </c>
      <c r="L17" s="87" t="s">
        <v>4182</v>
      </c>
      <c r="M17" s="86" t="s">
        <v>298</v>
      </c>
      <c r="N17" s="87" t="s">
        <v>3114</v>
      </c>
      <c r="O17" s="87"/>
      <c r="P17" s="87">
        <v>2017.0</v>
      </c>
      <c r="Q17" s="87" t="s">
        <v>3135</v>
      </c>
      <c r="R17" s="87" t="s">
        <v>3136</v>
      </c>
      <c r="S17" s="87" t="s">
        <v>1805</v>
      </c>
      <c r="T17" s="87" t="s">
        <v>2673</v>
      </c>
      <c r="U17" s="86" t="s">
        <v>1807</v>
      </c>
      <c r="V17" s="87">
        <v>4.0</v>
      </c>
      <c r="W17" s="87"/>
      <c r="X17" s="87"/>
      <c r="Y17" s="87"/>
      <c r="Z17" s="89" t="s">
        <v>564</v>
      </c>
      <c r="AA17" s="89" t="s">
        <v>2687</v>
      </c>
      <c r="AB17" s="46" t="s">
        <v>4123</v>
      </c>
      <c r="AC17" s="89" t="s">
        <v>564</v>
      </c>
      <c r="AD17" s="89" t="s">
        <v>565</v>
      </c>
      <c r="AE17" s="87"/>
      <c r="AF17" s="89" t="s">
        <v>2728</v>
      </c>
      <c r="AG17" s="46" t="s">
        <v>4117</v>
      </c>
      <c r="AH17" s="87" t="s">
        <v>4138</v>
      </c>
      <c r="AI17" s="86">
        <v>2017.0</v>
      </c>
      <c r="AJ17" s="86">
        <v>2017.0</v>
      </c>
      <c r="AK17" s="86" t="s">
        <v>70</v>
      </c>
      <c r="AL17" s="86"/>
      <c r="AM17" s="86"/>
      <c r="AN17" s="86"/>
      <c r="AO17" s="86"/>
      <c r="AP17" s="86"/>
      <c r="AQ17" s="86"/>
    </row>
    <row r="18">
      <c r="A18" s="86">
        <v>16.0</v>
      </c>
      <c r="B18" s="90" t="s">
        <v>4183</v>
      </c>
      <c r="C18" s="90" t="s">
        <v>4184</v>
      </c>
      <c r="D18" s="87" t="s">
        <v>2682</v>
      </c>
      <c r="E18" s="88" t="s">
        <v>298</v>
      </c>
      <c r="F18" s="86" t="s">
        <v>73</v>
      </c>
      <c r="G18" s="13" t="s">
        <v>315</v>
      </c>
      <c r="H18" s="87"/>
      <c r="I18" s="87">
        <v>45.0</v>
      </c>
      <c r="J18" s="90" t="s">
        <v>4185</v>
      </c>
      <c r="K18" s="87" t="s">
        <v>4186</v>
      </c>
      <c r="L18" s="87" t="s">
        <v>4187</v>
      </c>
      <c r="M18" s="86" t="s">
        <v>298</v>
      </c>
      <c r="N18" s="90" t="s">
        <v>4184</v>
      </c>
      <c r="O18" s="87"/>
      <c r="P18" s="87">
        <v>2009.0</v>
      </c>
      <c r="Q18" s="87" t="s">
        <v>3135</v>
      </c>
      <c r="R18" s="87" t="s">
        <v>3136</v>
      </c>
      <c r="S18" s="87" t="s">
        <v>1805</v>
      </c>
      <c r="T18" s="87" t="s">
        <v>2673</v>
      </c>
      <c r="U18" s="86" t="s">
        <v>1807</v>
      </c>
      <c r="V18" s="87">
        <v>4.0</v>
      </c>
      <c r="W18" s="87"/>
      <c r="X18" s="87"/>
      <c r="Y18" s="87"/>
      <c r="Z18" s="89" t="s">
        <v>564</v>
      </c>
      <c r="AA18" s="89" t="s">
        <v>2687</v>
      </c>
      <c r="AB18" s="46" t="s">
        <v>4123</v>
      </c>
      <c r="AC18" s="89" t="s">
        <v>564</v>
      </c>
      <c r="AD18" s="89" t="s">
        <v>565</v>
      </c>
      <c r="AE18" s="87"/>
      <c r="AF18" s="89" t="s">
        <v>2728</v>
      </c>
      <c r="AG18" s="46" t="s">
        <v>4117</v>
      </c>
      <c r="AH18" s="87" t="s">
        <v>4188</v>
      </c>
      <c r="AI18" s="86">
        <v>2009.0</v>
      </c>
      <c r="AJ18" s="86">
        <v>2009.0</v>
      </c>
      <c r="AK18" s="86" t="s">
        <v>70</v>
      </c>
      <c r="AL18" s="86"/>
      <c r="AM18" s="86"/>
      <c r="AN18" s="86"/>
      <c r="AO18" s="86"/>
      <c r="AP18" s="86"/>
      <c r="AQ18" s="86"/>
    </row>
    <row r="19">
      <c r="A19" s="86">
        <v>17.0</v>
      </c>
      <c r="B19" s="87" t="s">
        <v>4189</v>
      </c>
      <c r="C19" s="87" t="s">
        <v>4190</v>
      </c>
      <c r="D19" s="87" t="s">
        <v>2682</v>
      </c>
      <c r="E19" s="88" t="s">
        <v>298</v>
      </c>
      <c r="F19" s="86" t="s">
        <v>73</v>
      </c>
      <c r="G19" s="88" t="s">
        <v>315</v>
      </c>
      <c r="H19" s="87"/>
      <c r="I19" s="87">
        <v>44.0</v>
      </c>
      <c r="J19" s="87" t="s">
        <v>4191</v>
      </c>
      <c r="K19" s="87" t="s">
        <v>4189</v>
      </c>
      <c r="L19" s="87" t="s">
        <v>4192</v>
      </c>
      <c r="M19" s="86" t="s">
        <v>298</v>
      </c>
      <c r="N19" s="87" t="s">
        <v>4190</v>
      </c>
      <c r="O19" s="87"/>
      <c r="P19" s="87">
        <v>2015.0</v>
      </c>
      <c r="Q19" s="87" t="s">
        <v>3795</v>
      </c>
      <c r="R19" s="87" t="s">
        <v>3796</v>
      </c>
      <c r="S19" s="87" t="s">
        <v>1805</v>
      </c>
      <c r="T19" s="87" t="s">
        <v>2673</v>
      </c>
      <c r="U19" s="86" t="s">
        <v>1807</v>
      </c>
      <c r="V19" s="87">
        <v>4.0</v>
      </c>
      <c r="W19" s="87"/>
      <c r="X19" s="87"/>
      <c r="Y19" s="87"/>
      <c r="Z19" s="89" t="s">
        <v>564</v>
      </c>
      <c r="AA19" s="89" t="s">
        <v>2687</v>
      </c>
      <c r="AB19" s="46" t="s">
        <v>4123</v>
      </c>
      <c r="AC19" s="89" t="s">
        <v>564</v>
      </c>
      <c r="AD19" s="89" t="s">
        <v>565</v>
      </c>
      <c r="AE19" s="87"/>
      <c r="AF19" s="89" t="s">
        <v>2728</v>
      </c>
      <c r="AG19" s="46" t="s">
        <v>4117</v>
      </c>
      <c r="AH19" s="87" t="s">
        <v>4193</v>
      </c>
      <c r="AI19" s="86">
        <v>2015.0</v>
      </c>
      <c r="AJ19" s="86">
        <v>2015.0</v>
      </c>
      <c r="AK19" s="86" t="s">
        <v>70</v>
      </c>
      <c r="AL19" s="86"/>
      <c r="AM19" s="86"/>
      <c r="AN19" s="86"/>
      <c r="AO19" s="86"/>
      <c r="AP19" s="86"/>
      <c r="AQ19" s="86"/>
    </row>
    <row r="20">
      <c r="A20" s="86">
        <v>18.0</v>
      </c>
      <c r="B20" s="90" t="s">
        <v>4194</v>
      </c>
      <c r="C20" s="87" t="s">
        <v>4195</v>
      </c>
      <c r="D20" s="87" t="s">
        <v>2682</v>
      </c>
      <c r="E20" s="88" t="s">
        <v>298</v>
      </c>
      <c r="F20" s="86" t="s">
        <v>73</v>
      </c>
      <c r="G20" s="13" t="s">
        <v>315</v>
      </c>
      <c r="H20" s="87"/>
      <c r="I20" s="87">
        <v>63.0</v>
      </c>
      <c r="J20" s="90" t="s">
        <v>4196</v>
      </c>
      <c r="K20" s="90" t="s">
        <v>4194</v>
      </c>
      <c r="L20" s="87" t="s">
        <v>4197</v>
      </c>
      <c r="M20" s="86" t="s">
        <v>298</v>
      </c>
      <c r="N20" s="87" t="s">
        <v>4195</v>
      </c>
      <c r="O20" s="87"/>
      <c r="P20" s="87">
        <v>2008.0</v>
      </c>
      <c r="Q20" s="87" t="s">
        <v>3135</v>
      </c>
      <c r="R20" s="87" t="s">
        <v>3136</v>
      </c>
      <c r="S20" s="87" t="s">
        <v>1805</v>
      </c>
      <c r="T20" s="87" t="s">
        <v>2673</v>
      </c>
      <c r="U20" s="86" t="s">
        <v>1807</v>
      </c>
      <c r="V20" s="87">
        <v>4.0</v>
      </c>
      <c r="W20" s="87"/>
      <c r="X20" s="87"/>
      <c r="Y20" s="87"/>
      <c r="Z20" s="89" t="s">
        <v>564</v>
      </c>
      <c r="AA20" s="89" t="s">
        <v>2687</v>
      </c>
      <c r="AB20" s="46" t="s">
        <v>4123</v>
      </c>
      <c r="AC20" s="89" t="s">
        <v>564</v>
      </c>
      <c r="AD20" s="89" t="s">
        <v>565</v>
      </c>
      <c r="AE20" s="87"/>
      <c r="AF20" s="89" t="s">
        <v>2728</v>
      </c>
      <c r="AG20" s="46" t="s">
        <v>4117</v>
      </c>
      <c r="AH20" s="87" t="s">
        <v>4198</v>
      </c>
      <c r="AI20" s="86">
        <v>2008.0</v>
      </c>
      <c r="AJ20" s="86">
        <v>2008.0</v>
      </c>
      <c r="AK20" s="86" t="s">
        <v>70</v>
      </c>
      <c r="AL20" s="86"/>
      <c r="AM20" s="86"/>
      <c r="AN20" s="86"/>
      <c r="AO20" s="86"/>
      <c r="AP20" s="86"/>
      <c r="AQ20" s="86"/>
    </row>
    <row r="21">
      <c r="A21" s="86">
        <v>19.0</v>
      </c>
      <c r="B21" s="87" t="s">
        <v>4199</v>
      </c>
      <c r="C21" s="87" t="s">
        <v>3091</v>
      </c>
      <c r="D21" s="87" t="s">
        <v>2682</v>
      </c>
      <c r="E21" s="88" t="s">
        <v>298</v>
      </c>
      <c r="F21" s="86" t="s">
        <v>73</v>
      </c>
      <c r="G21" s="88" t="s">
        <v>315</v>
      </c>
      <c r="H21" s="87"/>
      <c r="I21" s="87">
        <v>2.0</v>
      </c>
      <c r="J21" s="87" t="s">
        <v>4200</v>
      </c>
      <c r="K21" s="87" t="s">
        <v>4199</v>
      </c>
      <c r="L21" s="87" t="s">
        <v>4201</v>
      </c>
      <c r="M21" s="86" t="s">
        <v>298</v>
      </c>
      <c r="N21" s="87" t="s">
        <v>3091</v>
      </c>
      <c r="O21" s="87"/>
      <c r="P21" s="87">
        <v>2016.0</v>
      </c>
      <c r="Q21" s="87" t="s">
        <v>3795</v>
      </c>
      <c r="R21" s="87" t="s">
        <v>3796</v>
      </c>
      <c r="S21" s="87" t="s">
        <v>1805</v>
      </c>
      <c r="T21" s="87" t="s">
        <v>2673</v>
      </c>
      <c r="U21" s="86" t="s">
        <v>1807</v>
      </c>
      <c r="V21" s="87">
        <v>4.0</v>
      </c>
      <c r="W21" s="87"/>
      <c r="X21" s="87"/>
      <c r="Y21" s="87"/>
      <c r="Z21" s="89" t="s">
        <v>564</v>
      </c>
      <c r="AA21" s="89" t="s">
        <v>2687</v>
      </c>
      <c r="AB21" s="46" t="s">
        <v>4123</v>
      </c>
      <c r="AC21" s="89" t="s">
        <v>564</v>
      </c>
      <c r="AD21" s="89" t="s">
        <v>565</v>
      </c>
      <c r="AE21" s="87"/>
      <c r="AF21" s="89" t="s">
        <v>2728</v>
      </c>
      <c r="AG21" s="46" t="s">
        <v>4117</v>
      </c>
      <c r="AH21" s="87" t="s">
        <v>4202</v>
      </c>
      <c r="AI21" s="86">
        <v>2016.0</v>
      </c>
      <c r="AJ21" s="86">
        <v>2016.0</v>
      </c>
      <c r="AK21" s="86" t="s">
        <v>70</v>
      </c>
      <c r="AL21" s="86"/>
      <c r="AM21" s="86"/>
      <c r="AN21" s="86"/>
      <c r="AO21" s="86"/>
      <c r="AP21" s="86"/>
      <c r="AQ21" s="86"/>
    </row>
    <row r="22">
      <c r="A22" s="86">
        <v>20.0</v>
      </c>
      <c r="B22" s="87" t="s">
        <v>4203</v>
      </c>
      <c r="C22" s="87" t="s">
        <v>4204</v>
      </c>
      <c r="D22" s="87" t="s">
        <v>2682</v>
      </c>
      <c r="E22" s="88" t="s">
        <v>298</v>
      </c>
      <c r="F22" s="86" t="s">
        <v>73</v>
      </c>
      <c r="G22" s="88" t="s">
        <v>315</v>
      </c>
      <c r="H22" s="87"/>
      <c r="I22" s="87">
        <v>21.0</v>
      </c>
      <c r="J22" s="87" t="s">
        <v>4205</v>
      </c>
      <c r="K22" s="87" t="s">
        <v>4203</v>
      </c>
      <c r="L22" s="87" t="s">
        <v>4206</v>
      </c>
      <c r="M22" s="86" t="s">
        <v>298</v>
      </c>
      <c r="N22" s="87" t="s">
        <v>4204</v>
      </c>
      <c r="O22" s="87"/>
      <c r="P22" s="87">
        <v>2021.0</v>
      </c>
      <c r="Q22" s="87" t="s">
        <v>3435</v>
      </c>
      <c r="R22" s="87" t="s">
        <v>3436</v>
      </c>
      <c r="S22" s="87" t="s">
        <v>1805</v>
      </c>
      <c r="T22" s="87" t="s">
        <v>2673</v>
      </c>
      <c r="U22" s="86" t="s">
        <v>1807</v>
      </c>
      <c r="V22" s="87">
        <v>4.0</v>
      </c>
      <c r="W22" s="87"/>
      <c r="X22" s="87"/>
      <c r="Y22" s="87"/>
      <c r="Z22" s="89" t="s">
        <v>564</v>
      </c>
      <c r="AA22" s="89" t="s">
        <v>2687</v>
      </c>
      <c r="AB22" s="46" t="s">
        <v>4123</v>
      </c>
      <c r="AC22" s="89" t="s">
        <v>564</v>
      </c>
      <c r="AD22" s="89" t="s">
        <v>565</v>
      </c>
      <c r="AE22" s="87"/>
      <c r="AF22" s="89" t="s">
        <v>2728</v>
      </c>
      <c r="AG22" s="46" t="s">
        <v>4117</v>
      </c>
      <c r="AH22" s="87" t="s">
        <v>4207</v>
      </c>
      <c r="AI22" s="86">
        <v>2021.0</v>
      </c>
      <c r="AJ22" s="86">
        <v>2021.0</v>
      </c>
      <c r="AK22" s="86" t="s">
        <v>70</v>
      </c>
      <c r="AL22" s="86"/>
      <c r="AM22" s="86"/>
      <c r="AN22" s="86"/>
      <c r="AO22" s="86"/>
      <c r="AP22" s="86"/>
      <c r="AQ22" s="86"/>
    </row>
    <row r="23">
      <c r="A23" s="86">
        <v>21.0</v>
      </c>
      <c r="B23" s="90" t="s">
        <v>4208</v>
      </c>
      <c r="C23" s="87" t="s">
        <v>4209</v>
      </c>
      <c r="D23" s="87" t="s">
        <v>2682</v>
      </c>
      <c r="E23" s="88" t="s">
        <v>298</v>
      </c>
      <c r="F23" s="86" t="s">
        <v>73</v>
      </c>
      <c r="G23" s="13" t="s">
        <v>315</v>
      </c>
      <c r="H23" s="87"/>
      <c r="I23" s="87">
        <v>240.0</v>
      </c>
      <c r="J23" s="90" t="s">
        <v>4210</v>
      </c>
      <c r="K23" s="90" t="s">
        <v>4208</v>
      </c>
      <c r="L23" s="87" t="s">
        <v>4211</v>
      </c>
      <c r="M23" s="86" t="s">
        <v>298</v>
      </c>
      <c r="N23" s="87" t="s">
        <v>4209</v>
      </c>
      <c r="O23" s="87"/>
      <c r="P23" s="87">
        <v>2003.0</v>
      </c>
      <c r="Q23" s="87" t="s">
        <v>3135</v>
      </c>
      <c r="R23" s="87" t="s">
        <v>3136</v>
      </c>
      <c r="S23" s="87" t="s">
        <v>1805</v>
      </c>
      <c r="T23" s="87" t="s">
        <v>2673</v>
      </c>
      <c r="U23" s="86" t="s">
        <v>1807</v>
      </c>
      <c r="V23" s="87">
        <v>4.0</v>
      </c>
      <c r="W23" s="87"/>
      <c r="X23" s="87"/>
      <c r="Y23" s="87"/>
      <c r="Z23" s="89" t="s">
        <v>564</v>
      </c>
      <c r="AA23" s="89" t="s">
        <v>2687</v>
      </c>
      <c r="AB23" s="46" t="s">
        <v>4123</v>
      </c>
      <c r="AC23" s="89" t="s">
        <v>564</v>
      </c>
      <c r="AD23" s="89" t="s">
        <v>565</v>
      </c>
      <c r="AE23" s="87"/>
      <c r="AF23" s="89" t="s">
        <v>2728</v>
      </c>
      <c r="AG23" s="46" t="s">
        <v>4117</v>
      </c>
      <c r="AH23" s="87" t="s">
        <v>4212</v>
      </c>
      <c r="AI23" s="86">
        <v>2003.0</v>
      </c>
      <c r="AJ23" s="86">
        <v>2003.0</v>
      </c>
      <c r="AK23" s="86" t="s">
        <v>70</v>
      </c>
      <c r="AL23" s="86"/>
      <c r="AM23" s="86"/>
      <c r="AN23" s="86"/>
      <c r="AO23" s="86"/>
      <c r="AP23" s="86"/>
      <c r="AQ23" s="86"/>
    </row>
    <row r="24">
      <c r="A24" s="86">
        <v>22.0</v>
      </c>
      <c r="B24" s="87" t="s">
        <v>4213</v>
      </c>
      <c r="C24" s="87" t="s">
        <v>4214</v>
      </c>
      <c r="D24" s="87" t="s">
        <v>2682</v>
      </c>
      <c r="E24" s="88" t="s">
        <v>298</v>
      </c>
      <c r="F24" s="86" t="s">
        <v>73</v>
      </c>
      <c r="G24" s="88" t="s">
        <v>315</v>
      </c>
      <c r="H24" s="87"/>
      <c r="I24" s="87">
        <v>14.0</v>
      </c>
      <c r="J24" s="87" t="s">
        <v>4215</v>
      </c>
      <c r="K24" s="87" t="s">
        <v>4213</v>
      </c>
      <c r="L24" s="87" t="s">
        <v>4216</v>
      </c>
      <c r="M24" s="86" t="s">
        <v>298</v>
      </c>
      <c r="N24" s="87" t="s">
        <v>4214</v>
      </c>
      <c r="O24" s="87"/>
      <c r="P24" s="87">
        <v>2009.0</v>
      </c>
      <c r="Q24" s="87" t="s">
        <v>3370</v>
      </c>
      <c r="R24" s="87" t="s">
        <v>3371</v>
      </c>
      <c r="S24" s="87" t="s">
        <v>1805</v>
      </c>
      <c r="T24" s="87" t="s">
        <v>2673</v>
      </c>
      <c r="U24" s="86" t="s">
        <v>1807</v>
      </c>
      <c r="V24" s="87">
        <v>4.0</v>
      </c>
      <c r="W24" s="87"/>
      <c r="X24" s="87"/>
      <c r="Y24" s="87"/>
      <c r="Z24" s="89" t="s">
        <v>564</v>
      </c>
      <c r="AA24" s="89" t="s">
        <v>2687</v>
      </c>
      <c r="AB24" s="46" t="s">
        <v>4123</v>
      </c>
      <c r="AC24" s="89" t="s">
        <v>564</v>
      </c>
      <c r="AD24" s="89" t="s">
        <v>565</v>
      </c>
      <c r="AE24" s="87"/>
      <c r="AF24" s="89" t="s">
        <v>2728</v>
      </c>
      <c r="AG24" s="46" t="s">
        <v>4117</v>
      </c>
      <c r="AH24" s="87" t="s">
        <v>4217</v>
      </c>
      <c r="AI24" s="86">
        <v>2009.0</v>
      </c>
      <c r="AJ24" s="86">
        <v>2009.0</v>
      </c>
      <c r="AK24" s="86" t="s">
        <v>70</v>
      </c>
      <c r="AL24" s="86"/>
      <c r="AM24" s="86"/>
      <c r="AN24" s="86"/>
      <c r="AO24" s="86"/>
      <c r="AP24" s="86"/>
      <c r="AQ24" s="86"/>
    </row>
    <row r="25">
      <c r="A25" s="86">
        <v>23.0</v>
      </c>
      <c r="B25" s="87" t="s">
        <v>4218</v>
      </c>
      <c r="C25" s="87" t="s">
        <v>2995</v>
      </c>
      <c r="D25" s="87" t="s">
        <v>2682</v>
      </c>
      <c r="E25" s="88" t="s">
        <v>298</v>
      </c>
      <c r="F25" s="86" t="s">
        <v>73</v>
      </c>
      <c r="G25" s="88" t="s">
        <v>315</v>
      </c>
      <c r="H25" s="87"/>
      <c r="I25" s="87">
        <v>13.0</v>
      </c>
      <c r="J25" s="87" t="s">
        <v>4219</v>
      </c>
      <c r="K25" s="87" t="s">
        <v>4218</v>
      </c>
      <c r="L25" s="87" t="s">
        <v>4220</v>
      </c>
      <c r="M25" s="86" t="s">
        <v>298</v>
      </c>
      <c r="N25" s="87" t="s">
        <v>2995</v>
      </c>
      <c r="O25" s="87"/>
      <c r="P25" s="87">
        <v>2020.0</v>
      </c>
      <c r="Q25" s="87" t="s">
        <v>3435</v>
      </c>
      <c r="R25" s="87" t="s">
        <v>3436</v>
      </c>
      <c r="S25" s="87" t="s">
        <v>1805</v>
      </c>
      <c r="T25" s="87" t="s">
        <v>2673</v>
      </c>
      <c r="U25" s="86" t="s">
        <v>1807</v>
      </c>
      <c r="V25" s="87">
        <v>4.0</v>
      </c>
      <c r="W25" s="87"/>
      <c r="X25" s="87"/>
      <c r="Y25" s="87"/>
      <c r="Z25" s="89" t="s">
        <v>564</v>
      </c>
      <c r="AA25" s="89" t="s">
        <v>2687</v>
      </c>
      <c r="AB25" s="46" t="s">
        <v>4123</v>
      </c>
      <c r="AC25" s="89" t="s">
        <v>564</v>
      </c>
      <c r="AD25" s="89" t="s">
        <v>565</v>
      </c>
      <c r="AE25" s="87"/>
      <c r="AF25" s="89" t="s">
        <v>2728</v>
      </c>
      <c r="AG25" s="46" t="s">
        <v>4117</v>
      </c>
      <c r="AH25" s="87" t="s">
        <v>4221</v>
      </c>
      <c r="AI25" s="86">
        <v>2020.0</v>
      </c>
      <c r="AJ25" s="86">
        <v>2020.0</v>
      </c>
      <c r="AK25" s="86" t="s">
        <v>70</v>
      </c>
      <c r="AL25" s="86"/>
      <c r="AM25" s="86"/>
      <c r="AN25" s="86"/>
      <c r="AO25" s="86"/>
      <c r="AP25" s="86"/>
      <c r="AQ25" s="86"/>
    </row>
    <row r="26">
      <c r="A26" s="86">
        <v>24.0</v>
      </c>
      <c r="B26" s="87" t="s">
        <v>4222</v>
      </c>
      <c r="C26" s="87" t="s">
        <v>2973</v>
      </c>
      <c r="D26" s="87" t="s">
        <v>2682</v>
      </c>
      <c r="E26" s="88" t="s">
        <v>298</v>
      </c>
      <c r="F26" s="86" t="s">
        <v>73</v>
      </c>
      <c r="G26" s="88" t="s">
        <v>315</v>
      </c>
      <c r="H26" s="87"/>
      <c r="I26" s="87">
        <v>12.0</v>
      </c>
      <c r="J26" s="87" t="s">
        <v>4223</v>
      </c>
      <c r="K26" s="87" t="s">
        <v>4222</v>
      </c>
      <c r="L26" s="87" t="s">
        <v>4224</v>
      </c>
      <c r="M26" s="86" t="s">
        <v>298</v>
      </c>
      <c r="N26" s="87" t="s">
        <v>2973</v>
      </c>
      <c r="O26" s="87"/>
      <c r="P26" s="87">
        <v>2019.0</v>
      </c>
      <c r="Q26" s="87" t="s">
        <v>3795</v>
      </c>
      <c r="R26" s="87" t="s">
        <v>3796</v>
      </c>
      <c r="S26" s="87" t="s">
        <v>1805</v>
      </c>
      <c r="T26" s="87" t="s">
        <v>2673</v>
      </c>
      <c r="U26" s="86" t="s">
        <v>1807</v>
      </c>
      <c r="V26" s="87">
        <v>4.0</v>
      </c>
      <c r="W26" s="87"/>
      <c r="X26" s="87"/>
      <c r="Y26" s="87"/>
      <c r="Z26" s="89" t="s">
        <v>564</v>
      </c>
      <c r="AA26" s="89" t="s">
        <v>2687</v>
      </c>
      <c r="AB26" s="46" t="s">
        <v>4123</v>
      </c>
      <c r="AC26" s="89" t="s">
        <v>564</v>
      </c>
      <c r="AD26" s="89" t="s">
        <v>565</v>
      </c>
      <c r="AE26" s="87"/>
      <c r="AF26" s="89" t="s">
        <v>2728</v>
      </c>
      <c r="AG26" s="46" t="s">
        <v>4117</v>
      </c>
      <c r="AH26" s="87" t="s">
        <v>4225</v>
      </c>
      <c r="AI26" s="86">
        <v>2019.0</v>
      </c>
      <c r="AJ26" s="86">
        <v>2019.0</v>
      </c>
      <c r="AK26" s="86" t="s">
        <v>70</v>
      </c>
      <c r="AL26" s="86"/>
      <c r="AM26" s="86"/>
      <c r="AN26" s="86"/>
      <c r="AO26" s="86"/>
      <c r="AP26" s="86"/>
      <c r="AQ26" s="86"/>
    </row>
    <row r="27">
      <c r="A27" s="86">
        <v>25.0</v>
      </c>
      <c r="B27" s="87" t="s">
        <v>4226</v>
      </c>
      <c r="C27" s="87" t="s">
        <v>3155</v>
      </c>
      <c r="D27" s="87" t="s">
        <v>2682</v>
      </c>
      <c r="E27" s="88" t="s">
        <v>298</v>
      </c>
      <c r="F27" s="86" t="s">
        <v>73</v>
      </c>
      <c r="G27" s="88" t="s">
        <v>315</v>
      </c>
      <c r="H27" s="87"/>
      <c r="I27" s="87">
        <v>8.0</v>
      </c>
      <c r="J27" s="87" t="s">
        <v>4227</v>
      </c>
      <c r="K27" s="87" t="s">
        <v>4226</v>
      </c>
      <c r="L27" s="87" t="s">
        <v>4228</v>
      </c>
      <c r="M27" s="86" t="s">
        <v>298</v>
      </c>
      <c r="N27" s="87" t="s">
        <v>3155</v>
      </c>
      <c r="O27" s="87"/>
      <c r="P27" s="87">
        <v>2019.0</v>
      </c>
      <c r="Q27" s="87" t="s">
        <v>3435</v>
      </c>
      <c r="R27" s="87" t="s">
        <v>3436</v>
      </c>
      <c r="S27" s="87" t="s">
        <v>1805</v>
      </c>
      <c r="T27" s="87" t="s">
        <v>2673</v>
      </c>
      <c r="U27" s="86" t="s">
        <v>1807</v>
      </c>
      <c r="V27" s="87">
        <v>4.0</v>
      </c>
      <c r="W27" s="87"/>
      <c r="X27" s="87"/>
      <c r="Y27" s="87"/>
      <c r="Z27" s="89" t="s">
        <v>564</v>
      </c>
      <c r="AA27" s="89" t="s">
        <v>2687</v>
      </c>
      <c r="AB27" s="46" t="s">
        <v>4123</v>
      </c>
      <c r="AC27" s="89" t="s">
        <v>564</v>
      </c>
      <c r="AD27" s="89" t="s">
        <v>565</v>
      </c>
      <c r="AE27" s="87"/>
      <c r="AF27" s="89" t="s">
        <v>2728</v>
      </c>
      <c r="AG27" s="46" t="s">
        <v>4117</v>
      </c>
      <c r="AH27" s="87" t="s">
        <v>4229</v>
      </c>
      <c r="AI27" s="86">
        <v>2019.0</v>
      </c>
      <c r="AJ27" s="86">
        <v>2019.0</v>
      </c>
      <c r="AK27" s="86" t="s">
        <v>70</v>
      </c>
      <c r="AL27" s="86"/>
      <c r="AM27" s="86"/>
      <c r="AN27" s="86"/>
      <c r="AO27" s="86"/>
      <c r="AP27" s="86"/>
      <c r="AQ27" s="86"/>
    </row>
    <row r="28">
      <c r="A28" s="86">
        <v>26.0</v>
      </c>
      <c r="B28" s="87" t="s">
        <v>4230</v>
      </c>
      <c r="C28" s="87" t="s">
        <v>4231</v>
      </c>
      <c r="D28" s="87" t="s">
        <v>3024</v>
      </c>
      <c r="E28" s="88" t="s">
        <v>298</v>
      </c>
      <c r="F28" s="86" t="s">
        <v>73</v>
      </c>
      <c r="G28" s="88" t="s">
        <v>315</v>
      </c>
      <c r="H28" s="87"/>
      <c r="I28" s="87">
        <v>4.0</v>
      </c>
      <c r="J28" s="87" t="s">
        <v>4232</v>
      </c>
      <c r="K28" s="87" t="s">
        <v>4230</v>
      </c>
      <c r="L28" s="87" t="s">
        <v>4233</v>
      </c>
      <c r="M28" s="86" t="s">
        <v>298</v>
      </c>
      <c r="N28" s="87" t="s">
        <v>4231</v>
      </c>
      <c r="O28" s="87"/>
      <c r="P28" s="87">
        <v>2020.0</v>
      </c>
      <c r="Q28" s="87" t="s">
        <v>4114</v>
      </c>
      <c r="R28" s="87" t="s">
        <v>4115</v>
      </c>
      <c r="S28" s="87" t="s">
        <v>1805</v>
      </c>
      <c r="T28" s="87" t="s">
        <v>2673</v>
      </c>
      <c r="U28" s="86" t="s">
        <v>1807</v>
      </c>
      <c r="V28" s="87">
        <v>3.0</v>
      </c>
      <c r="W28" s="87"/>
      <c r="X28" s="87"/>
      <c r="Y28" s="87"/>
      <c r="Z28" s="89" t="s">
        <v>564</v>
      </c>
      <c r="AA28" s="46" t="s">
        <v>4116</v>
      </c>
      <c r="AB28" s="89" t="s">
        <v>2711</v>
      </c>
      <c r="AC28" s="89" t="s">
        <v>564</v>
      </c>
      <c r="AD28" s="89" t="s">
        <v>565</v>
      </c>
      <c r="AE28" s="87"/>
      <c r="AF28" s="89" t="s">
        <v>2728</v>
      </c>
      <c r="AG28" s="46" t="s">
        <v>4117</v>
      </c>
      <c r="AH28" s="87" t="s">
        <v>4234</v>
      </c>
      <c r="AI28" s="86">
        <v>2020.0</v>
      </c>
      <c r="AJ28" s="86">
        <v>2020.0</v>
      </c>
      <c r="AK28" s="86" t="s">
        <v>70</v>
      </c>
      <c r="AL28" s="86"/>
      <c r="AM28" s="86"/>
      <c r="AN28" s="86"/>
      <c r="AO28" s="86"/>
      <c r="AP28" s="86"/>
      <c r="AQ28" s="86"/>
    </row>
    <row r="29">
      <c r="A29" s="86">
        <v>27.0</v>
      </c>
      <c r="B29" s="87" t="s">
        <v>4235</v>
      </c>
      <c r="C29" s="87" t="s">
        <v>4236</v>
      </c>
      <c r="D29" s="87" t="s">
        <v>2682</v>
      </c>
      <c r="E29" s="88" t="s">
        <v>298</v>
      </c>
      <c r="F29" s="86" t="s">
        <v>73</v>
      </c>
      <c r="G29" s="88" t="s">
        <v>315</v>
      </c>
      <c r="H29" s="87"/>
      <c r="I29" s="87">
        <v>2.0</v>
      </c>
      <c r="J29" s="87" t="s">
        <v>4237</v>
      </c>
      <c r="K29" s="87" t="s">
        <v>4235</v>
      </c>
      <c r="L29" s="87" t="s">
        <v>4238</v>
      </c>
      <c r="M29" s="86" t="s">
        <v>298</v>
      </c>
      <c r="N29" s="87" t="s">
        <v>4236</v>
      </c>
      <c r="O29" s="87"/>
      <c r="P29" s="87">
        <v>2015.0</v>
      </c>
      <c r="Q29" s="87" t="s">
        <v>2977</v>
      </c>
      <c r="R29" s="87" t="s">
        <v>2978</v>
      </c>
      <c r="S29" s="87" t="s">
        <v>1805</v>
      </c>
      <c r="T29" s="87" t="s">
        <v>2673</v>
      </c>
      <c r="U29" s="86" t="s">
        <v>1807</v>
      </c>
      <c r="V29" s="87">
        <v>4.0</v>
      </c>
      <c r="W29" s="87"/>
      <c r="X29" s="87"/>
      <c r="Y29" s="87"/>
      <c r="Z29" s="89" t="s">
        <v>564</v>
      </c>
      <c r="AA29" s="89" t="s">
        <v>2687</v>
      </c>
      <c r="AB29" s="46" t="s">
        <v>4123</v>
      </c>
      <c r="AC29" s="89" t="s">
        <v>564</v>
      </c>
      <c r="AD29" s="89" t="s">
        <v>565</v>
      </c>
      <c r="AE29" s="87"/>
      <c r="AF29" s="89" t="s">
        <v>2728</v>
      </c>
      <c r="AG29" s="46" t="s">
        <v>4117</v>
      </c>
      <c r="AH29" s="87" t="s">
        <v>4239</v>
      </c>
      <c r="AI29" s="86">
        <v>2015.0</v>
      </c>
      <c r="AJ29" s="86">
        <v>2015.0</v>
      </c>
      <c r="AK29" s="86" t="s">
        <v>70</v>
      </c>
      <c r="AL29" s="86"/>
      <c r="AM29" s="86"/>
      <c r="AN29" s="86"/>
      <c r="AO29" s="86"/>
      <c r="AP29" s="86"/>
      <c r="AQ29" s="86"/>
    </row>
    <row r="30">
      <c r="A30" s="86">
        <v>28.0</v>
      </c>
      <c r="B30" s="87" t="s">
        <v>4240</v>
      </c>
      <c r="C30" s="87" t="s">
        <v>4148</v>
      </c>
      <c r="D30" s="87" t="s">
        <v>2682</v>
      </c>
      <c r="E30" s="88" t="s">
        <v>298</v>
      </c>
      <c r="F30" s="86" t="s">
        <v>73</v>
      </c>
      <c r="G30" s="88" t="s">
        <v>315</v>
      </c>
      <c r="H30" s="87"/>
      <c r="I30" s="87">
        <v>15.0</v>
      </c>
      <c r="J30" s="87" t="s">
        <v>4241</v>
      </c>
      <c r="K30" s="87" t="s">
        <v>4240</v>
      </c>
      <c r="L30" s="87" t="s">
        <v>4242</v>
      </c>
      <c r="M30" s="86" t="s">
        <v>298</v>
      </c>
      <c r="N30" s="87" t="s">
        <v>4148</v>
      </c>
      <c r="O30" s="87"/>
      <c r="P30" s="87">
        <v>2020.0</v>
      </c>
      <c r="Q30" s="87" t="s">
        <v>3233</v>
      </c>
      <c r="R30" s="87" t="s">
        <v>3234</v>
      </c>
      <c r="S30" s="87" t="s">
        <v>1805</v>
      </c>
      <c r="T30" s="87" t="s">
        <v>2673</v>
      </c>
      <c r="U30" s="86" t="s">
        <v>1807</v>
      </c>
      <c r="V30" s="87">
        <v>4.0</v>
      </c>
      <c r="W30" s="87"/>
      <c r="X30" s="87"/>
      <c r="Y30" s="87"/>
      <c r="Z30" s="89" t="s">
        <v>564</v>
      </c>
      <c r="AA30" s="89" t="s">
        <v>2687</v>
      </c>
      <c r="AB30" s="46" t="s">
        <v>4123</v>
      </c>
      <c r="AC30" s="89" t="s">
        <v>564</v>
      </c>
      <c r="AD30" s="89" t="s">
        <v>565</v>
      </c>
      <c r="AE30" s="87"/>
      <c r="AF30" s="89" t="s">
        <v>2728</v>
      </c>
      <c r="AG30" s="46" t="s">
        <v>4117</v>
      </c>
      <c r="AH30" s="87" t="s">
        <v>4243</v>
      </c>
      <c r="AI30" s="86">
        <v>2020.0</v>
      </c>
      <c r="AJ30" s="86">
        <v>2020.0</v>
      </c>
      <c r="AK30" s="86" t="s">
        <v>70</v>
      </c>
      <c r="AL30" s="86"/>
      <c r="AM30" s="86"/>
      <c r="AN30" s="86"/>
      <c r="AO30" s="86"/>
      <c r="AP30" s="86"/>
      <c r="AQ30" s="86"/>
    </row>
    <row r="31">
      <c r="A31" s="86">
        <v>29.0</v>
      </c>
      <c r="B31" s="87" t="s">
        <v>4244</v>
      </c>
      <c r="C31" s="87" t="s">
        <v>4195</v>
      </c>
      <c r="D31" s="87" t="s">
        <v>2682</v>
      </c>
      <c r="E31" s="88" t="s">
        <v>298</v>
      </c>
      <c r="F31" s="86" t="s">
        <v>73</v>
      </c>
      <c r="G31" s="13" t="s">
        <v>315</v>
      </c>
      <c r="H31" s="87"/>
      <c r="I31" s="87">
        <v>55.0</v>
      </c>
      <c r="J31" s="87" t="s">
        <v>4245</v>
      </c>
      <c r="K31" s="87" t="s">
        <v>4244</v>
      </c>
      <c r="L31" s="87" t="s">
        <v>4197</v>
      </c>
      <c r="M31" s="86" t="s">
        <v>298</v>
      </c>
      <c r="N31" s="87" t="s">
        <v>4195</v>
      </c>
      <c r="O31" s="87"/>
      <c r="P31" s="87">
        <v>2008.0</v>
      </c>
      <c r="Q31" s="87" t="s">
        <v>3135</v>
      </c>
      <c r="R31" s="87" t="s">
        <v>3136</v>
      </c>
      <c r="S31" s="87" t="s">
        <v>1805</v>
      </c>
      <c r="T31" s="87" t="s">
        <v>2673</v>
      </c>
      <c r="U31" s="86" t="s">
        <v>1807</v>
      </c>
      <c r="V31" s="87">
        <v>4.0</v>
      </c>
      <c r="W31" s="87"/>
      <c r="X31" s="87"/>
      <c r="Y31" s="87"/>
      <c r="Z31" s="89" t="s">
        <v>564</v>
      </c>
      <c r="AA31" s="89" t="s">
        <v>2687</v>
      </c>
      <c r="AB31" s="46" t="s">
        <v>4123</v>
      </c>
      <c r="AC31" s="89" t="s">
        <v>564</v>
      </c>
      <c r="AD31" s="89" t="s">
        <v>565</v>
      </c>
      <c r="AE31" s="87"/>
      <c r="AF31" s="89" t="s">
        <v>2728</v>
      </c>
      <c r="AG31" s="46" t="s">
        <v>4117</v>
      </c>
      <c r="AH31" s="87" t="s">
        <v>4198</v>
      </c>
      <c r="AI31" s="86">
        <v>2008.0</v>
      </c>
      <c r="AJ31" s="86">
        <v>2008.0</v>
      </c>
      <c r="AK31" s="86" t="s">
        <v>70</v>
      </c>
      <c r="AL31" s="86"/>
      <c r="AM31" s="86"/>
      <c r="AN31" s="86"/>
      <c r="AO31" s="86"/>
      <c r="AP31" s="86"/>
      <c r="AQ31" s="86"/>
    </row>
    <row r="32">
      <c r="A32" s="86">
        <v>30.0</v>
      </c>
      <c r="B32" s="87" t="s">
        <v>4246</v>
      </c>
      <c r="C32" s="87" t="s">
        <v>4247</v>
      </c>
      <c r="D32" s="87" t="s">
        <v>2682</v>
      </c>
      <c r="E32" s="88" t="s">
        <v>298</v>
      </c>
      <c r="F32" s="86" t="s">
        <v>73</v>
      </c>
      <c r="G32" s="88" t="s">
        <v>315</v>
      </c>
      <c r="H32" s="87"/>
      <c r="I32" s="87">
        <v>34.0</v>
      </c>
      <c r="J32" s="87" t="s">
        <v>4248</v>
      </c>
      <c r="K32" s="87" t="s">
        <v>4246</v>
      </c>
      <c r="L32" s="87" t="s">
        <v>4249</v>
      </c>
      <c r="M32" s="86" t="s">
        <v>298</v>
      </c>
      <c r="N32" s="87" t="s">
        <v>4247</v>
      </c>
      <c r="O32" s="87"/>
      <c r="P32" s="87">
        <v>2008.0</v>
      </c>
      <c r="Q32" s="87" t="s">
        <v>3135</v>
      </c>
      <c r="R32" s="87" t="s">
        <v>3136</v>
      </c>
      <c r="S32" s="87" t="s">
        <v>1805</v>
      </c>
      <c r="T32" s="87" t="s">
        <v>2673</v>
      </c>
      <c r="U32" s="86" t="s">
        <v>1807</v>
      </c>
      <c r="V32" s="87">
        <v>4.0</v>
      </c>
      <c r="W32" s="87"/>
      <c r="X32" s="87"/>
      <c r="Y32" s="87"/>
      <c r="Z32" s="89" t="s">
        <v>564</v>
      </c>
      <c r="AA32" s="89" t="s">
        <v>2687</v>
      </c>
      <c r="AB32" s="46" t="s">
        <v>4123</v>
      </c>
      <c r="AC32" s="89" t="s">
        <v>564</v>
      </c>
      <c r="AD32" s="89" t="s">
        <v>565</v>
      </c>
      <c r="AE32" s="87"/>
      <c r="AF32" s="89" t="s">
        <v>2728</v>
      </c>
      <c r="AG32" s="46" t="s">
        <v>4117</v>
      </c>
      <c r="AH32" s="87" t="s">
        <v>4250</v>
      </c>
      <c r="AI32" s="86">
        <v>2008.0</v>
      </c>
      <c r="AJ32" s="86">
        <v>2008.0</v>
      </c>
      <c r="AK32" s="86" t="s">
        <v>70</v>
      </c>
      <c r="AL32" s="86"/>
      <c r="AM32" s="86"/>
      <c r="AN32" s="86"/>
      <c r="AO32" s="86"/>
      <c r="AP32" s="86"/>
      <c r="AQ32" s="86"/>
    </row>
    <row r="33">
      <c r="A33" s="86">
        <v>31.0</v>
      </c>
      <c r="B33" s="87" t="s">
        <v>4251</v>
      </c>
      <c r="C33" s="87" t="s">
        <v>4126</v>
      </c>
      <c r="D33" s="87" t="s">
        <v>2682</v>
      </c>
      <c r="E33" s="88" t="s">
        <v>298</v>
      </c>
      <c r="F33" s="86" t="s">
        <v>73</v>
      </c>
      <c r="G33" s="88" t="s">
        <v>315</v>
      </c>
      <c r="H33" s="87"/>
      <c r="I33" s="87">
        <v>18.0</v>
      </c>
      <c r="J33" s="87" t="s">
        <v>4252</v>
      </c>
      <c r="K33" s="87" t="s">
        <v>4251</v>
      </c>
      <c r="L33" s="87" t="s">
        <v>4253</v>
      </c>
      <c r="M33" s="86" t="s">
        <v>298</v>
      </c>
      <c r="N33" s="87" t="s">
        <v>4126</v>
      </c>
      <c r="O33" s="87"/>
      <c r="P33" s="87">
        <v>2020.0</v>
      </c>
      <c r="Q33" s="87" t="s">
        <v>3370</v>
      </c>
      <c r="R33" s="87" t="s">
        <v>3371</v>
      </c>
      <c r="S33" s="87" t="s">
        <v>1805</v>
      </c>
      <c r="T33" s="87" t="s">
        <v>2673</v>
      </c>
      <c r="U33" s="86" t="s">
        <v>1807</v>
      </c>
      <c r="V33" s="87">
        <v>4.0</v>
      </c>
      <c r="W33" s="87"/>
      <c r="X33" s="87"/>
      <c r="Y33" s="87"/>
      <c r="Z33" s="89" t="s">
        <v>564</v>
      </c>
      <c r="AA33" s="89" t="s">
        <v>2687</v>
      </c>
      <c r="AB33" s="46" t="s">
        <v>4123</v>
      </c>
      <c r="AC33" s="89" t="s">
        <v>564</v>
      </c>
      <c r="AD33" s="89" t="s">
        <v>565</v>
      </c>
      <c r="AE33" s="87"/>
      <c r="AF33" s="89" t="s">
        <v>2728</v>
      </c>
      <c r="AG33" s="46" t="s">
        <v>4117</v>
      </c>
      <c r="AH33" s="87" t="s">
        <v>4254</v>
      </c>
      <c r="AI33" s="86">
        <v>2020.0</v>
      </c>
      <c r="AJ33" s="86">
        <v>2020.0</v>
      </c>
      <c r="AK33" s="86" t="s">
        <v>70</v>
      </c>
      <c r="AL33" s="86"/>
      <c r="AM33" s="86"/>
      <c r="AN33" s="86"/>
      <c r="AO33" s="86"/>
      <c r="AP33" s="86"/>
      <c r="AQ33" s="86"/>
    </row>
    <row r="34">
      <c r="A34" s="86">
        <v>32.0</v>
      </c>
      <c r="B34" s="87" t="s">
        <v>4255</v>
      </c>
      <c r="C34" s="87" t="s">
        <v>4256</v>
      </c>
      <c r="D34" s="87" t="s">
        <v>3499</v>
      </c>
      <c r="E34" s="88" t="s">
        <v>298</v>
      </c>
      <c r="F34" s="86" t="s">
        <v>73</v>
      </c>
      <c r="G34" s="88" t="s">
        <v>315</v>
      </c>
      <c r="H34" s="87"/>
      <c r="I34" s="87">
        <v>78.0</v>
      </c>
      <c r="J34" s="87" t="s">
        <v>4257</v>
      </c>
      <c r="K34" s="87" t="s">
        <v>4255</v>
      </c>
      <c r="L34" s="87" t="s">
        <v>4258</v>
      </c>
      <c r="M34" s="86" t="s">
        <v>298</v>
      </c>
      <c r="N34" s="87" t="s">
        <v>4256</v>
      </c>
      <c r="O34" s="87"/>
      <c r="P34" s="87">
        <v>1992.0</v>
      </c>
      <c r="Q34" s="87" t="s">
        <v>4114</v>
      </c>
      <c r="R34" s="87" t="s">
        <v>4115</v>
      </c>
      <c r="S34" s="87" t="s">
        <v>1805</v>
      </c>
      <c r="T34" s="87" t="s">
        <v>2673</v>
      </c>
      <c r="U34" s="86" t="s">
        <v>1807</v>
      </c>
      <c r="V34" s="87">
        <v>3.0</v>
      </c>
      <c r="W34" s="87"/>
      <c r="X34" s="87"/>
      <c r="Y34" s="87"/>
      <c r="Z34" s="89" t="s">
        <v>564</v>
      </c>
      <c r="AA34" s="89" t="s">
        <v>2674</v>
      </c>
      <c r="AB34" s="89" t="s">
        <v>2675</v>
      </c>
      <c r="AC34" s="89" t="s">
        <v>564</v>
      </c>
      <c r="AD34" s="89" t="s">
        <v>565</v>
      </c>
      <c r="AE34" s="87"/>
      <c r="AF34" s="89" t="s">
        <v>2728</v>
      </c>
      <c r="AG34" s="46" t="s">
        <v>4117</v>
      </c>
      <c r="AH34" s="87" t="s">
        <v>4259</v>
      </c>
      <c r="AI34" s="86">
        <v>1992.0</v>
      </c>
      <c r="AJ34" s="86">
        <v>1992.0</v>
      </c>
      <c r="AK34" s="86" t="s">
        <v>70</v>
      </c>
      <c r="AL34" s="86"/>
      <c r="AM34" s="86"/>
      <c r="AN34" s="86"/>
      <c r="AO34" s="86"/>
      <c r="AP34" s="86"/>
      <c r="AQ34" s="86"/>
    </row>
    <row r="35">
      <c r="A35" s="86">
        <v>33.0</v>
      </c>
      <c r="B35" s="87" t="s">
        <v>4260</v>
      </c>
      <c r="C35" s="87" t="s">
        <v>3155</v>
      </c>
      <c r="D35" s="87" t="s">
        <v>2682</v>
      </c>
      <c r="E35" s="88" t="s">
        <v>298</v>
      </c>
      <c r="F35" s="86" t="s">
        <v>73</v>
      </c>
      <c r="G35" s="88" t="s">
        <v>315</v>
      </c>
      <c r="H35" s="87"/>
      <c r="I35" s="87">
        <v>3.0</v>
      </c>
      <c r="J35" s="87" t="s">
        <v>4261</v>
      </c>
      <c r="K35" s="87" t="s">
        <v>4260</v>
      </c>
      <c r="L35" s="87" t="s">
        <v>4262</v>
      </c>
      <c r="M35" s="86" t="s">
        <v>298</v>
      </c>
      <c r="N35" s="87" t="s">
        <v>3155</v>
      </c>
      <c r="O35" s="87"/>
      <c r="P35" s="87">
        <v>2015.0</v>
      </c>
      <c r="Q35" s="87" t="s">
        <v>3435</v>
      </c>
      <c r="R35" s="87" t="s">
        <v>3436</v>
      </c>
      <c r="S35" s="87" t="s">
        <v>1805</v>
      </c>
      <c r="T35" s="87" t="s">
        <v>2673</v>
      </c>
      <c r="U35" s="86" t="s">
        <v>1807</v>
      </c>
      <c r="V35" s="87">
        <v>4.0</v>
      </c>
      <c r="W35" s="87"/>
      <c r="X35" s="87"/>
      <c r="Y35" s="87"/>
      <c r="Z35" s="89" t="s">
        <v>564</v>
      </c>
      <c r="AA35" s="89" t="s">
        <v>2687</v>
      </c>
      <c r="AB35" s="46" t="s">
        <v>4123</v>
      </c>
      <c r="AC35" s="89" t="s">
        <v>564</v>
      </c>
      <c r="AD35" s="89" t="s">
        <v>565</v>
      </c>
      <c r="AE35" s="87"/>
      <c r="AF35" s="89" t="s">
        <v>2728</v>
      </c>
      <c r="AG35" s="46" t="s">
        <v>4117</v>
      </c>
      <c r="AH35" s="87" t="s">
        <v>4263</v>
      </c>
      <c r="AI35" s="86">
        <v>2015.0</v>
      </c>
      <c r="AJ35" s="86">
        <v>2015.0</v>
      </c>
      <c r="AK35" s="86" t="s">
        <v>70</v>
      </c>
      <c r="AL35" s="86"/>
      <c r="AM35" s="86"/>
      <c r="AN35" s="86"/>
      <c r="AO35" s="86"/>
      <c r="AP35" s="86"/>
      <c r="AQ35" s="86"/>
    </row>
    <row r="36">
      <c r="A36" s="86">
        <v>34.0</v>
      </c>
      <c r="B36" s="87" t="s">
        <v>4264</v>
      </c>
      <c r="C36" s="87" t="s">
        <v>4265</v>
      </c>
      <c r="D36" s="87" t="s">
        <v>3024</v>
      </c>
      <c r="E36" s="88" t="s">
        <v>298</v>
      </c>
      <c r="F36" s="86" t="s">
        <v>73</v>
      </c>
      <c r="G36" s="88" t="s">
        <v>315</v>
      </c>
      <c r="H36" s="87"/>
      <c r="I36" s="87">
        <v>73.0</v>
      </c>
      <c r="J36" s="87" t="s">
        <v>4266</v>
      </c>
      <c r="K36" s="87" t="s">
        <v>4264</v>
      </c>
      <c r="L36" s="87" t="s">
        <v>4267</v>
      </c>
      <c r="M36" s="86" t="s">
        <v>298</v>
      </c>
      <c r="N36" s="87" t="s">
        <v>4265</v>
      </c>
      <c r="O36" s="87"/>
      <c r="P36" s="87">
        <v>2023.0</v>
      </c>
      <c r="Q36" s="87" t="s">
        <v>4114</v>
      </c>
      <c r="R36" s="87" t="s">
        <v>4115</v>
      </c>
      <c r="S36" s="87" t="s">
        <v>1805</v>
      </c>
      <c r="T36" s="87" t="s">
        <v>2673</v>
      </c>
      <c r="U36" s="86" t="s">
        <v>1807</v>
      </c>
      <c r="V36" s="87">
        <v>3.0</v>
      </c>
      <c r="W36" s="87"/>
      <c r="X36" s="87"/>
      <c r="Y36" s="87"/>
      <c r="Z36" s="89" t="s">
        <v>564</v>
      </c>
      <c r="AA36" s="46" t="s">
        <v>4116</v>
      </c>
      <c r="AB36" s="89" t="s">
        <v>2711</v>
      </c>
      <c r="AC36" s="89" t="s">
        <v>564</v>
      </c>
      <c r="AD36" s="89" t="s">
        <v>565</v>
      </c>
      <c r="AE36" s="87"/>
      <c r="AF36" s="89" t="s">
        <v>2728</v>
      </c>
      <c r="AG36" s="46" t="s">
        <v>4117</v>
      </c>
      <c r="AH36" s="87" t="s">
        <v>4268</v>
      </c>
      <c r="AI36" s="86">
        <v>2023.0</v>
      </c>
      <c r="AJ36" s="86">
        <v>2023.0</v>
      </c>
      <c r="AK36" s="86" t="s">
        <v>70</v>
      </c>
      <c r="AL36" s="86"/>
      <c r="AM36" s="86"/>
      <c r="AN36" s="86"/>
      <c r="AO36" s="86"/>
      <c r="AP36" s="86"/>
      <c r="AQ36" s="86"/>
    </row>
    <row r="37">
      <c r="A37" s="86">
        <v>35.0</v>
      </c>
      <c r="B37" s="87" t="s">
        <v>4269</v>
      </c>
      <c r="C37" s="87" t="s">
        <v>4270</v>
      </c>
      <c r="D37" s="87" t="s">
        <v>3024</v>
      </c>
      <c r="E37" s="88" t="s">
        <v>298</v>
      </c>
      <c r="F37" s="86" t="s">
        <v>73</v>
      </c>
      <c r="G37" s="88" t="s">
        <v>315</v>
      </c>
      <c r="H37" s="87"/>
      <c r="I37" s="87">
        <v>15.0</v>
      </c>
      <c r="J37" s="87" t="s">
        <v>4271</v>
      </c>
      <c r="K37" s="87" t="s">
        <v>4269</v>
      </c>
      <c r="L37" s="87" t="s">
        <v>4272</v>
      </c>
      <c r="M37" s="86" t="s">
        <v>298</v>
      </c>
      <c r="N37" s="87" t="s">
        <v>4270</v>
      </c>
      <c r="O37" s="87"/>
      <c r="P37" s="87">
        <v>2020.0</v>
      </c>
      <c r="Q37" s="87" t="s">
        <v>4114</v>
      </c>
      <c r="R37" s="87" t="s">
        <v>4115</v>
      </c>
      <c r="S37" s="87" t="s">
        <v>1805</v>
      </c>
      <c r="T37" s="87" t="s">
        <v>2673</v>
      </c>
      <c r="U37" s="86" t="s">
        <v>1807</v>
      </c>
      <c r="V37" s="87">
        <v>3.0</v>
      </c>
      <c r="W37" s="87"/>
      <c r="X37" s="87"/>
      <c r="Y37" s="87"/>
      <c r="Z37" s="89" t="s">
        <v>564</v>
      </c>
      <c r="AA37" s="46" t="s">
        <v>4116</v>
      </c>
      <c r="AB37" s="89" t="s">
        <v>2711</v>
      </c>
      <c r="AC37" s="89" t="s">
        <v>564</v>
      </c>
      <c r="AD37" s="89" t="s">
        <v>565</v>
      </c>
      <c r="AE37" s="87"/>
      <c r="AF37" s="89" t="s">
        <v>2728</v>
      </c>
      <c r="AG37" s="46" t="s">
        <v>4117</v>
      </c>
      <c r="AH37" s="87" t="s">
        <v>4273</v>
      </c>
      <c r="AI37" s="86">
        <v>2020.0</v>
      </c>
      <c r="AJ37" s="86">
        <v>2020.0</v>
      </c>
      <c r="AK37" s="86" t="s">
        <v>70</v>
      </c>
      <c r="AL37" s="86"/>
      <c r="AM37" s="86"/>
      <c r="AN37" s="86"/>
      <c r="AO37" s="86"/>
      <c r="AP37" s="86"/>
      <c r="AQ37" s="86"/>
    </row>
    <row r="38">
      <c r="A38" s="86">
        <v>36.0</v>
      </c>
      <c r="B38" s="87" t="s">
        <v>4274</v>
      </c>
      <c r="C38" s="87" t="s">
        <v>4275</v>
      </c>
      <c r="D38" s="87" t="s">
        <v>3024</v>
      </c>
      <c r="E38" s="88" t="s">
        <v>298</v>
      </c>
      <c r="F38" s="86" t="s">
        <v>73</v>
      </c>
      <c r="G38" s="88" t="s">
        <v>315</v>
      </c>
      <c r="H38" s="87"/>
      <c r="I38" s="87">
        <v>2.0</v>
      </c>
      <c r="J38" s="87" t="s">
        <v>4276</v>
      </c>
      <c r="K38" s="87" t="s">
        <v>4274</v>
      </c>
      <c r="L38" s="87" t="s">
        <v>4277</v>
      </c>
      <c r="M38" s="86" t="s">
        <v>298</v>
      </c>
      <c r="N38" s="87" t="s">
        <v>4275</v>
      </c>
      <c r="O38" s="87"/>
      <c r="P38" s="87">
        <v>1965.0</v>
      </c>
      <c r="Q38" s="87" t="s">
        <v>4114</v>
      </c>
      <c r="R38" s="87" t="s">
        <v>4115</v>
      </c>
      <c r="S38" s="87" t="s">
        <v>1805</v>
      </c>
      <c r="T38" s="87" t="s">
        <v>2673</v>
      </c>
      <c r="U38" s="86" t="s">
        <v>1807</v>
      </c>
      <c r="V38" s="87">
        <v>3.0</v>
      </c>
      <c r="W38" s="87"/>
      <c r="X38" s="87"/>
      <c r="Y38" s="87"/>
      <c r="Z38" s="89" t="s">
        <v>564</v>
      </c>
      <c r="AA38" s="46" t="s">
        <v>4116</v>
      </c>
      <c r="AB38" s="89" t="s">
        <v>2711</v>
      </c>
      <c r="AC38" s="89" t="s">
        <v>564</v>
      </c>
      <c r="AD38" s="89" t="s">
        <v>565</v>
      </c>
      <c r="AE38" s="87"/>
      <c r="AF38" s="89" t="s">
        <v>2728</v>
      </c>
      <c r="AG38" s="46" t="s">
        <v>4117</v>
      </c>
      <c r="AH38" s="87" t="s">
        <v>4278</v>
      </c>
      <c r="AI38" s="86">
        <v>1965.0</v>
      </c>
      <c r="AJ38" s="86">
        <v>1965.0</v>
      </c>
      <c r="AK38" s="86" t="s">
        <v>70</v>
      </c>
      <c r="AL38" s="86"/>
      <c r="AM38" s="86"/>
      <c r="AN38" s="86"/>
      <c r="AO38" s="86"/>
      <c r="AP38" s="86"/>
      <c r="AQ38" s="86"/>
    </row>
    <row r="39">
      <c r="A39" s="86">
        <v>37.0</v>
      </c>
      <c r="B39" s="87" t="s">
        <v>4279</v>
      </c>
      <c r="C39" s="87" t="s">
        <v>4280</v>
      </c>
      <c r="D39" s="87" t="s">
        <v>2682</v>
      </c>
      <c r="E39" s="88" t="s">
        <v>298</v>
      </c>
      <c r="F39" s="86" t="s">
        <v>73</v>
      </c>
      <c r="G39" s="88" t="s">
        <v>315</v>
      </c>
      <c r="H39" s="87"/>
      <c r="I39" s="87">
        <v>36.0</v>
      </c>
      <c r="J39" s="87" t="s">
        <v>4281</v>
      </c>
      <c r="K39" s="87" t="s">
        <v>4279</v>
      </c>
      <c r="L39" s="87" t="s">
        <v>4282</v>
      </c>
      <c r="M39" s="86" t="s">
        <v>298</v>
      </c>
      <c r="N39" s="87" t="s">
        <v>4280</v>
      </c>
      <c r="O39" s="87"/>
      <c r="P39" s="87">
        <v>2001.0</v>
      </c>
      <c r="Q39" s="87" t="s">
        <v>3135</v>
      </c>
      <c r="R39" s="87" t="s">
        <v>3136</v>
      </c>
      <c r="S39" s="87" t="s">
        <v>1805</v>
      </c>
      <c r="T39" s="87" t="s">
        <v>2673</v>
      </c>
      <c r="U39" s="86" t="s">
        <v>1807</v>
      </c>
      <c r="V39" s="87">
        <v>4.0</v>
      </c>
      <c r="W39" s="87"/>
      <c r="X39" s="87"/>
      <c r="Y39" s="87"/>
      <c r="Z39" s="89" t="s">
        <v>564</v>
      </c>
      <c r="AA39" s="89" t="s">
        <v>2687</v>
      </c>
      <c r="AB39" s="46" t="s">
        <v>4283</v>
      </c>
      <c r="AC39" s="89" t="s">
        <v>564</v>
      </c>
      <c r="AD39" s="89" t="s">
        <v>565</v>
      </c>
      <c r="AE39" s="87"/>
      <c r="AF39" s="89" t="s">
        <v>2728</v>
      </c>
      <c r="AG39" s="46" t="s">
        <v>4117</v>
      </c>
      <c r="AH39" s="87" t="s">
        <v>4284</v>
      </c>
      <c r="AI39" s="86">
        <v>2001.0</v>
      </c>
      <c r="AJ39" s="86">
        <v>2001.0</v>
      </c>
      <c r="AK39" s="86" t="s">
        <v>70</v>
      </c>
      <c r="AL39" s="86"/>
      <c r="AM39" s="86"/>
      <c r="AN39" s="86"/>
      <c r="AO39" s="86"/>
      <c r="AP39" s="86"/>
      <c r="AQ39" s="86"/>
    </row>
    <row r="40">
      <c r="A40" s="86">
        <v>38.0</v>
      </c>
      <c r="B40" s="87" t="s">
        <v>4285</v>
      </c>
      <c r="C40" s="87" t="s">
        <v>3161</v>
      </c>
      <c r="D40" s="87" t="s">
        <v>2682</v>
      </c>
      <c r="E40" s="88" t="s">
        <v>298</v>
      </c>
      <c r="F40" s="86" t="s">
        <v>73</v>
      </c>
      <c r="G40" s="88" t="s">
        <v>315</v>
      </c>
      <c r="H40" s="87"/>
      <c r="I40" s="87">
        <v>59.0</v>
      </c>
      <c r="J40" s="87" t="s">
        <v>4286</v>
      </c>
      <c r="K40" s="87" t="s">
        <v>4285</v>
      </c>
      <c r="L40" s="87" t="s">
        <v>4287</v>
      </c>
      <c r="M40" s="86" t="s">
        <v>298</v>
      </c>
      <c r="N40" s="87" t="s">
        <v>3161</v>
      </c>
      <c r="O40" s="87"/>
      <c r="P40" s="87">
        <v>2010.0</v>
      </c>
      <c r="Q40" s="87" t="s">
        <v>4288</v>
      </c>
      <c r="R40" s="87" t="s">
        <v>3796</v>
      </c>
      <c r="S40" s="87" t="s">
        <v>1805</v>
      </c>
      <c r="T40" s="87" t="s">
        <v>2673</v>
      </c>
      <c r="U40" s="86" t="s">
        <v>1807</v>
      </c>
      <c r="V40" s="87">
        <v>4.0</v>
      </c>
      <c r="W40" s="87"/>
      <c r="X40" s="87"/>
      <c r="Y40" s="87"/>
      <c r="Z40" s="89" t="s">
        <v>564</v>
      </c>
      <c r="AA40" s="89" t="s">
        <v>2687</v>
      </c>
      <c r="AB40" s="46" t="s">
        <v>4283</v>
      </c>
      <c r="AC40" s="89" t="s">
        <v>564</v>
      </c>
      <c r="AD40" s="89" t="s">
        <v>565</v>
      </c>
      <c r="AE40" s="87"/>
      <c r="AF40" s="89" t="s">
        <v>2728</v>
      </c>
      <c r="AG40" s="46" t="s">
        <v>4117</v>
      </c>
      <c r="AH40" s="87" t="s">
        <v>4289</v>
      </c>
      <c r="AI40" s="86">
        <v>2010.0</v>
      </c>
      <c r="AJ40" s="86">
        <v>2010.0</v>
      </c>
      <c r="AK40" s="86" t="s">
        <v>70</v>
      </c>
      <c r="AL40" s="86"/>
      <c r="AM40" s="86"/>
      <c r="AN40" s="86"/>
      <c r="AO40" s="86"/>
      <c r="AP40" s="86"/>
      <c r="AQ40" s="86"/>
    </row>
    <row r="41">
      <c r="A41" s="86">
        <v>39.0</v>
      </c>
      <c r="B41" s="87" t="s">
        <v>4290</v>
      </c>
      <c r="C41" s="90" t="s">
        <v>4291</v>
      </c>
      <c r="D41" s="87" t="s">
        <v>2682</v>
      </c>
      <c r="E41" s="88" t="s">
        <v>298</v>
      </c>
      <c r="F41" s="86" t="s">
        <v>73</v>
      </c>
      <c r="G41" s="13" t="s">
        <v>315</v>
      </c>
      <c r="H41" s="87"/>
      <c r="I41" s="87">
        <v>58.0</v>
      </c>
      <c r="J41" s="90" t="s">
        <v>4292</v>
      </c>
      <c r="K41" s="87" t="s">
        <v>4290</v>
      </c>
      <c r="L41" s="87" t="s">
        <v>4293</v>
      </c>
      <c r="M41" s="86" t="s">
        <v>298</v>
      </c>
      <c r="N41" s="90" t="s">
        <v>4294</v>
      </c>
      <c r="O41" s="87"/>
      <c r="P41" s="87">
        <v>2017.0</v>
      </c>
      <c r="Q41" s="87" t="s">
        <v>3135</v>
      </c>
      <c r="R41" s="87" t="s">
        <v>3136</v>
      </c>
      <c r="S41" s="87" t="s">
        <v>1805</v>
      </c>
      <c r="T41" s="87" t="s">
        <v>2673</v>
      </c>
      <c r="U41" s="86" t="s">
        <v>1807</v>
      </c>
      <c r="V41" s="87">
        <v>4.0</v>
      </c>
      <c r="W41" s="87"/>
      <c r="X41" s="87"/>
      <c r="Y41" s="87"/>
      <c r="Z41" s="89" t="s">
        <v>564</v>
      </c>
      <c r="AA41" s="89" t="s">
        <v>2687</v>
      </c>
      <c r="AB41" s="46" t="s">
        <v>4123</v>
      </c>
      <c r="AC41" s="89" t="s">
        <v>564</v>
      </c>
      <c r="AD41" s="89" t="s">
        <v>565</v>
      </c>
      <c r="AE41" s="87"/>
      <c r="AF41" s="89" t="s">
        <v>2728</v>
      </c>
      <c r="AG41" s="46" t="s">
        <v>4117</v>
      </c>
      <c r="AH41" s="87" t="s">
        <v>4295</v>
      </c>
      <c r="AI41" s="86">
        <v>2017.0</v>
      </c>
      <c r="AJ41" s="86">
        <v>2017.0</v>
      </c>
      <c r="AK41" s="86" t="s">
        <v>70</v>
      </c>
      <c r="AL41" s="86"/>
      <c r="AM41" s="86"/>
      <c r="AN41" s="86"/>
      <c r="AO41" s="86"/>
      <c r="AP41" s="86"/>
      <c r="AQ41" s="86"/>
    </row>
    <row r="42">
      <c r="A42" s="86">
        <v>40.0</v>
      </c>
      <c r="B42" s="87" t="s">
        <v>4296</v>
      </c>
      <c r="C42" s="87" t="s">
        <v>2973</v>
      </c>
      <c r="D42" s="87" t="s">
        <v>2682</v>
      </c>
      <c r="E42" s="88" t="s">
        <v>298</v>
      </c>
      <c r="F42" s="86" t="s">
        <v>73</v>
      </c>
      <c r="G42" s="13" t="s">
        <v>315</v>
      </c>
      <c r="H42" s="87"/>
      <c r="I42" s="87">
        <v>4.0</v>
      </c>
      <c r="J42" s="90" t="s">
        <v>4297</v>
      </c>
      <c r="K42" s="87" t="s">
        <v>4296</v>
      </c>
      <c r="L42" s="87" t="s">
        <v>4298</v>
      </c>
      <c r="M42" s="86" t="s">
        <v>298</v>
      </c>
      <c r="N42" s="87" t="s">
        <v>2973</v>
      </c>
      <c r="O42" s="87"/>
      <c r="P42" s="87">
        <v>2017.0</v>
      </c>
      <c r="Q42" s="87" t="s">
        <v>3435</v>
      </c>
      <c r="R42" s="87" t="s">
        <v>3436</v>
      </c>
      <c r="S42" s="87" t="s">
        <v>1805</v>
      </c>
      <c r="T42" s="87" t="s">
        <v>2673</v>
      </c>
      <c r="U42" s="86" t="s">
        <v>1807</v>
      </c>
      <c r="V42" s="87">
        <v>4.0</v>
      </c>
      <c r="W42" s="87"/>
      <c r="X42" s="87"/>
      <c r="Y42" s="87"/>
      <c r="Z42" s="89" t="s">
        <v>564</v>
      </c>
      <c r="AA42" s="89" t="s">
        <v>2687</v>
      </c>
      <c r="AB42" s="46" t="s">
        <v>4123</v>
      </c>
      <c r="AC42" s="89" t="s">
        <v>564</v>
      </c>
      <c r="AD42" s="89" t="s">
        <v>565</v>
      </c>
      <c r="AE42" s="87"/>
      <c r="AF42" s="89" t="s">
        <v>2728</v>
      </c>
      <c r="AG42" s="46" t="s">
        <v>4117</v>
      </c>
      <c r="AH42" s="87" t="s">
        <v>4166</v>
      </c>
      <c r="AI42" s="86">
        <v>2017.0</v>
      </c>
      <c r="AJ42" s="86">
        <v>2017.0</v>
      </c>
      <c r="AK42" s="86" t="s">
        <v>70</v>
      </c>
      <c r="AL42" s="86"/>
      <c r="AM42" s="86"/>
      <c r="AN42" s="86"/>
      <c r="AO42" s="86"/>
      <c r="AP42" s="86"/>
      <c r="AQ42" s="86"/>
    </row>
    <row r="43">
      <c r="A43" s="86">
        <v>41.0</v>
      </c>
      <c r="B43" s="87" t="s">
        <v>4299</v>
      </c>
      <c r="C43" s="87" t="s">
        <v>4300</v>
      </c>
      <c r="D43" s="87" t="s">
        <v>2682</v>
      </c>
      <c r="E43" s="88" t="s">
        <v>298</v>
      </c>
      <c r="F43" s="86" t="s">
        <v>73</v>
      </c>
      <c r="G43" s="88" t="s">
        <v>315</v>
      </c>
      <c r="H43" s="87"/>
      <c r="I43" s="87">
        <v>14.0</v>
      </c>
      <c r="J43" s="87" t="s">
        <v>4301</v>
      </c>
      <c r="K43" s="87" t="s">
        <v>4299</v>
      </c>
      <c r="L43" s="87" t="s">
        <v>4302</v>
      </c>
      <c r="M43" s="86" t="s">
        <v>298</v>
      </c>
      <c r="N43" s="87" t="s">
        <v>4300</v>
      </c>
      <c r="O43" s="87"/>
      <c r="P43" s="87">
        <v>2017.0</v>
      </c>
      <c r="Q43" s="87" t="s">
        <v>3435</v>
      </c>
      <c r="R43" s="87" t="s">
        <v>3436</v>
      </c>
      <c r="S43" s="87" t="s">
        <v>1805</v>
      </c>
      <c r="T43" s="87" t="s">
        <v>2673</v>
      </c>
      <c r="U43" s="86" t="s">
        <v>1807</v>
      </c>
      <c r="V43" s="87">
        <v>4.0</v>
      </c>
      <c r="W43" s="87"/>
      <c r="X43" s="87"/>
      <c r="Y43" s="87"/>
      <c r="Z43" s="89" t="s">
        <v>564</v>
      </c>
      <c r="AA43" s="89" t="s">
        <v>2687</v>
      </c>
      <c r="AB43" s="46" t="s">
        <v>4123</v>
      </c>
      <c r="AC43" s="89" t="s">
        <v>564</v>
      </c>
      <c r="AD43" s="89" t="s">
        <v>565</v>
      </c>
      <c r="AE43" s="87"/>
      <c r="AF43" s="89" t="s">
        <v>2728</v>
      </c>
      <c r="AG43" s="46" t="s">
        <v>4117</v>
      </c>
      <c r="AH43" s="87" t="s">
        <v>4166</v>
      </c>
      <c r="AI43" s="86">
        <v>2017.0</v>
      </c>
      <c r="AJ43" s="86">
        <v>2017.0</v>
      </c>
      <c r="AK43" s="86" t="s">
        <v>70</v>
      </c>
      <c r="AL43" s="86"/>
      <c r="AM43" s="86"/>
      <c r="AN43" s="86"/>
      <c r="AO43" s="86"/>
      <c r="AP43" s="86"/>
      <c r="AQ43" s="86"/>
    </row>
    <row r="44">
      <c r="A44" s="86">
        <v>42.0</v>
      </c>
      <c r="B44" s="87" t="s">
        <v>4303</v>
      </c>
      <c r="C44" s="87" t="s">
        <v>4163</v>
      </c>
      <c r="D44" s="87" t="s">
        <v>2682</v>
      </c>
      <c r="E44" s="88" t="s">
        <v>298</v>
      </c>
      <c r="F44" s="86" t="s">
        <v>73</v>
      </c>
      <c r="G44" s="88" t="s">
        <v>315</v>
      </c>
      <c r="H44" s="87"/>
      <c r="I44" s="87">
        <v>6.0</v>
      </c>
      <c r="J44" s="87" t="s">
        <v>4304</v>
      </c>
      <c r="K44" s="87" t="s">
        <v>4303</v>
      </c>
      <c r="L44" s="87" t="s">
        <v>4305</v>
      </c>
      <c r="M44" s="86" t="s">
        <v>298</v>
      </c>
      <c r="N44" s="87" t="s">
        <v>4163</v>
      </c>
      <c r="O44" s="87"/>
      <c r="P44" s="87">
        <v>1977.0</v>
      </c>
      <c r="Q44" s="87" t="s">
        <v>4306</v>
      </c>
      <c r="R44" s="87" t="s">
        <v>2927</v>
      </c>
      <c r="S44" s="87" t="s">
        <v>1805</v>
      </c>
      <c r="T44" s="87" t="s">
        <v>2673</v>
      </c>
      <c r="U44" s="86" t="s">
        <v>1807</v>
      </c>
      <c r="V44" s="87">
        <v>4.0</v>
      </c>
      <c r="W44" s="87"/>
      <c r="X44" s="87"/>
      <c r="Y44" s="87"/>
      <c r="Z44" s="89" t="s">
        <v>564</v>
      </c>
      <c r="AA44" s="89" t="s">
        <v>2687</v>
      </c>
      <c r="AB44" s="46" t="s">
        <v>4283</v>
      </c>
      <c r="AC44" s="89" t="s">
        <v>564</v>
      </c>
      <c r="AD44" s="89" t="s">
        <v>565</v>
      </c>
      <c r="AE44" s="87"/>
      <c r="AF44" s="89" t="s">
        <v>2728</v>
      </c>
      <c r="AG44" s="46" t="s">
        <v>4117</v>
      </c>
      <c r="AH44" s="87" t="s">
        <v>4307</v>
      </c>
      <c r="AI44" s="86">
        <v>1977.0</v>
      </c>
      <c r="AJ44" s="86">
        <v>1977.0</v>
      </c>
      <c r="AK44" s="86" t="s">
        <v>70</v>
      </c>
      <c r="AL44" s="86"/>
      <c r="AM44" s="86"/>
      <c r="AN44" s="86"/>
      <c r="AO44" s="86"/>
      <c r="AP44" s="86"/>
      <c r="AQ44" s="86"/>
    </row>
    <row r="45">
      <c r="A45" s="86">
        <v>43.0</v>
      </c>
      <c r="B45" s="87" t="s">
        <v>4308</v>
      </c>
      <c r="C45" s="87" t="s">
        <v>3106</v>
      </c>
      <c r="D45" s="87" t="s">
        <v>2682</v>
      </c>
      <c r="E45" s="88" t="s">
        <v>298</v>
      </c>
      <c r="F45" s="86" t="s">
        <v>73</v>
      </c>
      <c r="G45" s="88" t="s">
        <v>315</v>
      </c>
      <c r="H45" s="87"/>
      <c r="I45" s="87">
        <v>156.0</v>
      </c>
      <c r="J45" s="87" t="s">
        <v>4309</v>
      </c>
      <c r="K45" s="87" t="s">
        <v>4308</v>
      </c>
      <c r="L45" s="87" t="s">
        <v>4310</v>
      </c>
      <c r="M45" s="86" t="s">
        <v>298</v>
      </c>
      <c r="N45" s="87" t="s">
        <v>3106</v>
      </c>
      <c r="O45" s="87"/>
      <c r="P45" s="87">
        <v>2017.0</v>
      </c>
      <c r="Q45" s="87" t="s">
        <v>3435</v>
      </c>
      <c r="R45" s="87" t="s">
        <v>3436</v>
      </c>
      <c r="S45" s="87" t="s">
        <v>1805</v>
      </c>
      <c r="T45" s="87" t="s">
        <v>2673</v>
      </c>
      <c r="U45" s="86" t="s">
        <v>1807</v>
      </c>
      <c r="V45" s="87">
        <v>4.0</v>
      </c>
      <c r="W45" s="87"/>
      <c r="X45" s="87"/>
      <c r="Y45" s="87"/>
      <c r="Z45" s="89" t="s">
        <v>564</v>
      </c>
      <c r="AA45" s="89" t="s">
        <v>2687</v>
      </c>
      <c r="AB45" s="46" t="s">
        <v>4283</v>
      </c>
      <c r="AC45" s="89" t="s">
        <v>564</v>
      </c>
      <c r="AD45" s="89" t="s">
        <v>565</v>
      </c>
      <c r="AE45" s="87"/>
      <c r="AF45" s="89" t="s">
        <v>2728</v>
      </c>
      <c r="AG45" s="46" t="s">
        <v>4117</v>
      </c>
      <c r="AH45" s="87" t="s">
        <v>4311</v>
      </c>
      <c r="AI45" s="86">
        <v>2017.0</v>
      </c>
      <c r="AJ45" s="86">
        <v>2017.0</v>
      </c>
      <c r="AK45" s="86" t="s">
        <v>70</v>
      </c>
      <c r="AL45" s="86"/>
      <c r="AM45" s="86"/>
      <c r="AN45" s="86"/>
      <c r="AO45" s="86"/>
      <c r="AP45" s="86"/>
      <c r="AQ45" s="86"/>
    </row>
    <row r="46">
      <c r="A46" s="86">
        <v>44.0</v>
      </c>
      <c r="B46" s="90" t="s">
        <v>4312</v>
      </c>
      <c r="C46" s="87" t="s">
        <v>3150</v>
      </c>
      <c r="D46" s="87" t="s">
        <v>2682</v>
      </c>
      <c r="E46" s="88" t="s">
        <v>298</v>
      </c>
      <c r="F46" s="86" t="s">
        <v>73</v>
      </c>
      <c r="G46" s="13" t="s">
        <v>315</v>
      </c>
      <c r="H46" s="87"/>
      <c r="I46" s="87">
        <v>239.0</v>
      </c>
      <c r="J46" s="90" t="s">
        <v>4185</v>
      </c>
      <c r="K46" s="90" t="s">
        <v>4312</v>
      </c>
      <c r="L46" s="87" t="s">
        <v>4313</v>
      </c>
      <c r="M46" s="86" t="s">
        <v>298</v>
      </c>
      <c r="N46" s="87" t="s">
        <v>3150</v>
      </c>
      <c r="O46" s="87"/>
      <c r="P46" s="87">
        <v>2009.0</v>
      </c>
      <c r="Q46" s="87" t="s">
        <v>3135</v>
      </c>
      <c r="R46" s="87" t="s">
        <v>3136</v>
      </c>
      <c r="S46" s="87" t="s">
        <v>1805</v>
      </c>
      <c r="T46" s="87" t="s">
        <v>2673</v>
      </c>
      <c r="U46" s="86" t="s">
        <v>1807</v>
      </c>
      <c r="V46" s="87">
        <v>4.0</v>
      </c>
      <c r="W46" s="87"/>
      <c r="X46" s="87"/>
      <c r="Y46" s="87"/>
      <c r="Z46" s="89" t="s">
        <v>564</v>
      </c>
      <c r="AA46" s="89" t="s">
        <v>2687</v>
      </c>
      <c r="AB46" s="46" t="s">
        <v>4123</v>
      </c>
      <c r="AC46" s="89" t="s">
        <v>564</v>
      </c>
      <c r="AD46" s="89" t="s">
        <v>565</v>
      </c>
      <c r="AE46" s="87"/>
      <c r="AF46" s="89" t="s">
        <v>2728</v>
      </c>
      <c r="AG46" s="46" t="s">
        <v>4117</v>
      </c>
      <c r="AH46" s="87" t="s">
        <v>4198</v>
      </c>
      <c r="AI46" s="86">
        <v>2009.0</v>
      </c>
      <c r="AJ46" s="86">
        <v>2009.0</v>
      </c>
      <c r="AK46" s="86" t="s">
        <v>70</v>
      </c>
      <c r="AL46" s="86"/>
      <c r="AM46" s="86"/>
      <c r="AN46" s="86"/>
      <c r="AO46" s="86"/>
      <c r="AP46" s="86"/>
      <c r="AQ46" s="86"/>
    </row>
    <row r="47">
      <c r="A47" s="86">
        <v>45.0</v>
      </c>
      <c r="B47" s="87" t="s">
        <v>4314</v>
      </c>
      <c r="C47" s="87" t="s">
        <v>4190</v>
      </c>
      <c r="D47" s="87" t="s">
        <v>2682</v>
      </c>
      <c r="E47" s="88" t="s">
        <v>298</v>
      </c>
      <c r="F47" s="86" t="s">
        <v>73</v>
      </c>
      <c r="G47" s="88" t="s">
        <v>315</v>
      </c>
      <c r="H47" s="87"/>
      <c r="I47" s="87">
        <v>13.0</v>
      </c>
      <c r="J47" s="87" t="s">
        <v>4315</v>
      </c>
      <c r="K47" s="87" t="s">
        <v>4314</v>
      </c>
      <c r="L47" s="87" t="s">
        <v>4316</v>
      </c>
      <c r="M47" s="86" t="s">
        <v>298</v>
      </c>
      <c r="N47" s="87" t="s">
        <v>4190</v>
      </c>
      <c r="O47" s="87"/>
      <c r="P47" s="87">
        <v>2019.0</v>
      </c>
      <c r="Q47" s="87" t="s">
        <v>3233</v>
      </c>
      <c r="R47" s="87" t="s">
        <v>3234</v>
      </c>
      <c r="S47" s="87" t="s">
        <v>1805</v>
      </c>
      <c r="T47" s="87" t="s">
        <v>2673</v>
      </c>
      <c r="U47" s="86" t="s">
        <v>1807</v>
      </c>
      <c r="V47" s="87">
        <v>4.0</v>
      </c>
      <c r="W47" s="87"/>
      <c r="X47" s="87"/>
      <c r="Y47" s="87"/>
      <c r="Z47" s="89" t="s">
        <v>564</v>
      </c>
      <c r="AA47" s="89" t="s">
        <v>2687</v>
      </c>
      <c r="AB47" s="46" t="s">
        <v>4123</v>
      </c>
      <c r="AC47" s="89" t="s">
        <v>564</v>
      </c>
      <c r="AD47" s="89" t="s">
        <v>565</v>
      </c>
      <c r="AE47" s="87"/>
      <c r="AF47" s="89" t="s">
        <v>2728</v>
      </c>
      <c r="AG47" s="46" t="s">
        <v>4117</v>
      </c>
      <c r="AH47" s="87" t="s">
        <v>4317</v>
      </c>
      <c r="AI47" s="86">
        <v>2019.0</v>
      </c>
      <c r="AJ47" s="86">
        <v>2019.0</v>
      </c>
      <c r="AK47" s="86" t="s">
        <v>70</v>
      </c>
      <c r="AL47" s="86"/>
      <c r="AM47" s="86"/>
      <c r="AN47" s="86"/>
      <c r="AO47" s="86"/>
      <c r="AP47" s="86"/>
      <c r="AQ47" s="86"/>
    </row>
    <row r="48">
      <c r="A48" s="86">
        <v>46.0</v>
      </c>
      <c r="B48" s="87" t="s">
        <v>4318</v>
      </c>
      <c r="C48" s="87" t="s">
        <v>4319</v>
      </c>
      <c r="D48" s="87" t="s">
        <v>2682</v>
      </c>
      <c r="E48" s="88" t="s">
        <v>298</v>
      </c>
      <c r="F48" s="86" t="s">
        <v>73</v>
      </c>
      <c r="G48" s="88" t="s">
        <v>315</v>
      </c>
      <c r="H48" s="87"/>
      <c r="I48" s="87">
        <v>37.0</v>
      </c>
      <c r="J48" s="87" t="s">
        <v>4320</v>
      </c>
      <c r="K48" s="87" t="s">
        <v>4318</v>
      </c>
      <c r="L48" s="87" t="s">
        <v>4321</v>
      </c>
      <c r="M48" s="86" t="s">
        <v>298</v>
      </c>
      <c r="N48" s="87" t="s">
        <v>4319</v>
      </c>
      <c r="O48" s="87"/>
      <c r="P48" s="87">
        <v>2009.0</v>
      </c>
      <c r="Q48" s="87" t="s">
        <v>3435</v>
      </c>
      <c r="R48" s="87" t="s">
        <v>3436</v>
      </c>
      <c r="S48" s="87" t="s">
        <v>1805</v>
      </c>
      <c r="T48" s="87" t="s">
        <v>2673</v>
      </c>
      <c r="U48" s="86" t="s">
        <v>1807</v>
      </c>
      <c r="V48" s="87">
        <v>4.0</v>
      </c>
      <c r="W48" s="87"/>
      <c r="X48" s="87"/>
      <c r="Y48" s="87"/>
      <c r="Z48" s="89" t="s">
        <v>564</v>
      </c>
      <c r="AA48" s="89" t="s">
        <v>2687</v>
      </c>
      <c r="AB48" s="46" t="s">
        <v>4283</v>
      </c>
      <c r="AC48" s="89" t="s">
        <v>564</v>
      </c>
      <c r="AD48" s="89" t="s">
        <v>565</v>
      </c>
      <c r="AE48" s="87"/>
      <c r="AF48" s="89" t="s">
        <v>2728</v>
      </c>
      <c r="AG48" s="46" t="s">
        <v>4117</v>
      </c>
      <c r="AH48" s="87" t="s">
        <v>4322</v>
      </c>
      <c r="AI48" s="86">
        <v>2009.0</v>
      </c>
      <c r="AJ48" s="86">
        <v>2009.0</v>
      </c>
      <c r="AK48" s="86" t="s">
        <v>70</v>
      </c>
      <c r="AL48" s="86"/>
      <c r="AM48" s="86"/>
      <c r="AN48" s="86"/>
      <c r="AO48" s="86"/>
      <c r="AP48" s="86"/>
      <c r="AQ48" s="86"/>
    </row>
    <row r="49">
      <c r="A49" s="86">
        <v>47.0</v>
      </c>
      <c r="B49" s="87" t="s">
        <v>4323</v>
      </c>
      <c r="C49" s="87" t="s">
        <v>4324</v>
      </c>
      <c r="D49" s="87" t="s">
        <v>2682</v>
      </c>
      <c r="E49" s="88" t="s">
        <v>298</v>
      </c>
      <c r="F49" s="86" t="s">
        <v>73</v>
      </c>
      <c r="G49" s="88" t="s">
        <v>315</v>
      </c>
      <c r="H49" s="87"/>
      <c r="I49" s="87">
        <v>4.0</v>
      </c>
      <c r="J49" s="87" t="s">
        <v>4325</v>
      </c>
      <c r="K49" s="87" t="s">
        <v>4323</v>
      </c>
      <c r="L49" s="87" t="s">
        <v>4326</v>
      </c>
      <c r="M49" s="86" t="s">
        <v>298</v>
      </c>
      <c r="N49" s="87" t="s">
        <v>4324</v>
      </c>
      <c r="O49" s="87"/>
      <c r="P49" s="87">
        <v>2017.0</v>
      </c>
      <c r="Q49" s="87" t="s">
        <v>3233</v>
      </c>
      <c r="R49" s="87" t="s">
        <v>3234</v>
      </c>
      <c r="S49" s="87" t="s">
        <v>1805</v>
      </c>
      <c r="T49" s="87" t="s">
        <v>2673</v>
      </c>
      <c r="U49" s="86" t="s">
        <v>1807</v>
      </c>
      <c r="V49" s="87">
        <v>4.0</v>
      </c>
      <c r="W49" s="87"/>
      <c r="X49" s="87"/>
      <c r="Y49" s="87"/>
      <c r="Z49" s="89" t="s">
        <v>564</v>
      </c>
      <c r="AA49" s="89" t="s">
        <v>2687</v>
      </c>
      <c r="AB49" s="46" t="s">
        <v>4123</v>
      </c>
      <c r="AC49" s="89" t="s">
        <v>564</v>
      </c>
      <c r="AD49" s="89" t="s">
        <v>565</v>
      </c>
      <c r="AE49" s="87"/>
      <c r="AF49" s="89" t="s">
        <v>2728</v>
      </c>
      <c r="AG49" s="46" t="s">
        <v>4117</v>
      </c>
      <c r="AH49" s="87" t="s">
        <v>4161</v>
      </c>
      <c r="AI49" s="86">
        <v>2017.0</v>
      </c>
      <c r="AJ49" s="86">
        <v>2017.0</v>
      </c>
      <c r="AK49" s="86" t="s">
        <v>70</v>
      </c>
      <c r="AL49" s="86"/>
      <c r="AM49" s="86"/>
      <c r="AN49" s="86"/>
      <c r="AO49" s="86"/>
      <c r="AP49" s="86"/>
      <c r="AQ49" s="86"/>
    </row>
    <row r="50">
      <c r="A50" s="86">
        <v>48.0</v>
      </c>
      <c r="B50" s="87" t="s">
        <v>4327</v>
      </c>
      <c r="C50" s="87" t="s">
        <v>4328</v>
      </c>
      <c r="D50" s="87" t="s">
        <v>2682</v>
      </c>
      <c r="E50" s="88" t="s">
        <v>298</v>
      </c>
      <c r="F50" s="86" t="s">
        <v>73</v>
      </c>
      <c r="G50" s="88" t="s">
        <v>315</v>
      </c>
      <c r="H50" s="87"/>
      <c r="I50" s="87">
        <v>39.0</v>
      </c>
      <c r="J50" s="87" t="s">
        <v>4329</v>
      </c>
      <c r="K50" s="87" t="s">
        <v>4327</v>
      </c>
      <c r="L50" s="87" t="s">
        <v>4330</v>
      </c>
      <c r="M50" s="86" t="s">
        <v>298</v>
      </c>
      <c r="N50" s="87" t="s">
        <v>4328</v>
      </c>
      <c r="O50" s="87"/>
      <c r="P50" s="87">
        <v>2019.0</v>
      </c>
      <c r="Q50" s="87" t="s">
        <v>3370</v>
      </c>
      <c r="R50" s="87" t="s">
        <v>3371</v>
      </c>
      <c r="S50" s="87" t="s">
        <v>1805</v>
      </c>
      <c r="T50" s="87" t="s">
        <v>2673</v>
      </c>
      <c r="U50" s="86" t="s">
        <v>1807</v>
      </c>
      <c r="V50" s="87">
        <v>4.0</v>
      </c>
      <c r="W50" s="87"/>
      <c r="X50" s="87"/>
      <c r="Y50" s="87"/>
      <c r="Z50" s="89" t="s">
        <v>564</v>
      </c>
      <c r="AA50" s="89" t="s">
        <v>2687</v>
      </c>
      <c r="AB50" s="46" t="s">
        <v>4283</v>
      </c>
      <c r="AC50" s="89" t="s">
        <v>564</v>
      </c>
      <c r="AD50" s="89" t="s">
        <v>565</v>
      </c>
      <c r="AE50" s="87"/>
      <c r="AF50" s="89" t="s">
        <v>2728</v>
      </c>
      <c r="AG50" s="46" t="s">
        <v>4117</v>
      </c>
      <c r="AH50" s="87" t="s">
        <v>4331</v>
      </c>
      <c r="AI50" s="86">
        <v>2019.0</v>
      </c>
      <c r="AJ50" s="86">
        <v>2019.0</v>
      </c>
      <c r="AK50" s="86" t="s">
        <v>70</v>
      </c>
      <c r="AL50" s="86"/>
      <c r="AM50" s="86"/>
      <c r="AN50" s="86"/>
      <c r="AO50" s="86"/>
      <c r="AP50" s="86"/>
      <c r="AQ50" s="86"/>
    </row>
    <row r="51">
      <c r="A51" s="86">
        <v>49.0</v>
      </c>
      <c r="B51" s="87" t="s">
        <v>4332</v>
      </c>
      <c r="C51" s="87" t="s">
        <v>2984</v>
      </c>
      <c r="D51" s="87" t="s">
        <v>2682</v>
      </c>
      <c r="E51" s="88" t="s">
        <v>298</v>
      </c>
      <c r="F51" s="86" t="s">
        <v>73</v>
      </c>
      <c r="G51" s="88" t="s">
        <v>315</v>
      </c>
      <c r="H51" s="87"/>
      <c r="I51" s="87">
        <v>70.0</v>
      </c>
      <c r="J51" s="87" t="s">
        <v>4333</v>
      </c>
      <c r="K51" s="87" t="s">
        <v>4332</v>
      </c>
      <c r="L51" s="87" t="s">
        <v>4334</v>
      </c>
      <c r="M51" s="86" t="s">
        <v>298</v>
      </c>
      <c r="N51" s="87" t="s">
        <v>2984</v>
      </c>
      <c r="O51" s="87"/>
      <c r="P51" s="87">
        <v>2014.0</v>
      </c>
      <c r="Q51" s="87" t="s">
        <v>3370</v>
      </c>
      <c r="R51" s="87" t="s">
        <v>3371</v>
      </c>
      <c r="S51" s="87" t="s">
        <v>1805</v>
      </c>
      <c r="T51" s="87" t="s">
        <v>2673</v>
      </c>
      <c r="U51" s="86" t="s">
        <v>1807</v>
      </c>
      <c r="V51" s="87">
        <v>4.0</v>
      </c>
      <c r="W51" s="87"/>
      <c r="X51" s="87"/>
      <c r="Y51" s="87"/>
      <c r="Z51" s="89" t="s">
        <v>564</v>
      </c>
      <c r="AA51" s="89" t="s">
        <v>2687</v>
      </c>
      <c r="AB51" s="46" t="s">
        <v>4123</v>
      </c>
      <c r="AC51" s="89" t="s">
        <v>564</v>
      </c>
      <c r="AD51" s="89" t="s">
        <v>565</v>
      </c>
      <c r="AE51" s="87"/>
      <c r="AF51" s="89" t="s">
        <v>2728</v>
      </c>
      <c r="AG51" s="46" t="s">
        <v>4117</v>
      </c>
      <c r="AH51" s="87" t="s">
        <v>4335</v>
      </c>
      <c r="AI51" s="86">
        <v>2014.0</v>
      </c>
      <c r="AJ51" s="86">
        <v>2014.0</v>
      </c>
      <c r="AK51" s="86" t="s">
        <v>70</v>
      </c>
      <c r="AL51" s="86"/>
      <c r="AM51" s="86"/>
      <c r="AN51" s="86"/>
      <c r="AO51" s="86"/>
      <c r="AP51" s="86"/>
      <c r="AQ51" s="86"/>
    </row>
    <row r="52">
      <c r="A52" s="86">
        <v>50.0</v>
      </c>
      <c r="B52" s="87" t="s">
        <v>4336</v>
      </c>
      <c r="C52" s="87" t="s">
        <v>4337</v>
      </c>
      <c r="D52" s="87" t="s">
        <v>2682</v>
      </c>
      <c r="E52" s="88" t="s">
        <v>298</v>
      </c>
      <c r="F52" s="86" t="s">
        <v>73</v>
      </c>
      <c r="G52" s="88" t="s">
        <v>315</v>
      </c>
      <c r="H52" s="87"/>
      <c r="I52" s="87">
        <v>56.0</v>
      </c>
      <c r="J52" s="87" t="s">
        <v>4338</v>
      </c>
      <c r="K52" s="87" t="s">
        <v>4336</v>
      </c>
      <c r="L52" s="87" t="s">
        <v>4339</v>
      </c>
      <c r="M52" s="86" t="s">
        <v>298</v>
      </c>
      <c r="N52" s="87" t="s">
        <v>4337</v>
      </c>
      <c r="O52" s="87"/>
      <c r="P52" s="87">
        <v>2001.0</v>
      </c>
      <c r="Q52" s="87" t="s">
        <v>3370</v>
      </c>
      <c r="R52" s="87" t="s">
        <v>3371</v>
      </c>
      <c r="S52" s="87" t="s">
        <v>1805</v>
      </c>
      <c r="T52" s="87" t="s">
        <v>2673</v>
      </c>
      <c r="U52" s="86" t="s">
        <v>1807</v>
      </c>
      <c r="V52" s="87">
        <v>4.0</v>
      </c>
      <c r="W52" s="87"/>
      <c r="X52" s="87"/>
      <c r="Y52" s="87"/>
      <c r="Z52" s="89" t="s">
        <v>564</v>
      </c>
      <c r="AA52" s="89" t="s">
        <v>2687</v>
      </c>
      <c r="AB52" s="46" t="s">
        <v>4123</v>
      </c>
      <c r="AC52" s="89" t="s">
        <v>564</v>
      </c>
      <c r="AD52" s="89" t="s">
        <v>565</v>
      </c>
      <c r="AE52" s="87"/>
      <c r="AF52" s="89" t="s">
        <v>2728</v>
      </c>
      <c r="AG52" s="46" t="s">
        <v>4117</v>
      </c>
      <c r="AH52" s="87" t="s">
        <v>4340</v>
      </c>
      <c r="AI52" s="86">
        <v>2001.0</v>
      </c>
      <c r="AJ52" s="86">
        <v>2001.0</v>
      </c>
      <c r="AK52" s="86" t="s">
        <v>70</v>
      </c>
      <c r="AL52" s="86"/>
      <c r="AM52" s="86"/>
      <c r="AN52" s="86"/>
      <c r="AO52" s="86"/>
      <c r="AP52" s="86"/>
      <c r="AQ52" s="86"/>
    </row>
    <row r="53">
      <c r="A53" s="86">
        <v>51.0</v>
      </c>
      <c r="B53" s="87" t="s">
        <v>4341</v>
      </c>
      <c r="C53" s="87" t="s">
        <v>4342</v>
      </c>
      <c r="D53" s="87" t="s">
        <v>2682</v>
      </c>
      <c r="E53" s="88" t="s">
        <v>298</v>
      </c>
      <c r="F53" s="86" t="s">
        <v>73</v>
      </c>
      <c r="G53" s="88" t="s">
        <v>315</v>
      </c>
      <c r="H53" s="87"/>
      <c r="I53" s="87">
        <v>13.0</v>
      </c>
      <c r="J53" s="87" t="s">
        <v>4343</v>
      </c>
      <c r="K53" s="87" t="s">
        <v>4341</v>
      </c>
      <c r="L53" s="87" t="s">
        <v>4344</v>
      </c>
      <c r="M53" s="86" t="s">
        <v>298</v>
      </c>
      <c r="N53" s="87" t="s">
        <v>4342</v>
      </c>
      <c r="O53" s="87"/>
      <c r="P53" s="87">
        <v>2003.0</v>
      </c>
      <c r="Q53" s="87" t="s">
        <v>2988</v>
      </c>
      <c r="R53" s="87" t="s">
        <v>2989</v>
      </c>
      <c r="S53" s="87" t="s">
        <v>1805</v>
      </c>
      <c r="T53" s="87" t="s">
        <v>2673</v>
      </c>
      <c r="U53" s="86" t="s">
        <v>1807</v>
      </c>
      <c r="V53" s="87">
        <v>4.0</v>
      </c>
      <c r="W53" s="87"/>
      <c r="X53" s="87"/>
      <c r="Y53" s="87"/>
      <c r="Z53" s="89" t="s">
        <v>564</v>
      </c>
      <c r="AA53" s="89" t="s">
        <v>2687</v>
      </c>
      <c r="AB53" s="46" t="s">
        <v>4283</v>
      </c>
      <c r="AC53" s="89" t="s">
        <v>564</v>
      </c>
      <c r="AD53" s="89" t="s">
        <v>565</v>
      </c>
      <c r="AE53" s="87"/>
      <c r="AF53" s="89" t="s">
        <v>2728</v>
      </c>
      <c r="AG53" s="46" t="s">
        <v>4117</v>
      </c>
      <c r="AH53" s="87" t="s">
        <v>4345</v>
      </c>
      <c r="AI53" s="86">
        <v>2003.0</v>
      </c>
      <c r="AJ53" s="86">
        <v>2003.0</v>
      </c>
      <c r="AK53" s="86" t="s">
        <v>70</v>
      </c>
      <c r="AL53" s="86"/>
      <c r="AM53" s="86"/>
      <c r="AN53" s="86"/>
      <c r="AO53" s="86"/>
      <c r="AP53" s="86"/>
      <c r="AQ53" s="86"/>
    </row>
    <row r="54">
      <c r="A54" s="86">
        <v>52.0</v>
      </c>
      <c r="B54" s="87" t="s">
        <v>4346</v>
      </c>
      <c r="C54" s="87" t="s">
        <v>4347</v>
      </c>
      <c r="D54" s="87" t="s">
        <v>2682</v>
      </c>
      <c r="E54" s="88" t="s">
        <v>298</v>
      </c>
      <c r="F54" s="86" t="s">
        <v>73</v>
      </c>
      <c r="G54" s="88" t="s">
        <v>315</v>
      </c>
      <c r="H54" s="87"/>
      <c r="I54" s="87">
        <v>71.0</v>
      </c>
      <c r="J54" s="87" t="s">
        <v>4348</v>
      </c>
      <c r="K54" s="87" t="s">
        <v>4346</v>
      </c>
      <c r="L54" s="87" t="s">
        <v>4349</v>
      </c>
      <c r="M54" s="86" t="s">
        <v>298</v>
      </c>
      <c r="N54" s="87" t="s">
        <v>4347</v>
      </c>
      <c r="O54" s="87"/>
      <c r="P54" s="87">
        <v>1994.0</v>
      </c>
      <c r="Q54" s="87" t="s">
        <v>3370</v>
      </c>
      <c r="R54" s="87" t="s">
        <v>3371</v>
      </c>
      <c r="S54" s="87" t="s">
        <v>1805</v>
      </c>
      <c r="T54" s="87" t="s">
        <v>2673</v>
      </c>
      <c r="U54" s="86" t="s">
        <v>1807</v>
      </c>
      <c r="V54" s="87">
        <v>4.0</v>
      </c>
      <c r="W54" s="87"/>
      <c r="X54" s="87"/>
      <c r="Y54" s="87"/>
      <c r="Z54" s="89" t="s">
        <v>564</v>
      </c>
      <c r="AA54" s="89" t="s">
        <v>2687</v>
      </c>
      <c r="AB54" s="46" t="s">
        <v>4123</v>
      </c>
      <c r="AC54" s="89" t="s">
        <v>564</v>
      </c>
      <c r="AD54" s="89" t="s">
        <v>565</v>
      </c>
      <c r="AE54" s="87"/>
      <c r="AF54" s="89" t="s">
        <v>2728</v>
      </c>
      <c r="AG54" s="46" t="s">
        <v>4117</v>
      </c>
      <c r="AH54" s="87" t="s">
        <v>4350</v>
      </c>
      <c r="AI54" s="86">
        <v>1994.0</v>
      </c>
      <c r="AJ54" s="86">
        <v>1994.0</v>
      </c>
      <c r="AK54" s="86" t="s">
        <v>70</v>
      </c>
      <c r="AL54" s="86"/>
      <c r="AM54" s="86"/>
      <c r="AN54" s="86"/>
      <c r="AO54" s="86"/>
      <c r="AP54" s="86"/>
      <c r="AQ54" s="86"/>
    </row>
    <row r="55">
      <c r="A55" s="86">
        <v>53.0</v>
      </c>
      <c r="B55" s="87" t="s">
        <v>4351</v>
      </c>
      <c r="C55" s="87" t="s">
        <v>4236</v>
      </c>
      <c r="D55" s="87" t="s">
        <v>2682</v>
      </c>
      <c r="E55" s="88" t="s">
        <v>298</v>
      </c>
      <c r="F55" s="86" t="s">
        <v>73</v>
      </c>
      <c r="G55" s="88" t="s">
        <v>315</v>
      </c>
      <c r="H55" s="87"/>
      <c r="I55" s="87">
        <v>4.0</v>
      </c>
      <c r="J55" s="87" t="s">
        <v>4352</v>
      </c>
      <c r="K55" s="87" t="s">
        <v>4351</v>
      </c>
      <c r="L55" s="87" t="s">
        <v>4353</v>
      </c>
      <c r="M55" s="86" t="s">
        <v>298</v>
      </c>
      <c r="N55" s="87" t="s">
        <v>4236</v>
      </c>
      <c r="O55" s="87"/>
      <c r="P55" s="87">
        <v>2017.0</v>
      </c>
      <c r="Q55" s="87" t="s">
        <v>3435</v>
      </c>
      <c r="R55" s="87" t="s">
        <v>3436</v>
      </c>
      <c r="S55" s="87" t="s">
        <v>1805</v>
      </c>
      <c r="T55" s="87" t="s">
        <v>2673</v>
      </c>
      <c r="U55" s="86" t="s">
        <v>1807</v>
      </c>
      <c r="V55" s="87">
        <v>4.0</v>
      </c>
      <c r="W55" s="87"/>
      <c r="X55" s="87"/>
      <c r="Y55" s="87"/>
      <c r="Z55" s="89" t="s">
        <v>564</v>
      </c>
      <c r="AA55" s="89" t="s">
        <v>2687</v>
      </c>
      <c r="AB55" s="46" t="s">
        <v>4123</v>
      </c>
      <c r="AC55" s="89" t="s">
        <v>564</v>
      </c>
      <c r="AD55" s="89" t="s">
        <v>565</v>
      </c>
      <c r="AE55" s="87"/>
      <c r="AF55" s="89" t="s">
        <v>2728</v>
      </c>
      <c r="AG55" s="46" t="s">
        <v>4117</v>
      </c>
      <c r="AH55" s="87" t="s">
        <v>4166</v>
      </c>
      <c r="AI55" s="86">
        <v>2017.0</v>
      </c>
      <c r="AJ55" s="86">
        <v>2017.0</v>
      </c>
      <c r="AK55" s="86" t="s">
        <v>70</v>
      </c>
      <c r="AL55" s="86"/>
      <c r="AM55" s="86"/>
      <c r="AN55" s="86"/>
      <c r="AO55" s="86"/>
      <c r="AP55" s="86"/>
      <c r="AQ55" s="86"/>
    </row>
    <row r="56">
      <c r="A56" s="86">
        <v>54.0</v>
      </c>
      <c r="B56" s="87" t="s">
        <v>4354</v>
      </c>
      <c r="C56" s="90" t="s">
        <v>4355</v>
      </c>
      <c r="D56" s="87" t="s">
        <v>2682</v>
      </c>
      <c r="E56" s="88" t="s">
        <v>298</v>
      </c>
      <c r="F56" s="86" t="s">
        <v>73</v>
      </c>
      <c r="G56" s="13" t="s">
        <v>315</v>
      </c>
      <c r="H56" s="87"/>
      <c r="I56" s="87">
        <v>10.0</v>
      </c>
      <c r="J56" s="90" t="s">
        <v>4356</v>
      </c>
      <c r="K56" s="87" t="s">
        <v>4354</v>
      </c>
      <c r="L56" s="87" t="s">
        <v>4357</v>
      </c>
      <c r="M56" s="86" t="s">
        <v>298</v>
      </c>
      <c r="N56" s="90" t="s">
        <v>4355</v>
      </c>
      <c r="O56" s="87"/>
      <c r="P56" s="87">
        <v>2017.0</v>
      </c>
      <c r="Q56" s="87" t="s">
        <v>3435</v>
      </c>
      <c r="R56" s="87" t="s">
        <v>3436</v>
      </c>
      <c r="S56" s="87" t="s">
        <v>1805</v>
      </c>
      <c r="T56" s="87" t="s">
        <v>2673</v>
      </c>
      <c r="U56" s="86" t="s">
        <v>1807</v>
      </c>
      <c r="V56" s="87">
        <v>4.0</v>
      </c>
      <c r="W56" s="87"/>
      <c r="X56" s="87"/>
      <c r="Y56" s="87"/>
      <c r="Z56" s="89" t="s">
        <v>564</v>
      </c>
      <c r="AA56" s="89" t="s">
        <v>2687</v>
      </c>
      <c r="AB56" s="46" t="s">
        <v>4123</v>
      </c>
      <c r="AC56" s="89" t="s">
        <v>564</v>
      </c>
      <c r="AD56" s="89" t="s">
        <v>565</v>
      </c>
      <c r="AE56" s="87"/>
      <c r="AF56" s="89" t="s">
        <v>2728</v>
      </c>
      <c r="AG56" s="46" t="s">
        <v>4117</v>
      </c>
      <c r="AH56" s="87" t="s">
        <v>4358</v>
      </c>
      <c r="AI56" s="86">
        <v>2017.0</v>
      </c>
      <c r="AJ56" s="86">
        <v>2017.0</v>
      </c>
      <c r="AK56" s="86" t="s">
        <v>70</v>
      </c>
      <c r="AL56" s="86"/>
      <c r="AM56" s="86"/>
      <c r="AN56" s="86"/>
      <c r="AO56" s="86"/>
      <c r="AP56" s="86"/>
      <c r="AQ56" s="86"/>
    </row>
    <row r="57">
      <c r="A57" s="86">
        <v>55.0</v>
      </c>
      <c r="B57" s="87" t="s">
        <v>4359</v>
      </c>
      <c r="C57" s="87" t="s">
        <v>3155</v>
      </c>
      <c r="D57" s="87" t="s">
        <v>2682</v>
      </c>
      <c r="E57" s="88" t="s">
        <v>298</v>
      </c>
      <c r="F57" s="86" t="s">
        <v>73</v>
      </c>
      <c r="G57" s="88" t="s">
        <v>315</v>
      </c>
      <c r="H57" s="87"/>
      <c r="I57" s="87">
        <v>4.0</v>
      </c>
      <c r="J57" s="87" t="s">
        <v>4360</v>
      </c>
      <c r="K57" s="87" t="s">
        <v>4359</v>
      </c>
      <c r="L57" s="87" t="s">
        <v>4361</v>
      </c>
      <c r="M57" s="86" t="s">
        <v>298</v>
      </c>
      <c r="N57" s="87" t="s">
        <v>3155</v>
      </c>
      <c r="O57" s="87"/>
      <c r="P57" s="87">
        <v>2017.0</v>
      </c>
      <c r="Q57" s="87" t="s">
        <v>4288</v>
      </c>
      <c r="R57" s="87" t="s">
        <v>3796</v>
      </c>
      <c r="S57" s="87" t="s">
        <v>1805</v>
      </c>
      <c r="T57" s="87" t="s">
        <v>2673</v>
      </c>
      <c r="U57" s="86" t="s">
        <v>1807</v>
      </c>
      <c r="V57" s="87">
        <v>4.0</v>
      </c>
      <c r="W57" s="87"/>
      <c r="X57" s="87"/>
      <c r="Y57" s="87"/>
      <c r="Z57" s="89" t="s">
        <v>564</v>
      </c>
      <c r="AA57" s="89" t="s">
        <v>2687</v>
      </c>
      <c r="AB57" s="46" t="s">
        <v>4123</v>
      </c>
      <c r="AC57" s="89" t="s">
        <v>564</v>
      </c>
      <c r="AD57" s="89" t="s">
        <v>565</v>
      </c>
      <c r="AE57" s="87"/>
      <c r="AF57" s="89" t="s">
        <v>2728</v>
      </c>
      <c r="AG57" s="46" t="s">
        <v>4117</v>
      </c>
      <c r="AH57" s="87" t="s">
        <v>4193</v>
      </c>
      <c r="AI57" s="86">
        <v>2017.0</v>
      </c>
      <c r="AJ57" s="86">
        <v>2017.0</v>
      </c>
      <c r="AK57" s="86" t="s">
        <v>70</v>
      </c>
      <c r="AL57" s="86"/>
      <c r="AM57" s="86"/>
      <c r="AN57" s="86"/>
      <c r="AO57" s="86"/>
      <c r="AP57" s="86"/>
      <c r="AQ57" s="86"/>
    </row>
    <row r="58">
      <c r="A58" s="86">
        <v>56.0</v>
      </c>
      <c r="B58" s="87" t="s">
        <v>4362</v>
      </c>
      <c r="C58" s="87" t="s">
        <v>3161</v>
      </c>
      <c r="D58" s="87" t="s">
        <v>2682</v>
      </c>
      <c r="E58" s="88" t="s">
        <v>298</v>
      </c>
      <c r="F58" s="86" t="s">
        <v>73</v>
      </c>
      <c r="G58" s="88" t="s">
        <v>315</v>
      </c>
      <c r="H58" s="87"/>
      <c r="I58" s="87">
        <v>32.0</v>
      </c>
      <c r="J58" s="87" t="s">
        <v>4363</v>
      </c>
      <c r="K58" s="87" t="s">
        <v>4362</v>
      </c>
      <c r="L58" s="87" t="s">
        <v>4364</v>
      </c>
      <c r="M58" s="86" t="s">
        <v>298</v>
      </c>
      <c r="N58" s="87" t="s">
        <v>3161</v>
      </c>
      <c r="O58" s="87"/>
      <c r="P58" s="87">
        <v>2022.0</v>
      </c>
      <c r="Q58" s="87" t="s">
        <v>3435</v>
      </c>
      <c r="R58" s="87" t="s">
        <v>3436</v>
      </c>
      <c r="S58" s="87" t="s">
        <v>1805</v>
      </c>
      <c r="T58" s="87" t="s">
        <v>2673</v>
      </c>
      <c r="U58" s="86" t="s">
        <v>1807</v>
      </c>
      <c r="V58" s="87">
        <v>4.0</v>
      </c>
      <c r="W58" s="87"/>
      <c r="X58" s="87"/>
      <c r="Y58" s="87"/>
      <c r="Z58" s="89" t="s">
        <v>564</v>
      </c>
      <c r="AA58" s="89" t="s">
        <v>2687</v>
      </c>
      <c r="AB58" s="46" t="s">
        <v>4123</v>
      </c>
      <c r="AC58" s="89" t="s">
        <v>564</v>
      </c>
      <c r="AD58" s="89" t="s">
        <v>565</v>
      </c>
      <c r="AE58" s="87"/>
      <c r="AF58" s="89" t="s">
        <v>2728</v>
      </c>
      <c r="AG58" s="46" t="s">
        <v>4117</v>
      </c>
      <c r="AH58" s="87" t="s">
        <v>4365</v>
      </c>
      <c r="AI58" s="86">
        <v>2022.0</v>
      </c>
      <c r="AJ58" s="86">
        <v>2022.0</v>
      </c>
      <c r="AK58" s="86" t="s">
        <v>70</v>
      </c>
      <c r="AL58" s="86"/>
      <c r="AM58" s="86"/>
      <c r="AN58" s="86"/>
      <c r="AO58" s="86"/>
      <c r="AP58" s="86"/>
      <c r="AQ58" s="86"/>
    </row>
    <row r="59">
      <c r="A59" s="86">
        <v>57.0</v>
      </c>
      <c r="B59" s="87" t="s">
        <v>4366</v>
      </c>
      <c r="C59" s="87" t="s">
        <v>3106</v>
      </c>
      <c r="D59" s="87" t="s">
        <v>2682</v>
      </c>
      <c r="E59" s="88" t="s">
        <v>298</v>
      </c>
      <c r="F59" s="86" t="s">
        <v>73</v>
      </c>
      <c r="G59" s="88" t="s">
        <v>315</v>
      </c>
      <c r="H59" s="87"/>
      <c r="I59" s="87">
        <v>2.0</v>
      </c>
      <c r="J59" s="87" t="s">
        <v>4367</v>
      </c>
      <c r="K59" s="87" t="s">
        <v>4366</v>
      </c>
      <c r="L59" s="87" t="s">
        <v>4368</v>
      </c>
      <c r="M59" s="86" t="s">
        <v>298</v>
      </c>
      <c r="N59" s="87" t="s">
        <v>3106</v>
      </c>
      <c r="O59" s="87"/>
      <c r="P59" s="87">
        <v>2016.0</v>
      </c>
      <c r="Q59" s="87" t="s">
        <v>3435</v>
      </c>
      <c r="R59" s="87" t="s">
        <v>3436</v>
      </c>
      <c r="S59" s="87" t="s">
        <v>1805</v>
      </c>
      <c r="T59" s="87" t="s">
        <v>2673</v>
      </c>
      <c r="U59" s="86" t="s">
        <v>1807</v>
      </c>
      <c r="V59" s="87">
        <v>4.0</v>
      </c>
      <c r="W59" s="87"/>
      <c r="X59" s="87"/>
      <c r="Y59" s="87"/>
      <c r="Z59" s="89" t="s">
        <v>564</v>
      </c>
      <c r="AA59" s="89" t="s">
        <v>2687</v>
      </c>
      <c r="AB59" s="46" t="s">
        <v>4283</v>
      </c>
      <c r="AC59" s="89" t="s">
        <v>564</v>
      </c>
      <c r="AD59" s="89" t="s">
        <v>565</v>
      </c>
      <c r="AE59" s="87"/>
      <c r="AF59" s="89" t="s">
        <v>2728</v>
      </c>
      <c r="AG59" s="46" t="s">
        <v>4117</v>
      </c>
      <c r="AH59" s="87" t="s">
        <v>4369</v>
      </c>
      <c r="AI59" s="86">
        <v>2016.0</v>
      </c>
      <c r="AJ59" s="86">
        <v>2016.0</v>
      </c>
      <c r="AK59" s="86" t="s">
        <v>70</v>
      </c>
      <c r="AL59" s="86"/>
      <c r="AM59" s="86"/>
      <c r="AN59" s="86"/>
      <c r="AO59" s="86"/>
      <c r="AP59" s="86"/>
      <c r="AQ59" s="86"/>
    </row>
    <row r="60">
      <c r="A60" s="86">
        <v>58.0</v>
      </c>
      <c r="B60" s="87" t="s">
        <v>4370</v>
      </c>
      <c r="C60" s="87" t="s">
        <v>4371</v>
      </c>
      <c r="D60" s="87" t="s">
        <v>4371</v>
      </c>
      <c r="E60" s="88" t="s">
        <v>298</v>
      </c>
      <c r="F60" s="86" t="s">
        <v>73</v>
      </c>
      <c r="G60" s="88" t="s">
        <v>315</v>
      </c>
      <c r="H60" s="87"/>
      <c r="I60" s="87">
        <v>1.0</v>
      </c>
      <c r="J60" s="90" t="s">
        <v>4372</v>
      </c>
      <c r="K60" s="87" t="s">
        <v>4370</v>
      </c>
      <c r="L60" s="87"/>
      <c r="M60" s="86" t="s">
        <v>298</v>
      </c>
      <c r="N60" s="87" t="s">
        <v>4371</v>
      </c>
      <c r="O60" s="87"/>
      <c r="P60" s="87">
        <v>2025.0</v>
      </c>
      <c r="Q60" s="91" t="s">
        <v>4373</v>
      </c>
      <c r="R60" s="91" t="s">
        <v>4374</v>
      </c>
      <c r="S60" s="87" t="s">
        <v>1805</v>
      </c>
      <c r="T60" s="87" t="s">
        <v>2673</v>
      </c>
      <c r="U60" s="86" t="s">
        <v>1807</v>
      </c>
      <c r="V60" s="87">
        <v>8.0</v>
      </c>
      <c r="W60" s="87"/>
      <c r="X60" s="87"/>
      <c r="Y60" s="87"/>
      <c r="Z60" s="89" t="s">
        <v>564</v>
      </c>
      <c r="AA60" s="89" t="s">
        <v>4375</v>
      </c>
      <c r="AB60" s="46" t="s">
        <v>4376</v>
      </c>
      <c r="AC60" s="89" t="s">
        <v>564</v>
      </c>
      <c r="AD60" s="89" t="s">
        <v>565</v>
      </c>
      <c r="AE60" s="87"/>
      <c r="AF60" s="89" t="s">
        <v>2728</v>
      </c>
      <c r="AG60" s="46" t="s">
        <v>4117</v>
      </c>
      <c r="AH60" s="87" t="s">
        <v>4377</v>
      </c>
      <c r="AI60" s="86">
        <v>2025.0</v>
      </c>
      <c r="AJ60" s="86">
        <v>2025.0</v>
      </c>
      <c r="AK60" s="86" t="s">
        <v>70</v>
      </c>
      <c r="AL60" s="86"/>
      <c r="AM60" s="86"/>
      <c r="AN60" s="86"/>
      <c r="AO60" s="86"/>
      <c r="AP60" s="86"/>
      <c r="AQ60" s="86"/>
    </row>
    <row r="61">
      <c r="A61" s="86">
        <v>59.0</v>
      </c>
      <c r="B61" s="87" t="s">
        <v>4378</v>
      </c>
      <c r="C61" s="87" t="s">
        <v>3513</v>
      </c>
      <c r="D61" s="87" t="s">
        <v>3499</v>
      </c>
      <c r="E61" s="88" t="s">
        <v>298</v>
      </c>
      <c r="F61" s="86" t="s">
        <v>73</v>
      </c>
      <c r="G61" s="88" t="s">
        <v>315</v>
      </c>
      <c r="H61" s="87"/>
      <c r="I61" s="87">
        <v>63.0</v>
      </c>
      <c r="J61" s="90" t="s">
        <v>4379</v>
      </c>
      <c r="K61" s="87" t="s">
        <v>4378</v>
      </c>
      <c r="L61" s="87" t="s">
        <v>3515</v>
      </c>
      <c r="M61" s="86" t="s">
        <v>298</v>
      </c>
      <c r="N61" s="87" t="s">
        <v>3513</v>
      </c>
      <c r="O61" s="87"/>
      <c r="P61" s="87">
        <v>2022.0</v>
      </c>
      <c r="Q61" s="87" t="s">
        <v>2667</v>
      </c>
      <c r="R61" s="87" t="s">
        <v>2672</v>
      </c>
      <c r="S61" s="87" t="s">
        <v>1805</v>
      </c>
      <c r="T61" s="87" t="s">
        <v>2673</v>
      </c>
      <c r="U61" s="86" t="s">
        <v>1807</v>
      </c>
      <c r="V61" s="87">
        <v>3.0</v>
      </c>
      <c r="W61" s="87"/>
      <c r="X61" s="87"/>
      <c r="Y61" s="87"/>
      <c r="Z61" s="89" t="s">
        <v>564</v>
      </c>
      <c r="AA61" s="89" t="s">
        <v>2674</v>
      </c>
      <c r="AB61" s="89" t="s">
        <v>2750</v>
      </c>
      <c r="AC61" s="89" t="s">
        <v>564</v>
      </c>
      <c r="AD61" s="89" t="s">
        <v>565</v>
      </c>
      <c r="AE61" s="87"/>
      <c r="AF61" s="89" t="s">
        <v>2728</v>
      </c>
      <c r="AG61" s="46" t="s">
        <v>4117</v>
      </c>
      <c r="AH61" s="87" t="s">
        <v>4380</v>
      </c>
      <c r="AI61" s="86">
        <v>2022.0</v>
      </c>
      <c r="AJ61" s="86">
        <v>2022.0</v>
      </c>
      <c r="AK61" s="86" t="s">
        <v>70</v>
      </c>
      <c r="AL61" s="86"/>
      <c r="AM61" s="86"/>
      <c r="AN61" s="86"/>
      <c r="AO61" s="86"/>
      <c r="AP61" s="86"/>
      <c r="AQ61" s="86"/>
    </row>
    <row r="62">
      <c r="A62" s="86">
        <v>60.0</v>
      </c>
      <c r="B62" s="87" t="s">
        <v>4381</v>
      </c>
      <c r="C62" s="87" t="s">
        <v>4382</v>
      </c>
      <c r="D62" s="87" t="s">
        <v>3499</v>
      </c>
      <c r="E62" s="88" t="s">
        <v>298</v>
      </c>
      <c r="F62" s="86" t="s">
        <v>73</v>
      </c>
      <c r="G62" s="88" t="s">
        <v>315</v>
      </c>
      <c r="H62" s="87"/>
      <c r="I62" s="87">
        <v>24.0</v>
      </c>
      <c r="J62" s="90" t="s">
        <v>4383</v>
      </c>
      <c r="K62" s="87" t="s">
        <v>4381</v>
      </c>
      <c r="L62" s="87" t="s">
        <v>4384</v>
      </c>
      <c r="M62" s="86" t="s">
        <v>298</v>
      </c>
      <c r="N62" s="87" t="s">
        <v>4382</v>
      </c>
      <c r="O62" s="87"/>
      <c r="P62" s="87">
        <v>2016.0</v>
      </c>
      <c r="Q62" s="87" t="s">
        <v>2667</v>
      </c>
      <c r="R62" s="87" t="s">
        <v>2672</v>
      </c>
      <c r="S62" s="87" t="s">
        <v>1805</v>
      </c>
      <c r="T62" s="87" t="s">
        <v>2673</v>
      </c>
      <c r="U62" s="86" t="s">
        <v>1807</v>
      </c>
      <c r="V62" s="87">
        <v>3.0</v>
      </c>
      <c r="W62" s="87"/>
      <c r="X62" s="87"/>
      <c r="Y62" s="87"/>
      <c r="Z62" s="89" t="s">
        <v>564</v>
      </c>
      <c r="AA62" s="89" t="s">
        <v>2674</v>
      </c>
      <c r="AB62" s="89" t="s">
        <v>2750</v>
      </c>
      <c r="AC62" s="89" t="s">
        <v>564</v>
      </c>
      <c r="AD62" s="89" t="s">
        <v>565</v>
      </c>
      <c r="AE62" s="87"/>
      <c r="AF62" s="89" t="s">
        <v>2728</v>
      </c>
      <c r="AG62" s="46" t="s">
        <v>4117</v>
      </c>
      <c r="AH62" s="87" t="s">
        <v>4385</v>
      </c>
      <c r="AI62" s="86">
        <v>2016.0</v>
      </c>
      <c r="AJ62" s="86">
        <v>2016.0</v>
      </c>
      <c r="AK62" s="86" t="s">
        <v>70</v>
      </c>
      <c r="AL62" s="86"/>
      <c r="AM62" s="86"/>
      <c r="AN62" s="86"/>
      <c r="AO62" s="86"/>
      <c r="AP62" s="86"/>
      <c r="AQ62" s="86"/>
    </row>
    <row r="63">
      <c r="A63" s="86">
        <v>61.0</v>
      </c>
      <c r="B63" s="87" t="s">
        <v>4386</v>
      </c>
      <c r="C63" s="87" t="s">
        <v>4387</v>
      </c>
      <c r="D63" s="87" t="s">
        <v>3499</v>
      </c>
      <c r="E63" s="88" t="s">
        <v>298</v>
      </c>
      <c r="F63" s="86" t="s">
        <v>73</v>
      </c>
      <c r="G63" s="88" t="s">
        <v>315</v>
      </c>
      <c r="H63" s="87"/>
      <c r="I63" s="87">
        <v>4.0</v>
      </c>
      <c r="J63" s="90" t="s">
        <v>4388</v>
      </c>
      <c r="K63" s="87" t="s">
        <v>4386</v>
      </c>
      <c r="L63" s="87" t="s">
        <v>4389</v>
      </c>
      <c r="M63" s="86" t="s">
        <v>298</v>
      </c>
      <c r="N63" s="87" t="s">
        <v>4387</v>
      </c>
      <c r="O63" s="87"/>
      <c r="P63" s="87">
        <v>2004.0</v>
      </c>
      <c r="Q63" s="87" t="s">
        <v>2667</v>
      </c>
      <c r="R63" s="87" t="s">
        <v>2672</v>
      </c>
      <c r="S63" s="87" t="s">
        <v>1805</v>
      </c>
      <c r="T63" s="87" t="s">
        <v>2673</v>
      </c>
      <c r="U63" s="86" t="s">
        <v>1807</v>
      </c>
      <c r="V63" s="87">
        <v>3.0</v>
      </c>
      <c r="W63" s="87"/>
      <c r="X63" s="87"/>
      <c r="Y63" s="87"/>
      <c r="Z63" s="89" t="s">
        <v>564</v>
      </c>
      <c r="AA63" s="89" t="s">
        <v>2674</v>
      </c>
      <c r="AB63" s="89" t="s">
        <v>2675</v>
      </c>
      <c r="AC63" s="89" t="s">
        <v>564</v>
      </c>
      <c r="AD63" s="89" t="s">
        <v>565</v>
      </c>
      <c r="AE63" s="87"/>
      <c r="AF63" s="89" t="s">
        <v>2728</v>
      </c>
      <c r="AG63" s="46" t="s">
        <v>4117</v>
      </c>
      <c r="AH63" s="87" t="s">
        <v>4390</v>
      </c>
      <c r="AI63" s="86">
        <v>2004.0</v>
      </c>
      <c r="AJ63" s="86">
        <v>2004.0</v>
      </c>
      <c r="AK63" s="86" t="s">
        <v>70</v>
      </c>
      <c r="AL63" s="86"/>
      <c r="AM63" s="86"/>
      <c r="AN63" s="86"/>
      <c r="AO63" s="86"/>
      <c r="AP63" s="86"/>
      <c r="AQ63" s="86"/>
    </row>
    <row r="64">
      <c r="A64" s="86">
        <v>62.0</v>
      </c>
      <c r="B64" s="87" t="s">
        <v>4391</v>
      </c>
      <c r="C64" s="87" t="s">
        <v>4392</v>
      </c>
      <c r="D64" s="87" t="s">
        <v>3499</v>
      </c>
      <c r="E64" s="88" t="s">
        <v>298</v>
      </c>
      <c r="F64" s="86" t="s">
        <v>73</v>
      </c>
      <c r="G64" s="88" t="s">
        <v>315</v>
      </c>
      <c r="H64" s="87"/>
      <c r="I64" s="87">
        <v>60.0</v>
      </c>
      <c r="J64" s="90" t="s">
        <v>4393</v>
      </c>
      <c r="K64" s="87" t="s">
        <v>4391</v>
      </c>
      <c r="L64" s="87" t="s">
        <v>4394</v>
      </c>
      <c r="M64" s="86" t="s">
        <v>298</v>
      </c>
      <c r="N64" s="87" t="s">
        <v>4392</v>
      </c>
      <c r="O64" s="87"/>
      <c r="P64" s="87">
        <v>2019.0</v>
      </c>
      <c r="Q64" s="87" t="s">
        <v>2667</v>
      </c>
      <c r="R64" s="87" t="s">
        <v>2672</v>
      </c>
      <c r="S64" s="87" t="s">
        <v>1805</v>
      </c>
      <c r="T64" s="87" t="s">
        <v>2673</v>
      </c>
      <c r="U64" s="86" t="s">
        <v>1807</v>
      </c>
      <c r="V64" s="87">
        <v>3.0</v>
      </c>
      <c r="W64" s="87"/>
      <c r="X64" s="87"/>
      <c r="Y64" s="87"/>
      <c r="Z64" s="89" t="s">
        <v>564</v>
      </c>
      <c r="AA64" s="89" t="s">
        <v>2674</v>
      </c>
      <c r="AB64" s="89" t="s">
        <v>2750</v>
      </c>
      <c r="AC64" s="89" t="s">
        <v>564</v>
      </c>
      <c r="AD64" s="89" t="s">
        <v>565</v>
      </c>
      <c r="AE64" s="87"/>
      <c r="AF64" s="89" t="s">
        <v>2728</v>
      </c>
      <c r="AG64" s="46" t="s">
        <v>4117</v>
      </c>
      <c r="AH64" s="87" t="s">
        <v>4395</v>
      </c>
      <c r="AI64" s="86">
        <v>2019.0</v>
      </c>
      <c r="AJ64" s="86">
        <v>2019.0</v>
      </c>
      <c r="AK64" s="86" t="s">
        <v>70</v>
      </c>
      <c r="AL64" s="86"/>
      <c r="AM64" s="86"/>
      <c r="AN64" s="86"/>
      <c r="AO64" s="86"/>
      <c r="AP64" s="86"/>
      <c r="AQ64" s="86"/>
    </row>
    <row r="65">
      <c r="A65" s="86">
        <v>63.0</v>
      </c>
      <c r="B65" s="87" t="s">
        <v>4396</v>
      </c>
      <c r="C65" s="87" t="s">
        <v>4397</v>
      </c>
      <c r="D65" s="87" t="s">
        <v>3499</v>
      </c>
      <c r="E65" s="88" t="s">
        <v>298</v>
      </c>
      <c r="F65" s="86" t="s">
        <v>73</v>
      </c>
      <c r="G65" s="88" t="s">
        <v>315</v>
      </c>
      <c r="H65" s="87"/>
      <c r="I65" s="87">
        <v>12.0</v>
      </c>
      <c r="J65" s="90" t="s">
        <v>4398</v>
      </c>
      <c r="K65" s="87" t="s">
        <v>4396</v>
      </c>
      <c r="L65" s="87" t="s">
        <v>4399</v>
      </c>
      <c r="M65" s="86" t="s">
        <v>298</v>
      </c>
      <c r="N65" s="87" t="s">
        <v>4397</v>
      </c>
      <c r="O65" s="87"/>
      <c r="P65" s="87">
        <v>2008.0</v>
      </c>
      <c r="Q65" s="87" t="s">
        <v>2667</v>
      </c>
      <c r="R65" s="87" t="s">
        <v>2672</v>
      </c>
      <c r="S65" s="87" t="s">
        <v>1805</v>
      </c>
      <c r="T65" s="87" t="s">
        <v>2673</v>
      </c>
      <c r="U65" s="86" t="s">
        <v>1807</v>
      </c>
      <c r="V65" s="87">
        <v>3.0</v>
      </c>
      <c r="W65" s="87"/>
      <c r="X65" s="87"/>
      <c r="Y65" s="87"/>
      <c r="Z65" s="89" t="s">
        <v>564</v>
      </c>
      <c r="AA65" s="89" t="s">
        <v>2674</v>
      </c>
      <c r="AB65" s="89" t="s">
        <v>2675</v>
      </c>
      <c r="AC65" s="89" t="s">
        <v>564</v>
      </c>
      <c r="AD65" s="89" t="s">
        <v>565</v>
      </c>
      <c r="AE65" s="87"/>
      <c r="AF65" s="89" t="s">
        <v>2728</v>
      </c>
      <c r="AG65" s="46" t="s">
        <v>4117</v>
      </c>
      <c r="AH65" s="87" t="s">
        <v>4400</v>
      </c>
      <c r="AI65" s="86">
        <v>2008.0</v>
      </c>
      <c r="AJ65" s="86">
        <v>2008.0</v>
      </c>
      <c r="AK65" s="86" t="s">
        <v>70</v>
      </c>
      <c r="AL65" s="86"/>
      <c r="AM65" s="86"/>
      <c r="AN65" s="86"/>
      <c r="AO65" s="86"/>
      <c r="AP65" s="86"/>
      <c r="AQ65" s="86"/>
    </row>
    <row r="66">
      <c r="A66" s="86">
        <v>64.0</v>
      </c>
      <c r="B66" s="87" t="s">
        <v>4401</v>
      </c>
      <c r="C66" s="87" t="s">
        <v>4402</v>
      </c>
      <c r="D66" s="87" t="s">
        <v>3499</v>
      </c>
      <c r="E66" s="88" t="s">
        <v>298</v>
      </c>
      <c r="F66" s="86" t="s">
        <v>73</v>
      </c>
      <c r="G66" s="88" t="s">
        <v>315</v>
      </c>
      <c r="H66" s="87"/>
      <c r="I66" s="87">
        <v>48.0</v>
      </c>
      <c r="J66" s="90" t="s">
        <v>4403</v>
      </c>
      <c r="K66" s="87" t="s">
        <v>4401</v>
      </c>
      <c r="L66" s="87" t="s">
        <v>4404</v>
      </c>
      <c r="M66" s="86" t="s">
        <v>298</v>
      </c>
      <c r="N66" s="87" t="s">
        <v>4402</v>
      </c>
      <c r="O66" s="87"/>
      <c r="P66" s="87">
        <v>2020.0</v>
      </c>
      <c r="Q66" s="87" t="s">
        <v>2667</v>
      </c>
      <c r="R66" s="87" t="s">
        <v>2672</v>
      </c>
      <c r="S66" s="87" t="s">
        <v>1805</v>
      </c>
      <c r="T66" s="87" t="s">
        <v>2673</v>
      </c>
      <c r="U66" s="86" t="s">
        <v>1807</v>
      </c>
      <c r="V66" s="87">
        <v>3.0</v>
      </c>
      <c r="W66" s="87"/>
      <c r="X66" s="87"/>
      <c r="Y66" s="87"/>
      <c r="Z66" s="89" t="s">
        <v>564</v>
      </c>
      <c r="AA66" s="89" t="s">
        <v>2674</v>
      </c>
      <c r="AB66" s="89" t="s">
        <v>2750</v>
      </c>
      <c r="AC66" s="89" t="s">
        <v>564</v>
      </c>
      <c r="AD66" s="89" t="s">
        <v>565</v>
      </c>
      <c r="AE66" s="87"/>
      <c r="AF66" s="89" t="s">
        <v>2728</v>
      </c>
      <c r="AG66" s="46" t="s">
        <v>4117</v>
      </c>
      <c r="AH66" s="87" t="s">
        <v>4405</v>
      </c>
      <c r="AI66" s="86">
        <v>2020.0</v>
      </c>
      <c r="AJ66" s="86">
        <v>2020.0</v>
      </c>
      <c r="AK66" s="86" t="s">
        <v>70</v>
      </c>
      <c r="AL66" s="86"/>
      <c r="AM66" s="86"/>
      <c r="AN66" s="86"/>
      <c r="AO66" s="86"/>
      <c r="AP66" s="86"/>
      <c r="AQ66" s="86"/>
    </row>
    <row r="67">
      <c r="A67" s="86">
        <v>65.0</v>
      </c>
      <c r="B67" s="87" t="s">
        <v>4406</v>
      </c>
      <c r="C67" s="87" t="s">
        <v>4407</v>
      </c>
      <c r="D67" s="87" t="s">
        <v>3499</v>
      </c>
      <c r="E67" s="88" t="s">
        <v>298</v>
      </c>
      <c r="F67" s="86" t="s">
        <v>73</v>
      </c>
      <c r="G67" s="88" t="s">
        <v>315</v>
      </c>
      <c r="H67" s="87"/>
      <c r="I67" s="87">
        <v>22.0</v>
      </c>
      <c r="J67" s="90" t="s">
        <v>4408</v>
      </c>
      <c r="K67" s="87" t="s">
        <v>4406</v>
      </c>
      <c r="L67" s="87" t="s">
        <v>4409</v>
      </c>
      <c r="M67" s="86" t="s">
        <v>298</v>
      </c>
      <c r="N67" s="87" t="s">
        <v>4407</v>
      </c>
      <c r="O67" s="87"/>
      <c r="P67" s="87">
        <v>2015.0</v>
      </c>
      <c r="Q67" s="87" t="s">
        <v>2667</v>
      </c>
      <c r="R67" s="87" t="s">
        <v>2672</v>
      </c>
      <c r="S67" s="87" t="s">
        <v>1805</v>
      </c>
      <c r="T67" s="87" t="s">
        <v>2673</v>
      </c>
      <c r="U67" s="86" t="s">
        <v>1807</v>
      </c>
      <c r="V67" s="87">
        <v>3.0</v>
      </c>
      <c r="W67" s="87"/>
      <c r="X67" s="87"/>
      <c r="Y67" s="87"/>
      <c r="Z67" s="89" t="s">
        <v>564</v>
      </c>
      <c r="AA67" s="89" t="s">
        <v>2674</v>
      </c>
      <c r="AB67" s="89" t="s">
        <v>2675</v>
      </c>
      <c r="AC67" s="89" t="s">
        <v>564</v>
      </c>
      <c r="AD67" s="89" t="s">
        <v>565</v>
      </c>
      <c r="AE67" s="87"/>
      <c r="AF67" s="89" t="s">
        <v>2728</v>
      </c>
      <c r="AG67" s="46" t="s">
        <v>4117</v>
      </c>
      <c r="AH67" s="87" t="s">
        <v>4410</v>
      </c>
      <c r="AI67" s="86">
        <v>2015.0</v>
      </c>
      <c r="AJ67" s="86">
        <v>2015.0</v>
      </c>
      <c r="AK67" s="86" t="s">
        <v>70</v>
      </c>
      <c r="AL67" s="86"/>
      <c r="AM67" s="86"/>
      <c r="AN67" s="86"/>
      <c r="AO67" s="86"/>
      <c r="AP67" s="86"/>
      <c r="AQ67" s="86"/>
    </row>
    <row r="68">
      <c r="A68" s="86">
        <v>66.0</v>
      </c>
      <c r="B68" s="87" t="s">
        <v>4411</v>
      </c>
      <c r="C68" s="87" t="s">
        <v>4412</v>
      </c>
      <c r="D68" s="87" t="s">
        <v>3499</v>
      </c>
      <c r="E68" s="88" t="s">
        <v>298</v>
      </c>
      <c r="F68" s="86" t="s">
        <v>73</v>
      </c>
      <c r="G68" s="88" t="s">
        <v>315</v>
      </c>
      <c r="H68" s="87"/>
      <c r="I68" s="87">
        <v>7.0</v>
      </c>
      <c r="J68" s="90" t="s">
        <v>4413</v>
      </c>
      <c r="K68" s="87" t="s">
        <v>4411</v>
      </c>
      <c r="L68" s="87" t="s">
        <v>4414</v>
      </c>
      <c r="M68" s="86" t="s">
        <v>298</v>
      </c>
      <c r="N68" s="87" t="s">
        <v>4412</v>
      </c>
      <c r="O68" s="87"/>
      <c r="P68" s="87">
        <v>2018.0</v>
      </c>
      <c r="Q68" s="87" t="s">
        <v>2667</v>
      </c>
      <c r="R68" s="87" t="s">
        <v>2672</v>
      </c>
      <c r="S68" s="87" t="s">
        <v>1805</v>
      </c>
      <c r="T68" s="87" t="s">
        <v>2673</v>
      </c>
      <c r="U68" s="86" t="s">
        <v>1807</v>
      </c>
      <c r="V68" s="87">
        <v>3.0</v>
      </c>
      <c r="W68" s="87"/>
      <c r="X68" s="87"/>
      <c r="Y68" s="87"/>
      <c r="Z68" s="89" t="s">
        <v>564</v>
      </c>
      <c r="AA68" s="89" t="s">
        <v>2674</v>
      </c>
      <c r="AB68" s="89" t="s">
        <v>2750</v>
      </c>
      <c r="AC68" s="89" t="s">
        <v>564</v>
      </c>
      <c r="AD68" s="89" t="s">
        <v>565</v>
      </c>
      <c r="AE68" s="87"/>
      <c r="AF68" s="89" t="s">
        <v>2728</v>
      </c>
      <c r="AG68" s="46" t="s">
        <v>4117</v>
      </c>
      <c r="AH68" s="87" t="s">
        <v>4415</v>
      </c>
      <c r="AI68" s="86">
        <v>2018.0</v>
      </c>
      <c r="AJ68" s="86">
        <v>2018.0</v>
      </c>
      <c r="AK68" s="86" t="s">
        <v>70</v>
      </c>
      <c r="AL68" s="86"/>
      <c r="AM68" s="86"/>
      <c r="AN68" s="86"/>
      <c r="AO68" s="86"/>
      <c r="AP68" s="86"/>
      <c r="AQ68" s="86"/>
    </row>
    <row r="69">
      <c r="A69" s="86">
        <v>67.0</v>
      </c>
      <c r="B69" s="87" t="s">
        <v>4416</v>
      </c>
      <c r="C69" s="87" t="s">
        <v>4417</v>
      </c>
      <c r="D69" s="87" t="s">
        <v>3499</v>
      </c>
      <c r="E69" s="88" t="s">
        <v>298</v>
      </c>
      <c r="F69" s="86" t="s">
        <v>73</v>
      </c>
      <c r="G69" s="88" t="s">
        <v>315</v>
      </c>
      <c r="H69" s="87"/>
      <c r="I69" s="87">
        <v>5.0</v>
      </c>
      <c r="J69" s="90" t="s">
        <v>4418</v>
      </c>
      <c r="K69" s="87" t="s">
        <v>4416</v>
      </c>
      <c r="L69" s="87" t="s">
        <v>4419</v>
      </c>
      <c r="M69" s="86" t="s">
        <v>298</v>
      </c>
      <c r="N69" s="87" t="s">
        <v>4417</v>
      </c>
      <c r="O69" s="87"/>
      <c r="P69" s="87">
        <v>2018.0</v>
      </c>
      <c r="Q69" s="87" t="s">
        <v>2667</v>
      </c>
      <c r="R69" s="87" t="s">
        <v>2672</v>
      </c>
      <c r="S69" s="87" t="s">
        <v>1805</v>
      </c>
      <c r="T69" s="87" t="s">
        <v>2673</v>
      </c>
      <c r="U69" s="86" t="s">
        <v>1807</v>
      </c>
      <c r="V69" s="87">
        <v>3.0</v>
      </c>
      <c r="W69" s="87"/>
      <c r="X69" s="87"/>
      <c r="Y69" s="87"/>
      <c r="Z69" s="89" t="s">
        <v>564</v>
      </c>
      <c r="AA69" s="89" t="s">
        <v>2674</v>
      </c>
      <c r="AB69" s="89" t="s">
        <v>2675</v>
      </c>
      <c r="AC69" s="89" t="s">
        <v>564</v>
      </c>
      <c r="AD69" s="89" t="s">
        <v>565</v>
      </c>
      <c r="AE69" s="87"/>
      <c r="AF69" s="89" t="s">
        <v>2728</v>
      </c>
      <c r="AG69" s="46" t="s">
        <v>4117</v>
      </c>
      <c r="AH69" s="87" t="s">
        <v>4420</v>
      </c>
      <c r="AI69" s="86">
        <v>2018.0</v>
      </c>
      <c r="AJ69" s="86">
        <v>2018.0</v>
      </c>
      <c r="AK69" s="86" t="s">
        <v>70</v>
      </c>
      <c r="AL69" s="86"/>
      <c r="AM69" s="86"/>
      <c r="AN69" s="86"/>
      <c r="AO69" s="86"/>
      <c r="AP69" s="86"/>
      <c r="AQ69" s="86"/>
    </row>
    <row r="70">
      <c r="A70" s="86">
        <v>68.0</v>
      </c>
      <c r="B70" s="87" t="s">
        <v>4421</v>
      </c>
      <c r="C70" s="87" t="s">
        <v>4422</v>
      </c>
      <c r="D70" s="87" t="s">
        <v>3499</v>
      </c>
      <c r="E70" s="88" t="s">
        <v>298</v>
      </c>
      <c r="F70" s="86" t="s">
        <v>73</v>
      </c>
      <c r="G70" s="88" t="s">
        <v>315</v>
      </c>
      <c r="H70" s="87"/>
      <c r="I70" s="87">
        <v>2.0</v>
      </c>
      <c r="J70" s="90" t="s">
        <v>4423</v>
      </c>
      <c r="K70" s="87" t="s">
        <v>4421</v>
      </c>
      <c r="L70" s="87" t="s">
        <v>4424</v>
      </c>
      <c r="M70" s="86" t="s">
        <v>298</v>
      </c>
      <c r="N70" s="87" t="s">
        <v>4422</v>
      </c>
      <c r="O70" s="87"/>
      <c r="P70" s="87">
        <v>2000.0</v>
      </c>
      <c r="Q70" s="87" t="s">
        <v>2667</v>
      </c>
      <c r="R70" s="87" t="s">
        <v>2672</v>
      </c>
      <c r="S70" s="87" t="s">
        <v>1805</v>
      </c>
      <c r="T70" s="87" t="s">
        <v>2673</v>
      </c>
      <c r="U70" s="86" t="s">
        <v>1807</v>
      </c>
      <c r="V70" s="87">
        <v>3.0</v>
      </c>
      <c r="W70" s="87"/>
      <c r="X70" s="87"/>
      <c r="Y70" s="87"/>
      <c r="Z70" s="89" t="s">
        <v>564</v>
      </c>
      <c r="AA70" s="89" t="s">
        <v>2674</v>
      </c>
      <c r="AB70" s="89" t="s">
        <v>2675</v>
      </c>
      <c r="AC70" s="89" t="s">
        <v>564</v>
      </c>
      <c r="AD70" s="89" t="s">
        <v>565</v>
      </c>
      <c r="AE70" s="87"/>
      <c r="AF70" s="89" t="s">
        <v>2728</v>
      </c>
      <c r="AG70" s="46" t="s">
        <v>4117</v>
      </c>
      <c r="AH70" s="87" t="s">
        <v>4425</v>
      </c>
      <c r="AI70" s="86">
        <v>2000.0</v>
      </c>
      <c r="AJ70" s="86">
        <v>2000.0</v>
      </c>
      <c r="AK70" s="86" t="s">
        <v>70</v>
      </c>
      <c r="AL70" s="86"/>
      <c r="AM70" s="86"/>
      <c r="AN70" s="86"/>
      <c r="AO70" s="86"/>
      <c r="AP70" s="86"/>
      <c r="AQ70" s="86"/>
    </row>
    <row r="71">
      <c r="A71" s="86">
        <v>69.0</v>
      </c>
      <c r="B71" s="87" t="s">
        <v>4426</v>
      </c>
      <c r="C71" s="87" t="s">
        <v>4427</v>
      </c>
      <c r="D71" s="87" t="s">
        <v>4428</v>
      </c>
      <c r="E71" s="88" t="s">
        <v>298</v>
      </c>
      <c r="F71" s="86" t="s">
        <v>73</v>
      </c>
      <c r="G71" s="88" t="s">
        <v>315</v>
      </c>
      <c r="H71" s="87"/>
      <c r="I71" s="87">
        <v>6.0</v>
      </c>
      <c r="J71" s="87" t="s">
        <v>4429</v>
      </c>
      <c r="K71" s="87" t="s">
        <v>4426</v>
      </c>
      <c r="L71" s="87" t="s">
        <v>4430</v>
      </c>
      <c r="M71" s="86" t="s">
        <v>298</v>
      </c>
      <c r="N71" s="87" t="s">
        <v>4427</v>
      </c>
      <c r="O71" s="87"/>
      <c r="P71" s="87">
        <v>1965.0</v>
      </c>
      <c r="Q71" s="87" t="s">
        <v>4431</v>
      </c>
      <c r="R71" s="87" t="s">
        <v>4432</v>
      </c>
      <c r="S71" s="87" t="s">
        <v>1805</v>
      </c>
      <c r="T71" s="87" t="s">
        <v>2673</v>
      </c>
      <c r="U71" s="86" t="s">
        <v>1807</v>
      </c>
      <c r="V71" s="87">
        <v>8.0</v>
      </c>
      <c r="W71" s="87"/>
      <c r="X71" s="87"/>
      <c r="Y71" s="87"/>
      <c r="Z71" s="89" t="s">
        <v>564</v>
      </c>
      <c r="AA71" s="89" t="s">
        <v>4433</v>
      </c>
      <c r="AB71" s="89" t="s">
        <v>2688</v>
      </c>
      <c r="AC71" s="89" t="s">
        <v>564</v>
      </c>
      <c r="AD71" s="89" t="s">
        <v>565</v>
      </c>
      <c r="AE71" s="87"/>
      <c r="AF71" s="89" t="s">
        <v>2728</v>
      </c>
      <c r="AG71" s="46" t="s">
        <v>4117</v>
      </c>
      <c r="AH71" s="87" t="s">
        <v>4434</v>
      </c>
      <c r="AI71" s="86">
        <v>1965.0</v>
      </c>
      <c r="AJ71" s="86">
        <v>1965.0</v>
      </c>
      <c r="AK71" s="86" t="s">
        <v>70</v>
      </c>
      <c r="AL71" s="86"/>
      <c r="AM71" s="86"/>
      <c r="AN71" s="86"/>
      <c r="AO71" s="86"/>
      <c r="AP71" s="86"/>
      <c r="AQ71" s="86"/>
    </row>
    <row r="72">
      <c r="A72" s="86">
        <v>70.0</v>
      </c>
      <c r="B72" s="87" t="s">
        <v>4435</v>
      </c>
      <c r="C72" s="87" t="s">
        <v>4436</v>
      </c>
      <c r="D72" s="87" t="s">
        <v>4428</v>
      </c>
      <c r="E72" s="88" t="s">
        <v>298</v>
      </c>
      <c r="F72" s="86" t="s">
        <v>73</v>
      </c>
      <c r="G72" s="88" t="s">
        <v>315</v>
      </c>
      <c r="H72" s="87"/>
      <c r="I72" s="87">
        <v>6.0</v>
      </c>
      <c r="J72" s="87" t="s">
        <v>4437</v>
      </c>
      <c r="K72" s="87" t="s">
        <v>4435</v>
      </c>
      <c r="L72" s="87" t="s">
        <v>4438</v>
      </c>
      <c r="M72" s="86" t="s">
        <v>298</v>
      </c>
      <c r="N72" s="87" t="s">
        <v>4436</v>
      </c>
      <c r="O72" s="87"/>
      <c r="P72" s="87">
        <v>2015.0</v>
      </c>
      <c r="Q72" s="87" t="s">
        <v>4439</v>
      </c>
      <c r="R72" s="87" t="s">
        <v>4440</v>
      </c>
      <c r="S72" s="87" t="s">
        <v>1805</v>
      </c>
      <c r="T72" s="87" t="s">
        <v>2673</v>
      </c>
      <c r="U72" s="86" t="s">
        <v>1807</v>
      </c>
      <c r="V72" s="87">
        <v>8.0</v>
      </c>
      <c r="W72" s="87"/>
      <c r="X72" s="87"/>
      <c r="Y72" s="87"/>
      <c r="Z72" s="89" t="s">
        <v>564</v>
      </c>
      <c r="AA72" s="89" t="s">
        <v>4433</v>
      </c>
      <c r="AB72" s="89" t="s">
        <v>2688</v>
      </c>
      <c r="AC72" s="89" t="s">
        <v>564</v>
      </c>
      <c r="AD72" s="89" t="s">
        <v>565</v>
      </c>
      <c r="AE72" s="87"/>
      <c r="AF72" s="89" t="s">
        <v>2728</v>
      </c>
      <c r="AG72" s="46" t="s">
        <v>4117</v>
      </c>
      <c r="AH72" s="87" t="s">
        <v>4441</v>
      </c>
      <c r="AI72" s="86">
        <v>2015.0</v>
      </c>
      <c r="AJ72" s="86">
        <v>2015.0</v>
      </c>
      <c r="AK72" s="86" t="s">
        <v>70</v>
      </c>
      <c r="AL72" s="86"/>
      <c r="AM72" s="86"/>
      <c r="AN72" s="86"/>
      <c r="AO72" s="86"/>
      <c r="AP72" s="86"/>
      <c r="AQ72" s="86"/>
    </row>
    <row r="73">
      <c r="A73" s="86">
        <v>71.0</v>
      </c>
      <c r="B73" s="87" t="s">
        <v>4442</v>
      </c>
      <c r="C73" s="87" t="s">
        <v>4443</v>
      </c>
      <c r="D73" s="87" t="s">
        <v>4428</v>
      </c>
      <c r="E73" s="88" t="s">
        <v>298</v>
      </c>
      <c r="F73" s="86" t="s">
        <v>73</v>
      </c>
      <c r="G73" s="88" t="s">
        <v>315</v>
      </c>
      <c r="H73" s="87"/>
      <c r="I73" s="87">
        <v>1.0</v>
      </c>
      <c r="J73" s="87" t="s">
        <v>4444</v>
      </c>
      <c r="K73" s="87" t="s">
        <v>4442</v>
      </c>
      <c r="L73" s="87" t="s">
        <v>4445</v>
      </c>
      <c r="M73" s="86" t="s">
        <v>298</v>
      </c>
      <c r="N73" s="87" t="s">
        <v>4443</v>
      </c>
      <c r="O73" s="87"/>
      <c r="P73" s="87">
        <v>2022.0</v>
      </c>
      <c r="Q73" s="87" t="s">
        <v>4439</v>
      </c>
      <c r="R73" s="87" t="s">
        <v>4440</v>
      </c>
      <c r="S73" s="87" t="s">
        <v>1805</v>
      </c>
      <c r="T73" s="87" t="s">
        <v>2673</v>
      </c>
      <c r="U73" s="86" t="s">
        <v>1807</v>
      </c>
      <c r="V73" s="87">
        <v>8.0</v>
      </c>
      <c r="W73" s="87"/>
      <c r="X73" s="87"/>
      <c r="Y73" s="87"/>
      <c r="Z73" s="89" t="s">
        <v>564</v>
      </c>
      <c r="AA73" s="89" t="s">
        <v>4433</v>
      </c>
      <c r="AB73" s="89" t="s">
        <v>2688</v>
      </c>
      <c r="AC73" s="89" t="s">
        <v>564</v>
      </c>
      <c r="AD73" s="89" t="s">
        <v>565</v>
      </c>
      <c r="AE73" s="87"/>
      <c r="AF73" s="89" t="s">
        <v>2728</v>
      </c>
      <c r="AG73" s="46" t="s">
        <v>4117</v>
      </c>
      <c r="AH73" s="87" t="s">
        <v>4441</v>
      </c>
      <c r="AI73" s="86">
        <v>2022.0</v>
      </c>
      <c r="AJ73" s="86">
        <v>2022.0</v>
      </c>
      <c r="AK73" s="86" t="s">
        <v>70</v>
      </c>
      <c r="AL73" s="86"/>
      <c r="AM73" s="86"/>
      <c r="AN73" s="86"/>
      <c r="AO73" s="86"/>
      <c r="AP73" s="86"/>
      <c r="AQ73" s="86"/>
    </row>
    <row r="74">
      <c r="A74" s="86">
        <v>72.0</v>
      </c>
      <c r="B74" s="46" t="s">
        <v>4446</v>
      </c>
      <c r="C74" s="87" t="s">
        <v>4447</v>
      </c>
      <c r="D74" s="87" t="s">
        <v>2734</v>
      </c>
      <c r="E74" s="88" t="s">
        <v>298</v>
      </c>
      <c r="F74" s="86" t="s">
        <v>73</v>
      </c>
      <c r="G74" s="88" t="s">
        <v>315</v>
      </c>
      <c r="H74" s="87"/>
      <c r="I74" s="87">
        <v>6.0</v>
      </c>
      <c r="J74" s="87" t="s">
        <v>4448</v>
      </c>
      <c r="K74" s="46" t="s">
        <v>4446</v>
      </c>
      <c r="L74" s="87" t="s">
        <v>4449</v>
      </c>
      <c r="M74" s="86" t="s">
        <v>298</v>
      </c>
      <c r="N74" s="87" t="s">
        <v>4447</v>
      </c>
      <c r="O74" s="87"/>
      <c r="P74" s="87">
        <v>2015.0</v>
      </c>
      <c r="Q74" s="87" t="s">
        <v>4450</v>
      </c>
      <c r="R74" s="87" t="s">
        <v>4451</v>
      </c>
      <c r="S74" s="87" t="s">
        <v>1805</v>
      </c>
      <c r="T74" s="87" t="s">
        <v>2673</v>
      </c>
      <c r="U74" s="86" t="s">
        <v>1807</v>
      </c>
      <c r="V74" s="87">
        <v>5.0</v>
      </c>
      <c r="W74" s="87"/>
      <c r="X74" s="87"/>
      <c r="Y74" s="87"/>
      <c r="Z74" s="89" t="s">
        <v>564</v>
      </c>
      <c r="AA74" s="46" t="s">
        <v>4452</v>
      </c>
      <c r="AB74" s="89" t="s">
        <v>2741</v>
      </c>
      <c r="AC74" s="89" t="s">
        <v>564</v>
      </c>
      <c r="AD74" s="89" t="s">
        <v>565</v>
      </c>
      <c r="AE74" s="87"/>
      <c r="AF74" s="89" t="s">
        <v>2728</v>
      </c>
      <c r="AG74" s="46" t="s">
        <v>4117</v>
      </c>
      <c r="AH74" s="87" t="s">
        <v>4453</v>
      </c>
      <c r="AI74" s="86">
        <v>2015.0</v>
      </c>
      <c r="AJ74" s="86">
        <v>2015.0</v>
      </c>
      <c r="AK74" s="86" t="s">
        <v>70</v>
      </c>
      <c r="AL74" s="86"/>
      <c r="AM74" s="86"/>
      <c r="AN74" s="86"/>
      <c r="AO74" s="86"/>
      <c r="AP74" s="86"/>
      <c r="AQ74" s="86"/>
    </row>
    <row r="75">
      <c r="A75" s="86">
        <v>73.0</v>
      </c>
      <c r="B75" s="87" t="s">
        <v>4454</v>
      </c>
      <c r="C75" s="87" t="s">
        <v>4455</v>
      </c>
      <c r="D75" s="87" t="s">
        <v>2734</v>
      </c>
      <c r="E75" s="88" t="s">
        <v>298</v>
      </c>
      <c r="F75" s="86" t="s">
        <v>73</v>
      </c>
      <c r="G75" s="88" t="s">
        <v>315</v>
      </c>
      <c r="H75" s="87"/>
      <c r="I75" s="87">
        <v>8.0</v>
      </c>
      <c r="J75" s="87" t="s">
        <v>4456</v>
      </c>
      <c r="K75" s="87" t="s">
        <v>4454</v>
      </c>
      <c r="L75" s="87" t="s">
        <v>4457</v>
      </c>
      <c r="M75" s="86" t="s">
        <v>298</v>
      </c>
      <c r="N75" s="87" t="s">
        <v>4455</v>
      </c>
      <c r="O75" s="87"/>
      <c r="P75" s="87">
        <v>2003.0</v>
      </c>
      <c r="Q75" s="87" t="s">
        <v>4458</v>
      </c>
      <c r="R75" s="87" t="s">
        <v>4459</v>
      </c>
      <c r="S75" s="87" t="s">
        <v>1805</v>
      </c>
      <c r="T75" s="87" t="s">
        <v>2673</v>
      </c>
      <c r="U75" s="86" t="s">
        <v>1807</v>
      </c>
      <c r="V75" s="87">
        <v>5.0</v>
      </c>
      <c r="W75" s="87"/>
      <c r="X75" s="87"/>
      <c r="Y75" s="87"/>
      <c r="Z75" s="89" t="s">
        <v>564</v>
      </c>
      <c r="AA75" s="46" t="s">
        <v>4452</v>
      </c>
      <c r="AB75" s="89" t="s">
        <v>2741</v>
      </c>
      <c r="AC75" s="89" t="s">
        <v>564</v>
      </c>
      <c r="AD75" s="89" t="s">
        <v>565</v>
      </c>
      <c r="AE75" s="87"/>
      <c r="AF75" s="89" t="s">
        <v>2728</v>
      </c>
      <c r="AG75" s="46" t="s">
        <v>4117</v>
      </c>
      <c r="AH75" s="87" t="s">
        <v>4460</v>
      </c>
      <c r="AI75" s="86">
        <v>2003.0</v>
      </c>
      <c r="AJ75" s="86">
        <v>2003.0</v>
      </c>
      <c r="AK75" s="86" t="s">
        <v>70</v>
      </c>
      <c r="AL75" s="86"/>
      <c r="AM75" s="86"/>
      <c r="AN75" s="86"/>
      <c r="AO75" s="86"/>
      <c r="AP75" s="86"/>
      <c r="AQ75" s="86"/>
    </row>
    <row r="76">
      <c r="A76" s="86">
        <v>74.0</v>
      </c>
      <c r="B76" s="87" t="s">
        <v>4461</v>
      </c>
      <c r="C76" s="87" t="s">
        <v>4462</v>
      </c>
      <c r="D76" s="87" t="s">
        <v>2734</v>
      </c>
      <c r="E76" s="88" t="s">
        <v>298</v>
      </c>
      <c r="F76" s="86" t="s">
        <v>73</v>
      </c>
      <c r="G76" s="88" t="s">
        <v>315</v>
      </c>
      <c r="H76" s="87"/>
      <c r="I76" s="87">
        <v>112.0</v>
      </c>
      <c r="J76" s="87" t="s">
        <v>4463</v>
      </c>
      <c r="K76" s="87" t="s">
        <v>4461</v>
      </c>
      <c r="L76" s="87" t="s">
        <v>4464</v>
      </c>
      <c r="M76" s="86" t="s">
        <v>298</v>
      </c>
      <c r="N76" s="87" t="s">
        <v>4462</v>
      </c>
      <c r="O76" s="87"/>
      <c r="P76" s="87">
        <v>2011.0</v>
      </c>
      <c r="Q76" s="87" t="s">
        <v>4458</v>
      </c>
      <c r="R76" s="87" t="s">
        <v>4459</v>
      </c>
      <c r="S76" s="87" t="s">
        <v>1805</v>
      </c>
      <c r="T76" s="87" t="s">
        <v>2673</v>
      </c>
      <c r="U76" s="86" t="s">
        <v>1807</v>
      </c>
      <c r="V76" s="87">
        <v>5.0</v>
      </c>
      <c r="W76" s="87"/>
      <c r="X76" s="87"/>
      <c r="Y76" s="87"/>
      <c r="Z76" s="89" t="s">
        <v>564</v>
      </c>
      <c r="AA76" s="46" t="s">
        <v>4452</v>
      </c>
      <c r="AB76" s="89" t="s">
        <v>2741</v>
      </c>
      <c r="AC76" s="89" t="s">
        <v>564</v>
      </c>
      <c r="AD76" s="89" t="s">
        <v>565</v>
      </c>
      <c r="AE76" s="87"/>
      <c r="AF76" s="89" t="s">
        <v>2728</v>
      </c>
      <c r="AG76" s="46" t="s">
        <v>4117</v>
      </c>
      <c r="AH76" s="87" t="s">
        <v>4465</v>
      </c>
      <c r="AI76" s="86">
        <v>2011.0</v>
      </c>
      <c r="AJ76" s="86">
        <v>2011.0</v>
      </c>
      <c r="AK76" s="86" t="s">
        <v>70</v>
      </c>
      <c r="AL76" s="86"/>
      <c r="AM76" s="86"/>
      <c r="AN76" s="86"/>
      <c r="AO76" s="86"/>
      <c r="AP76" s="86"/>
      <c r="AQ76" s="86"/>
    </row>
    <row r="77">
      <c r="A77" s="86">
        <v>75.0</v>
      </c>
      <c r="B77" s="87" t="s">
        <v>4466</v>
      </c>
      <c r="C77" s="87" t="s">
        <v>4467</v>
      </c>
      <c r="D77" s="87" t="s">
        <v>2734</v>
      </c>
      <c r="E77" s="88" t="s">
        <v>298</v>
      </c>
      <c r="F77" s="86" t="s">
        <v>73</v>
      </c>
      <c r="G77" s="88" t="s">
        <v>315</v>
      </c>
      <c r="H77" s="87"/>
      <c r="I77" s="87">
        <v>37.0</v>
      </c>
      <c r="J77" s="87" t="s">
        <v>4468</v>
      </c>
      <c r="K77" s="87" t="s">
        <v>4466</v>
      </c>
      <c r="L77" s="87" t="s">
        <v>4469</v>
      </c>
      <c r="M77" s="86" t="s">
        <v>298</v>
      </c>
      <c r="N77" s="87" t="s">
        <v>4467</v>
      </c>
      <c r="O77" s="87"/>
      <c r="P77" s="87">
        <v>2006.0</v>
      </c>
      <c r="Q77" s="87" t="s">
        <v>4458</v>
      </c>
      <c r="R77" s="87" t="s">
        <v>4459</v>
      </c>
      <c r="S77" s="87" t="s">
        <v>1805</v>
      </c>
      <c r="T77" s="87" t="s">
        <v>2673</v>
      </c>
      <c r="U77" s="86" t="s">
        <v>1807</v>
      </c>
      <c r="V77" s="87">
        <v>5.0</v>
      </c>
      <c r="W77" s="87"/>
      <c r="X77" s="87"/>
      <c r="Y77" s="87"/>
      <c r="Z77" s="89" t="s">
        <v>564</v>
      </c>
      <c r="AA77" s="46" t="s">
        <v>4452</v>
      </c>
      <c r="AB77" s="89" t="s">
        <v>2741</v>
      </c>
      <c r="AC77" s="89" t="s">
        <v>564</v>
      </c>
      <c r="AD77" s="89" t="s">
        <v>565</v>
      </c>
      <c r="AE77" s="87"/>
      <c r="AF77" s="89" t="s">
        <v>2728</v>
      </c>
      <c r="AG77" s="46" t="s">
        <v>4117</v>
      </c>
      <c r="AH77" s="87" t="s">
        <v>4470</v>
      </c>
      <c r="AI77" s="86">
        <v>2006.0</v>
      </c>
      <c r="AJ77" s="86">
        <v>2006.0</v>
      </c>
      <c r="AK77" s="86" t="s">
        <v>70</v>
      </c>
      <c r="AL77" s="86"/>
      <c r="AM77" s="86"/>
      <c r="AN77" s="86"/>
      <c r="AO77" s="86"/>
      <c r="AP77" s="86"/>
      <c r="AQ77" s="86"/>
    </row>
    <row r="78">
      <c r="A78" s="86">
        <v>76.0</v>
      </c>
      <c r="B78" s="87" t="s">
        <v>4471</v>
      </c>
      <c r="C78" s="87" t="s">
        <v>4472</v>
      </c>
      <c r="D78" s="87" t="s">
        <v>3660</v>
      </c>
      <c r="E78" s="88" t="s">
        <v>298</v>
      </c>
      <c r="F78" s="86" t="s">
        <v>73</v>
      </c>
      <c r="G78" s="88" t="s">
        <v>315</v>
      </c>
      <c r="H78" s="87"/>
      <c r="I78" s="87">
        <v>23.0</v>
      </c>
      <c r="J78" s="87" t="s">
        <v>4473</v>
      </c>
      <c r="K78" s="87" t="s">
        <v>4471</v>
      </c>
      <c r="L78" s="87" t="s">
        <v>4474</v>
      </c>
      <c r="M78" s="86" t="s">
        <v>298</v>
      </c>
      <c r="N78" s="87" t="s">
        <v>4472</v>
      </c>
      <c r="O78" s="87"/>
      <c r="P78" s="87">
        <v>2016.0</v>
      </c>
      <c r="Q78" s="87" t="s">
        <v>3135</v>
      </c>
      <c r="R78" s="87" t="s">
        <v>3136</v>
      </c>
      <c r="S78" s="87" t="s">
        <v>1805</v>
      </c>
      <c r="T78" s="87" t="s">
        <v>2673</v>
      </c>
      <c r="U78" s="86" t="s">
        <v>1807</v>
      </c>
      <c r="V78" s="87">
        <v>6.0</v>
      </c>
      <c r="W78" s="87"/>
      <c r="X78" s="87"/>
      <c r="Y78" s="87"/>
      <c r="Z78" s="89" t="s">
        <v>564</v>
      </c>
      <c r="AA78" s="46" t="s">
        <v>4475</v>
      </c>
      <c r="AB78" s="89" t="s">
        <v>2741</v>
      </c>
      <c r="AC78" s="89" t="s">
        <v>564</v>
      </c>
      <c r="AD78" s="89" t="s">
        <v>565</v>
      </c>
      <c r="AE78" s="87"/>
      <c r="AF78" s="89" t="s">
        <v>2728</v>
      </c>
      <c r="AG78" s="46" t="s">
        <v>4117</v>
      </c>
      <c r="AH78" s="87" t="s">
        <v>4476</v>
      </c>
      <c r="AI78" s="86">
        <v>2016.0</v>
      </c>
      <c r="AJ78" s="86">
        <v>2016.0</v>
      </c>
      <c r="AK78" s="86" t="s">
        <v>70</v>
      </c>
      <c r="AL78" s="86"/>
      <c r="AM78" s="86"/>
      <c r="AN78" s="86"/>
      <c r="AO78" s="86"/>
      <c r="AP78" s="86"/>
      <c r="AQ78" s="86"/>
    </row>
    <row r="79">
      <c r="A79" s="86">
        <v>77.0</v>
      </c>
      <c r="B79" s="87" t="s">
        <v>4477</v>
      </c>
      <c r="C79" s="87" t="s">
        <v>4478</v>
      </c>
      <c r="D79" s="87" t="s">
        <v>3660</v>
      </c>
      <c r="E79" s="88" t="s">
        <v>298</v>
      </c>
      <c r="F79" s="86" t="s">
        <v>73</v>
      </c>
      <c r="G79" s="88" t="s">
        <v>315</v>
      </c>
      <c r="H79" s="87"/>
      <c r="I79" s="87">
        <v>19.0</v>
      </c>
      <c r="J79" s="87" t="s">
        <v>4479</v>
      </c>
      <c r="K79" s="87" t="s">
        <v>4477</v>
      </c>
      <c r="L79" s="87" t="s">
        <v>4480</v>
      </c>
      <c r="M79" s="86" t="s">
        <v>298</v>
      </c>
      <c r="N79" s="87" t="s">
        <v>4478</v>
      </c>
      <c r="O79" s="87"/>
      <c r="P79" s="87">
        <v>2013.0</v>
      </c>
      <c r="Q79" s="87" t="s">
        <v>3135</v>
      </c>
      <c r="R79" s="87" t="s">
        <v>3136</v>
      </c>
      <c r="S79" s="87" t="s">
        <v>1805</v>
      </c>
      <c r="T79" s="87" t="s">
        <v>2673</v>
      </c>
      <c r="U79" s="86" t="s">
        <v>1807</v>
      </c>
      <c r="V79" s="87">
        <v>6.0</v>
      </c>
      <c r="W79" s="87"/>
      <c r="X79" s="87"/>
      <c r="Y79" s="87"/>
      <c r="Z79" s="89" t="s">
        <v>564</v>
      </c>
      <c r="AA79" s="46" t="s">
        <v>4475</v>
      </c>
      <c r="AB79" s="89" t="s">
        <v>2741</v>
      </c>
      <c r="AC79" s="89" t="s">
        <v>564</v>
      </c>
      <c r="AD79" s="89" t="s">
        <v>565</v>
      </c>
      <c r="AE79" s="87"/>
      <c r="AF79" s="89" t="s">
        <v>2728</v>
      </c>
      <c r="AG79" s="46" t="s">
        <v>4117</v>
      </c>
      <c r="AH79" s="87" t="s">
        <v>4481</v>
      </c>
      <c r="AI79" s="86">
        <v>2013.0</v>
      </c>
      <c r="AJ79" s="86">
        <v>2013.0</v>
      </c>
      <c r="AK79" s="86" t="s">
        <v>70</v>
      </c>
      <c r="AL79" s="86"/>
      <c r="AM79" s="86"/>
      <c r="AN79" s="86"/>
      <c r="AO79" s="86"/>
      <c r="AP79" s="86"/>
      <c r="AQ79" s="86"/>
    </row>
    <row r="80">
      <c r="A80" s="86">
        <v>78.0</v>
      </c>
      <c r="B80" s="87" t="s">
        <v>4482</v>
      </c>
      <c r="C80" s="87" t="s">
        <v>4483</v>
      </c>
      <c r="D80" s="87" t="s">
        <v>3851</v>
      </c>
      <c r="E80" s="88" t="s">
        <v>298</v>
      </c>
      <c r="F80" s="86" t="s">
        <v>73</v>
      </c>
      <c r="G80" s="88" t="s">
        <v>315</v>
      </c>
      <c r="H80" s="87"/>
      <c r="I80" s="87">
        <v>3.0</v>
      </c>
      <c r="J80" s="87" t="s">
        <v>4484</v>
      </c>
      <c r="K80" s="87" t="s">
        <v>4482</v>
      </c>
      <c r="L80" s="87" t="s">
        <v>4485</v>
      </c>
      <c r="M80" s="86" t="s">
        <v>298</v>
      </c>
      <c r="N80" s="87" t="s">
        <v>4483</v>
      </c>
      <c r="O80" s="87"/>
      <c r="P80" s="87">
        <v>2015.0</v>
      </c>
      <c r="Q80" s="87" t="s">
        <v>4151</v>
      </c>
      <c r="R80" s="87" t="s">
        <v>4152</v>
      </c>
      <c r="S80" s="87" t="s">
        <v>1805</v>
      </c>
      <c r="T80" s="87" t="s">
        <v>2673</v>
      </c>
      <c r="U80" s="86" t="s">
        <v>1807</v>
      </c>
      <c r="V80" s="87">
        <v>5.0</v>
      </c>
      <c r="W80" s="87"/>
      <c r="X80" s="87"/>
      <c r="Y80" s="87"/>
      <c r="Z80" s="89" t="s">
        <v>564</v>
      </c>
      <c r="AA80" s="46" t="s">
        <v>4486</v>
      </c>
      <c r="AB80" s="89" t="s">
        <v>2741</v>
      </c>
      <c r="AC80" s="89" t="s">
        <v>564</v>
      </c>
      <c r="AD80" s="89" t="s">
        <v>565</v>
      </c>
      <c r="AE80" s="87"/>
      <c r="AF80" s="89" t="s">
        <v>2728</v>
      </c>
      <c r="AG80" s="46" t="s">
        <v>4117</v>
      </c>
      <c r="AH80" s="87" t="s">
        <v>4487</v>
      </c>
      <c r="AI80" s="86">
        <v>2015.0</v>
      </c>
      <c r="AJ80" s="86">
        <v>2015.0</v>
      </c>
      <c r="AK80" s="86" t="s">
        <v>70</v>
      </c>
      <c r="AL80" s="86"/>
      <c r="AM80" s="86"/>
      <c r="AN80" s="86"/>
      <c r="AO80" s="86"/>
      <c r="AP80" s="86"/>
      <c r="AQ80" s="86"/>
    </row>
    <row r="81">
      <c r="A81" s="86">
        <v>79.0</v>
      </c>
      <c r="B81" s="87" t="s">
        <v>4488</v>
      </c>
      <c r="C81" s="87" t="s">
        <v>4489</v>
      </c>
      <c r="D81" s="87" t="s">
        <v>3851</v>
      </c>
      <c r="E81" s="88" t="s">
        <v>298</v>
      </c>
      <c r="F81" s="86" t="s">
        <v>73</v>
      </c>
      <c r="G81" s="88" t="s">
        <v>315</v>
      </c>
      <c r="H81" s="87"/>
      <c r="I81" s="87">
        <v>4.0</v>
      </c>
      <c r="J81" s="87" t="s">
        <v>4490</v>
      </c>
      <c r="K81" s="87" t="s">
        <v>4488</v>
      </c>
      <c r="L81" s="87" t="s">
        <v>4491</v>
      </c>
      <c r="M81" s="86" t="s">
        <v>298</v>
      </c>
      <c r="N81" s="87" t="s">
        <v>4489</v>
      </c>
      <c r="O81" s="87"/>
      <c r="P81" s="87">
        <v>2017.0</v>
      </c>
      <c r="Q81" s="87" t="s">
        <v>4151</v>
      </c>
      <c r="R81" s="87" t="s">
        <v>4152</v>
      </c>
      <c r="S81" s="87" t="s">
        <v>1805</v>
      </c>
      <c r="T81" s="87" t="s">
        <v>2673</v>
      </c>
      <c r="U81" s="86" t="s">
        <v>1807</v>
      </c>
      <c r="V81" s="87">
        <v>5.0</v>
      </c>
      <c r="W81" s="87"/>
      <c r="X81" s="87"/>
      <c r="Y81" s="87"/>
      <c r="Z81" s="89" t="s">
        <v>564</v>
      </c>
      <c r="AA81" s="46" t="s">
        <v>4486</v>
      </c>
      <c r="AB81" s="89" t="s">
        <v>2741</v>
      </c>
      <c r="AC81" s="89" t="s">
        <v>564</v>
      </c>
      <c r="AD81" s="89" t="s">
        <v>565</v>
      </c>
      <c r="AE81" s="87"/>
      <c r="AF81" s="89" t="s">
        <v>2728</v>
      </c>
      <c r="AG81" s="46" t="s">
        <v>4117</v>
      </c>
      <c r="AH81" s="87" t="s">
        <v>4487</v>
      </c>
      <c r="AI81" s="86">
        <v>2017.0</v>
      </c>
      <c r="AJ81" s="86">
        <v>2017.0</v>
      </c>
      <c r="AK81" s="86" t="s">
        <v>70</v>
      </c>
      <c r="AL81" s="86"/>
      <c r="AM81" s="86"/>
      <c r="AN81" s="86"/>
      <c r="AO81" s="86"/>
      <c r="AP81" s="86"/>
      <c r="AQ81" s="86"/>
    </row>
    <row r="82">
      <c r="A82" s="86">
        <v>80.0</v>
      </c>
      <c r="B82" s="87" t="s">
        <v>4492</v>
      </c>
      <c r="C82" s="87" t="s">
        <v>4493</v>
      </c>
      <c r="D82" s="87" t="s">
        <v>3851</v>
      </c>
      <c r="E82" s="88" t="s">
        <v>298</v>
      </c>
      <c r="F82" s="86" t="s">
        <v>73</v>
      </c>
      <c r="G82" s="88" t="s">
        <v>315</v>
      </c>
      <c r="H82" s="87"/>
      <c r="I82" s="87">
        <v>2.0</v>
      </c>
      <c r="J82" s="87" t="s">
        <v>4494</v>
      </c>
      <c r="K82" s="87" t="s">
        <v>4492</v>
      </c>
      <c r="L82" s="87" t="s">
        <v>4495</v>
      </c>
      <c r="M82" s="86" t="s">
        <v>298</v>
      </c>
      <c r="N82" s="87" t="s">
        <v>4493</v>
      </c>
      <c r="O82" s="87"/>
      <c r="P82" s="87">
        <v>2017.0</v>
      </c>
      <c r="Q82" s="87" t="s">
        <v>4151</v>
      </c>
      <c r="R82" s="87" t="s">
        <v>4152</v>
      </c>
      <c r="S82" s="87" t="s">
        <v>1805</v>
      </c>
      <c r="T82" s="87" t="s">
        <v>2673</v>
      </c>
      <c r="U82" s="86" t="s">
        <v>1807</v>
      </c>
      <c r="V82" s="87">
        <v>5.0</v>
      </c>
      <c r="W82" s="87"/>
      <c r="X82" s="87"/>
      <c r="Y82" s="87"/>
      <c r="Z82" s="89" t="s">
        <v>564</v>
      </c>
      <c r="AA82" s="46" t="s">
        <v>4486</v>
      </c>
      <c r="AB82" s="89" t="s">
        <v>2741</v>
      </c>
      <c r="AC82" s="89" t="s">
        <v>564</v>
      </c>
      <c r="AD82" s="89" t="s">
        <v>565</v>
      </c>
      <c r="AE82" s="87"/>
      <c r="AF82" s="89" t="s">
        <v>2728</v>
      </c>
      <c r="AG82" s="46" t="s">
        <v>4117</v>
      </c>
      <c r="AH82" s="87" t="s">
        <v>4487</v>
      </c>
      <c r="AI82" s="86">
        <v>2017.0</v>
      </c>
      <c r="AJ82" s="86">
        <v>2017.0</v>
      </c>
      <c r="AK82" s="86" t="s">
        <v>70</v>
      </c>
      <c r="AL82" s="86"/>
      <c r="AM82" s="86"/>
      <c r="AN82" s="86"/>
      <c r="AO82" s="86"/>
      <c r="AP82" s="86"/>
      <c r="AQ82" s="86"/>
    </row>
    <row r="83">
      <c r="A83" s="86">
        <v>81.0</v>
      </c>
      <c r="B83" s="87" t="s">
        <v>4496</v>
      </c>
      <c r="C83" s="87" t="s">
        <v>4497</v>
      </c>
      <c r="D83" s="87" t="s">
        <v>3851</v>
      </c>
      <c r="E83" s="88" t="s">
        <v>298</v>
      </c>
      <c r="F83" s="86" t="s">
        <v>73</v>
      </c>
      <c r="G83" s="88" t="s">
        <v>315</v>
      </c>
      <c r="H83" s="87"/>
      <c r="I83" s="87">
        <v>2.0</v>
      </c>
      <c r="J83" s="87" t="s">
        <v>4498</v>
      </c>
      <c r="K83" s="87" t="s">
        <v>4496</v>
      </c>
      <c r="L83" s="87" t="s">
        <v>4499</v>
      </c>
      <c r="M83" s="86" t="s">
        <v>298</v>
      </c>
      <c r="N83" s="87" t="s">
        <v>4497</v>
      </c>
      <c r="O83" s="87"/>
      <c r="P83" s="87">
        <v>2015.0</v>
      </c>
      <c r="Q83" s="87" t="s">
        <v>4151</v>
      </c>
      <c r="R83" s="87" t="s">
        <v>4152</v>
      </c>
      <c r="S83" s="87" t="s">
        <v>1805</v>
      </c>
      <c r="T83" s="87" t="s">
        <v>2673</v>
      </c>
      <c r="U83" s="86" t="s">
        <v>1807</v>
      </c>
      <c r="V83" s="87">
        <v>5.0</v>
      </c>
      <c r="W83" s="87"/>
      <c r="X83" s="87"/>
      <c r="Y83" s="87"/>
      <c r="Z83" s="89" t="s">
        <v>564</v>
      </c>
      <c r="AA83" s="46" t="s">
        <v>4486</v>
      </c>
      <c r="AB83" s="89" t="s">
        <v>2741</v>
      </c>
      <c r="AC83" s="89" t="s">
        <v>564</v>
      </c>
      <c r="AD83" s="89" t="s">
        <v>565</v>
      </c>
      <c r="AE83" s="87"/>
      <c r="AF83" s="89" t="s">
        <v>2728</v>
      </c>
      <c r="AG83" s="46" t="s">
        <v>4117</v>
      </c>
      <c r="AH83" s="87" t="s">
        <v>4487</v>
      </c>
      <c r="AI83" s="86">
        <v>2015.0</v>
      </c>
      <c r="AJ83" s="86">
        <v>2015.0</v>
      </c>
      <c r="AK83" s="86" t="s">
        <v>70</v>
      </c>
      <c r="AL83" s="86"/>
      <c r="AM83" s="86"/>
      <c r="AN83" s="86"/>
      <c r="AO83" s="86"/>
      <c r="AP83" s="86"/>
      <c r="AQ83" s="86"/>
    </row>
    <row r="84">
      <c r="A84" s="86">
        <v>82.0</v>
      </c>
      <c r="B84" s="46" t="s">
        <v>4500</v>
      </c>
      <c r="C84" s="87" t="s">
        <v>4501</v>
      </c>
      <c r="D84" s="87" t="s">
        <v>3851</v>
      </c>
      <c r="E84" s="88" t="s">
        <v>298</v>
      </c>
      <c r="F84" s="86" t="s">
        <v>73</v>
      </c>
      <c r="G84" s="88" t="s">
        <v>315</v>
      </c>
      <c r="H84" s="87"/>
      <c r="I84" s="87">
        <v>16.0</v>
      </c>
      <c r="J84" s="87" t="s">
        <v>4502</v>
      </c>
      <c r="K84" s="46" t="s">
        <v>4500</v>
      </c>
      <c r="L84" s="46" t="s">
        <v>4503</v>
      </c>
      <c r="M84" s="86" t="s">
        <v>298</v>
      </c>
      <c r="N84" s="87" t="s">
        <v>4501</v>
      </c>
      <c r="O84" s="87"/>
      <c r="P84" s="87">
        <v>2015.0</v>
      </c>
      <c r="Q84" s="87" t="s">
        <v>4151</v>
      </c>
      <c r="R84" s="87" t="s">
        <v>4152</v>
      </c>
      <c r="S84" s="87" t="s">
        <v>1805</v>
      </c>
      <c r="T84" s="87" t="s">
        <v>2673</v>
      </c>
      <c r="U84" s="86" t="s">
        <v>1807</v>
      </c>
      <c r="V84" s="87">
        <v>5.0</v>
      </c>
      <c r="W84" s="87"/>
      <c r="X84" s="87"/>
      <c r="Y84" s="87"/>
      <c r="Z84" s="89" t="s">
        <v>564</v>
      </c>
      <c r="AA84" s="46" t="s">
        <v>4486</v>
      </c>
      <c r="AB84" s="89" t="s">
        <v>2741</v>
      </c>
      <c r="AC84" s="89" t="s">
        <v>564</v>
      </c>
      <c r="AD84" s="89" t="s">
        <v>565</v>
      </c>
      <c r="AE84" s="87"/>
      <c r="AF84" s="89" t="s">
        <v>2728</v>
      </c>
      <c r="AG84" s="46" t="s">
        <v>4117</v>
      </c>
      <c r="AH84" s="87" t="s">
        <v>4487</v>
      </c>
      <c r="AI84" s="86">
        <v>2015.0</v>
      </c>
      <c r="AJ84" s="86">
        <v>2015.0</v>
      </c>
      <c r="AK84" s="86" t="s">
        <v>70</v>
      </c>
      <c r="AL84" s="86"/>
      <c r="AM84" s="86"/>
      <c r="AN84" s="86"/>
      <c r="AO84" s="86"/>
      <c r="AP84" s="86"/>
      <c r="AQ84" s="86"/>
    </row>
    <row r="85">
      <c r="A85" s="86">
        <v>83.0</v>
      </c>
      <c r="B85" s="87" t="s">
        <v>4504</v>
      </c>
      <c r="C85" s="87" t="s">
        <v>4505</v>
      </c>
      <c r="D85" s="87" t="s">
        <v>2705</v>
      </c>
      <c r="E85" s="88" t="s">
        <v>298</v>
      </c>
      <c r="F85" s="86" t="s">
        <v>73</v>
      </c>
      <c r="G85" s="88" t="s">
        <v>315</v>
      </c>
      <c r="H85" s="87"/>
      <c r="I85" s="87">
        <v>4.0</v>
      </c>
      <c r="J85" s="87" t="s">
        <v>4506</v>
      </c>
      <c r="K85" s="87" t="s">
        <v>4504</v>
      </c>
      <c r="L85" s="87" t="s">
        <v>4507</v>
      </c>
      <c r="M85" s="86" t="s">
        <v>298</v>
      </c>
      <c r="N85" s="87" t="s">
        <v>4505</v>
      </c>
      <c r="O85" s="87"/>
      <c r="P85" s="87">
        <v>2016.0</v>
      </c>
      <c r="Q85" s="87" t="s">
        <v>3435</v>
      </c>
      <c r="R85" s="87" t="s">
        <v>3436</v>
      </c>
      <c r="S85" s="87" t="s">
        <v>1805</v>
      </c>
      <c r="T85" s="87" t="s">
        <v>2673</v>
      </c>
      <c r="U85" s="86" t="s">
        <v>1807</v>
      </c>
      <c r="V85" s="87">
        <v>5.0</v>
      </c>
      <c r="W85" s="87"/>
      <c r="X85" s="87"/>
      <c r="Y85" s="87"/>
      <c r="Z85" s="89" t="s">
        <v>564</v>
      </c>
      <c r="AA85" s="89" t="s">
        <v>2833</v>
      </c>
      <c r="AB85" s="89" t="s">
        <v>2741</v>
      </c>
      <c r="AC85" s="89" t="s">
        <v>564</v>
      </c>
      <c r="AD85" s="89" t="s">
        <v>565</v>
      </c>
      <c r="AE85" s="87"/>
      <c r="AF85" s="89" t="s">
        <v>2728</v>
      </c>
      <c r="AG85" s="46" t="s">
        <v>4117</v>
      </c>
      <c r="AH85" s="87" t="s">
        <v>4508</v>
      </c>
      <c r="AI85" s="86">
        <v>2016.0</v>
      </c>
      <c r="AJ85" s="86">
        <v>2016.0</v>
      </c>
      <c r="AK85" s="86" t="s">
        <v>70</v>
      </c>
      <c r="AL85" s="86"/>
      <c r="AM85" s="86"/>
      <c r="AN85" s="86"/>
      <c r="AO85" s="86"/>
      <c r="AP85" s="86"/>
      <c r="AQ85" s="86"/>
    </row>
    <row r="86">
      <c r="A86" s="86">
        <v>84.0</v>
      </c>
      <c r="B86" s="87" t="s">
        <v>4509</v>
      </c>
      <c r="C86" s="87" t="s">
        <v>4510</v>
      </c>
      <c r="D86" s="87" t="s">
        <v>3660</v>
      </c>
      <c r="E86" s="88" t="s">
        <v>298</v>
      </c>
      <c r="F86" s="86" t="s">
        <v>73</v>
      </c>
      <c r="G86" s="88" t="s">
        <v>315</v>
      </c>
      <c r="H86" s="87"/>
      <c r="I86" s="87">
        <v>7.0</v>
      </c>
      <c r="J86" s="87" t="s">
        <v>4511</v>
      </c>
      <c r="K86" s="87" t="s">
        <v>4509</v>
      </c>
      <c r="L86" s="87" t="s">
        <v>4512</v>
      </c>
      <c r="M86" s="86" t="s">
        <v>298</v>
      </c>
      <c r="N86" s="87" t="s">
        <v>4510</v>
      </c>
      <c r="O86" s="87"/>
      <c r="P86" s="87">
        <v>2020.0</v>
      </c>
      <c r="Q86" s="87" t="s">
        <v>3233</v>
      </c>
      <c r="R86" s="87" t="s">
        <v>3234</v>
      </c>
      <c r="S86" s="87" t="s">
        <v>1805</v>
      </c>
      <c r="T86" s="87" t="s">
        <v>2673</v>
      </c>
      <c r="U86" s="86" t="s">
        <v>1807</v>
      </c>
      <c r="V86" s="87">
        <v>6.0</v>
      </c>
      <c r="W86" s="87"/>
      <c r="X86" s="87"/>
      <c r="Y86" s="87"/>
      <c r="Z86" s="89" t="s">
        <v>564</v>
      </c>
      <c r="AA86" s="46" t="s">
        <v>4513</v>
      </c>
      <c r="AB86" s="89" t="s">
        <v>2741</v>
      </c>
      <c r="AC86" s="89" t="s">
        <v>564</v>
      </c>
      <c r="AD86" s="89" t="s">
        <v>565</v>
      </c>
      <c r="AE86" s="87"/>
      <c r="AF86" s="89" t="s">
        <v>2728</v>
      </c>
      <c r="AG86" s="46" t="s">
        <v>4117</v>
      </c>
      <c r="AH86" s="87" t="s">
        <v>4514</v>
      </c>
      <c r="AI86" s="86">
        <v>2020.0</v>
      </c>
      <c r="AJ86" s="86">
        <v>2020.0</v>
      </c>
      <c r="AK86" s="86" t="s">
        <v>70</v>
      </c>
      <c r="AL86" s="86"/>
      <c r="AM86" s="86"/>
      <c r="AN86" s="86"/>
      <c r="AO86" s="86"/>
      <c r="AP86" s="86"/>
      <c r="AQ86" s="86"/>
    </row>
    <row r="87">
      <c r="A87" s="86">
        <v>85.0</v>
      </c>
      <c r="B87" s="87" t="s">
        <v>4515</v>
      </c>
      <c r="C87" s="87" t="s">
        <v>4516</v>
      </c>
      <c r="D87" s="87" t="s">
        <v>2734</v>
      </c>
      <c r="E87" s="88" t="s">
        <v>298</v>
      </c>
      <c r="F87" s="86" t="s">
        <v>73</v>
      </c>
      <c r="G87" s="88" t="s">
        <v>315</v>
      </c>
      <c r="H87" s="87"/>
      <c r="I87" s="87">
        <v>8.0</v>
      </c>
      <c r="J87" s="87" t="s">
        <v>4517</v>
      </c>
      <c r="K87" s="87" t="s">
        <v>4515</v>
      </c>
      <c r="L87" s="87" t="s">
        <v>4518</v>
      </c>
      <c r="M87" s="86" t="s">
        <v>298</v>
      </c>
      <c r="N87" s="87" t="s">
        <v>4516</v>
      </c>
      <c r="O87" s="87"/>
      <c r="P87" s="87">
        <v>2018.0</v>
      </c>
      <c r="Q87" s="87" t="s">
        <v>4458</v>
      </c>
      <c r="R87" s="87" t="s">
        <v>4459</v>
      </c>
      <c r="S87" s="87" t="s">
        <v>1805</v>
      </c>
      <c r="T87" s="87" t="s">
        <v>2673</v>
      </c>
      <c r="U87" s="86" t="s">
        <v>1807</v>
      </c>
      <c r="V87" s="87">
        <v>5.0</v>
      </c>
      <c r="W87" s="87"/>
      <c r="X87" s="87"/>
      <c r="Y87" s="87"/>
      <c r="Z87" s="89" t="s">
        <v>564</v>
      </c>
      <c r="AA87" s="46" t="s">
        <v>4452</v>
      </c>
      <c r="AB87" s="89" t="s">
        <v>2741</v>
      </c>
      <c r="AC87" s="89" t="s">
        <v>564</v>
      </c>
      <c r="AD87" s="89" t="s">
        <v>565</v>
      </c>
      <c r="AE87" s="87"/>
      <c r="AF87" s="89" t="s">
        <v>2728</v>
      </c>
      <c r="AG87" s="46" t="s">
        <v>4117</v>
      </c>
      <c r="AH87" s="87" t="s">
        <v>4519</v>
      </c>
      <c r="AI87" s="86">
        <v>2018.0</v>
      </c>
      <c r="AJ87" s="86">
        <v>2018.0</v>
      </c>
      <c r="AK87" s="86" t="s">
        <v>70</v>
      </c>
      <c r="AL87" s="86"/>
      <c r="AM87" s="86"/>
      <c r="AN87" s="86"/>
      <c r="AO87" s="86"/>
      <c r="AP87" s="86"/>
      <c r="AQ87" s="86"/>
    </row>
    <row r="88">
      <c r="A88" s="86">
        <v>86.0</v>
      </c>
      <c r="B88" s="87" t="s">
        <v>4520</v>
      </c>
      <c r="C88" s="87" t="s">
        <v>4521</v>
      </c>
      <c r="D88" s="87" t="s">
        <v>2734</v>
      </c>
      <c r="E88" s="88" t="s">
        <v>298</v>
      </c>
      <c r="F88" s="86" t="s">
        <v>73</v>
      </c>
      <c r="G88" s="88" t="s">
        <v>315</v>
      </c>
      <c r="H88" s="87"/>
      <c r="I88" s="87">
        <v>10.0</v>
      </c>
      <c r="J88" s="87" t="s">
        <v>4522</v>
      </c>
      <c r="K88" s="87" t="s">
        <v>4520</v>
      </c>
      <c r="L88" s="87" t="s">
        <v>4523</v>
      </c>
      <c r="M88" s="86" t="s">
        <v>298</v>
      </c>
      <c r="N88" s="87" t="s">
        <v>4521</v>
      </c>
      <c r="O88" s="87"/>
      <c r="P88" s="87">
        <v>2013.0</v>
      </c>
      <c r="Q88" s="87" t="s">
        <v>4458</v>
      </c>
      <c r="R88" s="87" t="s">
        <v>4459</v>
      </c>
      <c r="S88" s="87" t="s">
        <v>1805</v>
      </c>
      <c r="T88" s="87" t="s">
        <v>2673</v>
      </c>
      <c r="U88" s="86" t="s">
        <v>1807</v>
      </c>
      <c r="V88" s="87">
        <v>5.0</v>
      </c>
      <c r="W88" s="87"/>
      <c r="X88" s="87"/>
      <c r="Y88" s="87"/>
      <c r="Z88" s="89" t="s">
        <v>564</v>
      </c>
      <c r="AA88" s="46" t="s">
        <v>4452</v>
      </c>
      <c r="AB88" s="89" t="s">
        <v>2741</v>
      </c>
      <c r="AC88" s="89" t="s">
        <v>564</v>
      </c>
      <c r="AD88" s="89" t="s">
        <v>565</v>
      </c>
      <c r="AE88" s="87"/>
      <c r="AF88" s="89" t="s">
        <v>2728</v>
      </c>
      <c r="AG88" s="46" t="s">
        <v>4117</v>
      </c>
      <c r="AH88" s="87" t="s">
        <v>4519</v>
      </c>
      <c r="AI88" s="86">
        <v>2013.0</v>
      </c>
      <c r="AJ88" s="86">
        <v>2013.0</v>
      </c>
      <c r="AK88" s="86" t="s">
        <v>70</v>
      </c>
      <c r="AL88" s="86"/>
      <c r="AM88" s="86"/>
      <c r="AN88" s="86"/>
      <c r="AO88" s="86"/>
      <c r="AP88" s="86"/>
      <c r="AQ88" s="86"/>
    </row>
    <row r="89">
      <c r="A89" s="86">
        <v>87.0</v>
      </c>
      <c r="B89" s="87" t="s">
        <v>4524</v>
      </c>
      <c r="C89" s="87" t="s">
        <v>4525</v>
      </c>
      <c r="D89" s="87" t="s">
        <v>2734</v>
      </c>
      <c r="E89" s="88" t="s">
        <v>298</v>
      </c>
      <c r="F89" s="86" t="s">
        <v>73</v>
      </c>
      <c r="G89" s="88" t="s">
        <v>315</v>
      </c>
      <c r="H89" s="87"/>
      <c r="I89" s="87">
        <v>7.0</v>
      </c>
      <c r="J89" s="87" t="s">
        <v>4526</v>
      </c>
      <c r="K89" s="87" t="s">
        <v>4524</v>
      </c>
      <c r="L89" s="87" t="s">
        <v>4527</v>
      </c>
      <c r="M89" s="86" t="s">
        <v>298</v>
      </c>
      <c r="N89" s="87" t="s">
        <v>4525</v>
      </c>
      <c r="O89" s="87"/>
      <c r="P89" s="87">
        <v>2019.0</v>
      </c>
      <c r="Q89" s="87" t="s">
        <v>4458</v>
      </c>
      <c r="R89" s="87" t="s">
        <v>4459</v>
      </c>
      <c r="S89" s="87" t="s">
        <v>1805</v>
      </c>
      <c r="T89" s="87" t="s">
        <v>2673</v>
      </c>
      <c r="U89" s="86" t="s">
        <v>1807</v>
      </c>
      <c r="V89" s="87">
        <v>5.0</v>
      </c>
      <c r="W89" s="87"/>
      <c r="X89" s="87"/>
      <c r="Y89" s="87"/>
      <c r="Z89" s="89" t="s">
        <v>564</v>
      </c>
      <c r="AA89" s="46" t="s">
        <v>4452</v>
      </c>
      <c r="AB89" s="89" t="s">
        <v>2741</v>
      </c>
      <c r="AC89" s="89" t="s">
        <v>564</v>
      </c>
      <c r="AD89" s="89" t="s">
        <v>565</v>
      </c>
      <c r="AE89" s="87"/>
      <c r="AF89" s="89" t="s">
        <v>2728</v>
      </c>
      <c r="AG89" s="46" t="s">
        <v>4117</v>
      </c>
      <c r="AH89" s="87" t="s">
        <v>4519</v>
      </c>
      <c r="AI89" s="86">
        <v>2019.0</v>
      </c>
      <c r="AJ89" s="86">
        <v>2019.0</v>
      </c>
      <c r="AK89" s="86" t="s">
        <v>70</v>
      </c>
      <c r="AL89" s="86"/>
      <c r="AM89" s="86"/>
      <c r="AN89" s="86"/>
      <c r="AO89" s="86"/>
      <c r="AP89" s="86"/>
      <c r="AQ89" s="86"/>
    </row>
    <row r="90">
      <c r="A90" s="86">
        <v>88.0</v>
      </c>
      <c r="B90" s="87" t="s">
        <v>4528</v>
      </c>
      <c r="C90" s="87" t="s">
        <v>4529</v>
      </c>
      <c r="D90" s="87" t="s">
        <v>2734</v>
      </c>
      <c r="E90" s="88" t="s">
        <v>298</v>
      </c>
      <c r="F90" s="86" t="s">
        <v>73</v>
      </c>
      <c r="G90" s="88" t="s">
        <v>315</v>
      </c>
      <c r="H90" s="87"/>
      <c r="I90" s="87">
        <v>12.0</v>
      </c>
      <c r="J90" s="87" t="s">
        <v>4530</v>
      </c>
      <c r="K90" s="87" t="s">
        <v>4528</v>
      </c>
      <c r="L90" s="87" t="s">
        <v>4531</v>
      </c>
      <c r="M90" s="86" t="s">
        <v>298</v>
      </c>
      <c r="N90" s="87" t="s">
        <v>4529</v>
      </c>
      <c r="O90" s="87"/>
      <c r="P90" s="87">
        <v>2020.0</v>
      </c>
      <c r="Q90" s="87" t="s">
        <v>4450</v>
      </c>
      <c r="R90" s="87" t="s">
        <v>4451</v>
      </c>
      <c r="S90" s="87" t="s">
        <v>1805</v>
      </c>
      <c r="T90" s="87" t="s">
        <v>2673</v>
      </c>
      <c r="U90" s="86" t="s">
        <v>1807</v>
      </c>
      <c r="V90" s="87">
        <v>5.0</v>
      </c>
      <c r="W90" s="87"/>
      <c r="X90" s="87"/>
      <c r="Y90" s="87"/>
      <c r="Z90" s="89" t="s">
        <v>564</v>
      </c>
      <c r="AA90" s="46" t="s">
        <v>4452</v>
      </c>
      <c r="AB90" s="89" t="s">
        <v>2741</v>
      </c>
      <c r="AC90" s="89" t="s">
        <v>564</v>
      </c>
      <c r="AD90" s="89" t="s">
        <v>565</v>
      </c>
      <c r="AE90" s="87"/>
      <c r="AF90" s="89" t="s">
        <v>2728</v>
      </c>
      <c r="AG90" s="46" t="s">
        <v>4117</v>
      </c>
      <c r="AH90" s="87" t="s">
        <v>4453</v>
      </c>
      <c r="AI90" s="86">
        <v>2020.0</v>
      </c>
      <c r="AJ90" s="86">
        <v>2020.0</v>
      </c>
      <c r="AK90" s="86" t="s">
        <v>70</v>
      </c>
      <c r="AL90" s="86"/>
      <c r="AM90" s="86"/>
      <c r="AN90" s="86"/>
      <c r="AO90" s="86"/>
      <c r="AP90" s="86"/>
      <c r="AQ90" s="86"/>
    </row>
    <row r="91">
      <c r="A91" s="86">
        <v>89.0</v>
      </c>
      <c r="B91" s="46" t="s">
        <v>4532</v>
      </c>
      <c r="C91" s="87" t="s">
        <v>4533</v>
      </c>
      <c r="D91" s="87" t="s">
        <v>4534</v>
      </c>
      <c r="E91" s="88" t="s">
        <v>298</v>
      </c>
      <c r="F91" s="86" t="s">
        <v>73</v>
      </c>
      <c r="G91" s="88" t="s">
        <v>315</v>
      </c>
      <c r="H91" s="87"/>
      <c r="I91" s="87">
        <v>5.0</v>
      </c>
      <c r="J91" s="87" t="s">
        <v>4535</v>
      </c>
      <c r="K91" s="46" t="s">
        <v>4532</v>
      </c>
      <c r="L91" s="46" t="s">
        <v>4536</v>
      </c>
      <c r="M91" s="86" t="s">
        <v>298</v>
      </c>
      <c r="N91" s="87" t="s">
        <v>4533</v>
      </c>
      <c r="O91" s="87"/>
      <c r="P91" s="87">
        <v>2020.0</v>
      </c>
      <c r="Q91" s="87" t="s">
        <v>4537</v>
      </c>
      <c r="R91" s="87" t="s">
        <v>4538</v>
      </c>
      <c r="S91" s="87" t="s">
        <v>1805</v>
      </c>
      <c r="T91" s="87" t="s">
        <v>2673</v>
      </c>
      <c r="U91" s="86" t="s">
        <v>1807</v>
      </c>
      <c r="V91" s="87">
        <v>6.0</v>
      </c>
      <c r="W91" s="87"/>
      <c r="X91" s="87"/>
      <c r="Y91" s="87"/>
      <c r="Z91" s="89" t="s">
        <v>564</v>
      </c>
      <c r="AA91" s="46" t="s">
        <v>4539</v>
      </c>
      <c r="AB91" s="89" t="s">
        <v>2741</v>
      </c>
      <c r="AC91" s="89" t="s">
        <v>564</v>
      </c>
      <c r="AD91" s="89" t="s">
        <v>565</v>
      </c>
      <c r="AE91" s="87"/>
      <c r="AF91" s="89" t="s">
        <v>2728</v>
      </c>
      <c r="AG91" s="46" t="s">
        <v>4117</v>
      </c>
      <c r="AH91" s="87" t="s">
        <v>4540</v>
      </c>
      <c r="AI91" s="86">
        <v>2020.0</v>
      </c>
      <c r="AJ91" s="86">
        <v>2020.0</v>
      </c>
      <c r="AK91" s="86" t="s">
        <v>70</v>
      </c>
      <c r="AL91" s="86"/>
      <c r="AM91" s="86"/>
      <c r="AN91" s="86"/>
      <c r="AO91" s="86"/>
      <c r="AP91" s="86"/>
      <c r="AQ91" s="86"/>
    </row>
    <row r="92">
      <c r="A92" s="86">
        <v>90.0</v>
      </c>
      <c r="B92" s="87" t="s">
        <v>4541</v>
      </c>
      <c r="C92" s="87" t="s">
        <v>4542</v>
      </c>
      <c r="D92" s="87" t="s">
        <v>4543</v>
      </c>
      <c r="E92" s="88" t="s">
        <v>298</v>
      </c>
      <c r="F92" s="86" t="s">
        <v>73</v>
      </c>
      <c r="G92" s="88" t="s">
        <v>315</v>
      </c>
      <c r="H92" s="87"/>
      <c r="I92" s="87">
        <v>4.0</v>
      </c>
      <c r="J92" s="87" t="s">
        <v>4544</v>
      </c>
      <c r="K92" s="87" t="s">
        <v>4541</v>
      </c>
      <c r="L92" s="87" t="s">
        <v>4545</v>
      </c>
      <c r="M92" s="86" t="s">
        <v>298</v>
      </c>
      <c r="N92" s="87" t="s">
        <v>4542</v>
      </c>
      <c r="O92" s="87"/>
      <c r="P92" s="87">
        <v>2020.0</v>
      </c>
      <c r="Q92" s="87" t="s">
        <v>4546</v>
      </c>
      <c r="R92" s="87" t="s">
        <v>4547</v>
      </c>
      <c r="S92" s="87" t="s">
        <v>1805</v>
      </c>
      <c r="T92" s="87" t="s">
        <v>2673</v>
      </c>
      <c r="U92" s="86" t="s">
        <v>1807</v>
      </c>
      <c r="V92" s="87">
        <v>5.0</v>
      </c>
      <c r="W92" s="87"/>
      <c r="X92" s="87"/>
      <c r="Y92" s="87"/>
      <c r="Z92" s="89" t="s">
        <v>564</v>
      </c>
      <c r="AA92" s="46" t="s">
        <v>4539</v>
      </c>
      <c r="AB92" s="89" t="s">
        <v>2741</v>
      </c>
      <c r="AC92" s="89" t="s">
        <v>564</v>
      </c>
      <c r="AD92" s="89" t="s">
        <v>565</v>
      </c>
      <c r="AE92" s="87"/>
      <c r="AF92" s="89" t="s">
        <v>2728</v>
      </c>
      <c r="AG92" s="46" t="s">
        <v>4117</v>
      </c>
      <c r="AH92" s="87" t="s">
        <v>4548</v>
      </c>
      <c r="AI92" s="86">
        <v>2020.0</v>
      </c>
      <c r="AJ92" s="86">
        <v>2020.0</v>
      </c>
      <c r="AK92" s="86" t="s">
        <v>70</v>
      </c>
      <c r="AL92" s="86"/>
      <c r="AM92" s="86"/>
      <c r="AN92" s="86"/>
      <c r="AO92" s="86"/>
      <c r="AP92" s="86"/>
      <c r="AQ92" s="86"/>
    </row>
    <row r="93">
      <c r="A93" s="86">
        <v>91.0</v>
      </c>
      <c r="B93" s="87" t="s">
        <v>4549</v>
      </c>
      <c r="C93" s="87" t="s">
        <v>4550</v>
      </c>
      <c r="D93" s="87" t="s">
        <v>2734</v>
      </c>
      <c r="E93" s="88" t="s">
        <v>298</v>
      </c>
      <c r="F93" s="86" t="s">
        <v>73</v>
      </c>
      <c r="G93" s="88" t="s">
        <v>315</v>
      </c>
      <c r="H93" s="87"/>
      <c r="I93" s="87">
        <v>3.0</v>
      </c>
      <c r="J93" s="87" t="s">
        <v>4551</v>
      </c>
      <c r="K93" s="87" t="s">
        <v>4549</v>
      </c>
      <c r="L93" s="87" t="s">
        <v>4552</v>
      </c>
      <c r="M93" s="86" t="s">
        <v>298</v>
      </c>
      <c r="N93" s="87" t="s">
        <v>4550</v>
      </c>
      <c r="O93" s="87"/>
      <c r="P93" s="87">
        <v>2020.0</v>
      </c>
      <c r="Q93" s="87" t="s">
        <v>4458</v>
      </c>
      <c r="R93" s="87" t="s">
        <v>4459</v>
      </c>
      <c r="S93" s="87" t="s">
        <v>1805</v>
      </c>
      <c r="T93" s="87" t="s">
        <v>2673</v>
      </c>
      <c r="U93" s="86" t="s">
        <v>1807</v>
      </c>
      <c r="V93" s="87">
        <v>5.0</v>
      </c>
      <c r="W93" s="87"/>
      <c r="X93" s="87"/>
      <c r="Y93" s="87"/>
      <c r="Z93" s="89" t="s">
        <v>564</v>
      </c>
      <c r="AA93" s="46" t="s">
        <v>4452</v>
      </c>
      <c r="AB93" s="89" t="s">
        <v>2741</v>
      </c>
      <c r="AC93" s="89" t="s">
        <v>564</v>
      </c>
      <c r="AD93" s="89" t="s">
        <v>565</v>
      </c>
      <c r="AE93" s="87"/>
      <c r="AF93" s="89" t="s">
        <v>2728</v>
      </c>
      <c r="AG93" s="46" t="s">
        <v>4117</v>
      </c>
      <c r="AH93" s="87" t="s">
        <v>4553</v>
      </c>
      <c r="AI93" s="86">
        <v>2020.0</v>
      </c>
      <c r="AJ93" s="86">
        <v>2020.0</v>
      </c>
      <c r="AK93" s="86" t="s">
        <v>70</v>
      </c>
      <c r="AL93" s="86"/>
      <c r="AM93" s="86"/>
      <c r="AN93" s="86"/>
      <c r="AO93" s="86"/>
      <c r="AP93" s="86"/>
      <c r="AQ93" s="86"/>
    </row>
    <row r="94">
      <c r="A94" s="86">
        <v>92.0</v>
      </c>
      <c r="B94" s="87" t="s">
        <v>4554</v>
      </c>
      <c r="C94" s="87" t="s">
        <v>4555</v>
      </c>
      <c r="D94" s="87" t="s">
        <v>2734</v>
      </c>
      <c r="E94" s="88" t="s">
        <v>298</v>
      </c>
      <c r="F94" s="86" t="s">
        <v>73</v>
      </c>
      <c r="G94" s="88" t="s">
        <v>315</v>
      </c>
      <c r="H94" s="87"/>
      <c r="I94" s="87">
        <v>4.0</v>
      </c>
      <c r="J94" s="87" t="s">
        <v>4556</v>
      </c>
      <c r="K94" s="87" t="s">
        <v>4554</v>
      </c>
      <c r="L94" s="87" t="s">
        <v>4557</v>
      </c>
      <c r="M94" s="86" t="s">
        <v>298</v>
      </c>
      <c r="N94" s="87" t="s">
        <v>4555</v>
      </c>
      <c r="O94" s="87"/>
      <c r="P94" s="87">
        <v>2020.0</v>
      </c>
      <c r="Q94" s="87" t="s">
        <v>4458</v>
      </c>
      <c r="R94" s="87" t="s">
        <v>4459</v>
      </c>
      <c r="S94" s="87" t="s">
        <v>1805</v>
      </c>
      <c r="T94" s="87" t="s">
        <v>2673</v>
      </c>
      <c r="U94" s="86" t="s">
        <v>1807</v>
      </c>
      <c r="V94" s="87">
        <v>5.0</v>
      </c>
      <c r="W94" s="87"/>
      <c r="X94" s="87"/>
      <c r="Y94" s="87"/>
      <c r="Z94" s="89" t="s">
        <v>564</v>
      </c>
      <c r="AA94" s="46" t="s">
        <v>4452</v>
      </c>
      <c r="AB94" s="89" t="s">
        <v>2741</v>
      </c>
      <c r="AC94" s="89" t="s">
        <v>564</v>
      </c>
      <c r="AD94" s="89" t="s">
        <v>565</v>
      </c>
      <c r="AE94" s="87"/>
      <c r="AF94" s="89" t="s">
        <v>2728</v>
      </c>
      <c r="AG94" s="46" t="s">
        <v>4117</v>
      </c>
      <c r="AH94" s="87" t="s">
        <v>4553</v>
      </c>
      <c r="AI94" s="86">
        <v>2020.0</v>
      </c>
      <c r="AJ94" s="86">
        <v>2020.0</v>
      </c>
      <c r="AK94" s="86" t="s">
        <v>70</v>
      </c>
      <c r="AL94" s="86"/>
      <c r="AM94" s="86"/>
      <c r="AN94" s="86"/>
      <c r="AO94" s="86"/>
      <c r="AP94" s="86"/>
      <c r="AQ94" s="86"/>
    </row>
    <row r="95">
      <c r="A95" s="86">
        <v>93.0</v>
      </c>
      <c r="B95" s="87" t="s">
        <v>4558</v>
      </c>
      <c r="C95" s="87" t="s">
        <v>4559</v>
      </c>
      <c r="D95" s="87" t="s">
        <v>2734</v>
      </c>
      <c r="E95" s="88" t="s">
        <v>298</v>
      </c>
      <c r="F95" s="86" t="s">
        <v>73</v>
      </c>
      <c r="G95" s="88" t="s">
        <v>315</v>
      </c>
      <c r="H95" s="87"/>
      <c r="I95" s="87">
        <v>3.0</v>
      </c>
      <c r="J95" s="87" t="s">
        <v>4560</v>
      </c>
      <c r="K95" s="87" t="s">
        <v>4558</v>
      </c>
      <c r="L95" s="87" t="s">
        <v>4561</v>
      </c>
      <c r="M95" s="86" t="s">
        <v>298</v>
      </c>
      <c r="N95" s="87" t="s">
        <v>4559</v>
      </c>
      <c r="O95" s="87"/>
      <c r="P95" s="87">
        <v>2020.0</v>
      </c>
      <c r="Q95" s="87" t="s">
        <v>4458</v>
      </c>
      <c r="R95" s="87" t="s">
        <v>4459</v>
      </c>
      <c r="S95" s="87" t="s">
        <v>1805</v>
      </c>
      <c r="T95" s="87" t="s">
        <v>2673</v>
      </c>
      <c r="U95" s="86" t="s">
        <v>1807</v>
      </c>
      <c r="V95" s="87">
        <v>5.0</v>
      </c>
      <c r="W95" s="87"/>
      <c r="X95" s="87"/>
      <c r="Y95" s="87"/>
      <c r="Z95" s="89" t="s">
        <v>564</v>
      </c>
      <c r="AA95" s="46" t="s">
        <v>4452</v>
      </c>
      <c r="AB95" s="89" t="s">
        <v>2741</v>
      </c>
      <c r="AC95" s="89" t="s">
        <v>564</v>
      </c>
      <c r="AD95" s="89" t="s">
        <v>565</v>
      </c>
      <c r="AE95" s="87"/>
      <c r="AF95" s="89" t="s">
        <v>2728</v>
      </c>
      <c r="AG95" s="46" t="s">
        <v>4117</v>
      </c>
      <c r="AH95" s="87" t="s">
        <v>4553</v>
      </c>
      <c r="AI95" s="86">
        <v>2020.0</v>
      </c>
      <c r="AJ95" s="86">
        <v>2020.0</v>
      </c>
      <c r="AK95" s="86" t="s">
        <v>70</v>
      </c>
      <c r="AL95" s="86"/>
      <c r="AM95" s="86"/>
      <c r="AN95" s="86"/>
      <c r="AO95" s="86"/>
      <c r="AP95" s="86"/>
      <c r="AQ95" s="86"/>
    </row>
    <row r="96">
      <c r="A96" s="86">
        <v>94.0</v>
      </c>
      <c r="B96" s="87" t="s">
        <v>4562</v>
      </c>
      <c r="C96" s="87" t="s">
        <v>4563</v>
      </c>
      <c r="D96" s="87" t="s">
        <v>2734</v>
      </c>
      <c r="E96" s="88" t="s">
        <v>298</v>
      </c>
      <c r="F96" s="86" t="s">
        <v>73</v>
      </c>
      <c r="G96" s="88" t="s">
        <v>315</v>
      </c>
      <c r="H96" s="87"/>
      <c r="I96" s="87">
        <v>4.0</v>
      </c>
      <c r="J96" s="87" t="s">
        <v>4564</v>
      </c>
      <c r="K96" s="87" t="s">
        <v>4562</v>
      </c>
      <c r="L96" s="87" t="s">
        <v>4565</v>
      </c>
      <c r="M96" s="86" t="s">
        <v>298</v>
      </c>
      <c r="N96" s="87" t="s">
        <v>4563</v>
      </c>
      <c r="O96" s="87"/>
      <c r="P96" s="87">
        <v>2020.0</v>
      </c>
      <c r="Q96" s="87" t="s">
        <v>4458</v>
      </c>
      <c r="R96" s="87" t="s">
        <v>4459</v>
      </c>
      <c r="S96" s="87" t="s">
        <v>1805</v>
      </c>
      <c r="T96" s="87" t="s">
        <v>2673</v>
      </c>
      <c r="U96" s="86" t="s">
        <v>1807</v>
      </c>
      <c r="V96" s="87">
        <v>5.0</v>
      </c>
      <c r="W96" s="87"/>
      <c r="X96" s="87"/>
      <c r="Y96" s="87"/>
      <c r="Z96" s="89" t="s">
        <v>564</v>
      </c>
      <c r="AA96" s="46" t="s">
        <v>4452</v>
      </c>
      <c r="AB96" s="89" t="s">
        <v>2741</v>
      </c>
      <c r="AC96" s="89" t="s">
        <v>564</v>
      </c>
      <c r="AD96" s="89" t="s">
        <v>565</v>
      </c>
      <c r="AE96" s="87"/>
      <c r="AF96" s="89" t="s">
        <v>2728</v>
      </c>
      <c r="AG96" s="46" t="s">
        <v>4117</v>
      </c>
      <c r="AH96" s="87" t="s">
        <v>4553</v>
      </c>
      <c r="AI96" s="86">
        <v>2020.0</v>
      </c>
      <c r="AJ96" s="86">
        <v>2020.0</v>
      </c>
      <c r="AK96" s="86" t="s">
        <v>70</v>
      </c>
      <c r="AL96" s="86"/>
      <c r="AM96" s="86"/>
      <c r="AN96" s="86"/>
      <c r="AO96" s="86"/>
      <c r="AP96" s="86"/>
      <c r="AQ96" s="86"/>
    </row>
    <row r="97">
      <c r="A97" s="86">
        <v>95.0</v>
      </c>
      <c r="B97" s="87" t="s">
        <v>4566</v>
      </c>
      <c r="C97" s="87" t="s">
        <v>4567</v>
      </c>
      <c r="D97" s="87" t="s">
        <v>2734</v>
      </c>
      <c r="E97" s="88" t="s">
        <v>298</v>
      </c>
      <c r="F97" s="86" t="s">
        <v>73</v>
      </c>
      <c r="G97" s="88" t="s">
        <v>315</v>
      </c>
      <c r="H97" s="87"/>
      <c r="I97" s="87">
        <v>3.0</v>
      </c>
      <c r="J97" s="87" t="s">
        <v>4568</v>
      </c>
      <c r="K97" s="87" t="s">
        <v>4566</v>
      </c>
      <c r="L97" s="87" t="s">
        <v>4569</v>
      </c>
      <c r="M97" s="86" t="s">
        <v>298</v>
      </c>
      <c r="N97" s="87" t="s">
        <v>4567</v>
      </c>
      <c r="O97" s="87"/>
      <c r="P97" s="87">
        <v>2020.0</v>
      </c>
      <c r="Q97" s="87" t="s">
        <v>4458</v>
      </c>
      <c r="R97" s="87" t="s">
        <v>4459</v>
      </c>
      <c r="S97" s="87" t="s">
        <v>1805</v>
      </c>
      <c r="T97" s="87" t="s">
        <v>2673</v>
      </c>
      <c r="U97" s="86" t="s">
        <v>1807</v>
      </c>
      <c r="V97" s="87">
        <v>5.0</v>
      </c>
      <c r="W97" s="87"/>
      <c r="X97" s="87"/>
      <c r="Y97" s="87"/>
      <c r="Z97" s="89" t="s">
        <v>564</v>
      </c>
      <c r="AA97" s="46" t="s">
        <v>4452</v>
      </c>
      <c r="AB97" s="89" t="s">
        <v>2741</v>
      </c>
      <c r="AC97" s="89" t="s">
        <v>564</v>
      </c>
      <c r="AD97" s="89" t="s">
        <v>565</v>
      </c>
      <c r="AE97" s="87"/>
      <c r="AF97" s="89" t="s">
        <v>2728</v>
      </c>
      <c r="AG97" s="46" t="s">
        <v>4117</v>
      </c>
      <c r="AH97" s="87" t="s">
        <v>4553</v>
      </c>
      <c r="AI97" s="86">
        <v>2020.0</v>
      </c>
      <c r="AJ97" s="86">
        <v>2020.0</v>
      </c>
      <c r="AK97" s="86" t="s">
        <v>70</v>
      </c>
      <c r="AL97" s="86"/>
      <c r="AM97" s="86"/>
      <c r="AN97" s="86"/>
      <c r="AO97" s="86"/>
      <c r="AP97" s="86"/>
      <c r="AQ97" s="86"/>
    </row>
    <row r="98">
      <c r="A98" s="86">
        <v>96.0</v>
      </c>
      <c r="B98" s="87" t="s">
        <v>4570</v>
      </c>
      <c r="C98" s="87" t="s">
        <v>3725</v>
      </c>
      <c r="D98" s="87" t="s">
        <v>3660</v>
      </c>
      <c r="E98" s="88" t="s">
        <v>298</v>
      </c>
      <c r="F98" s="86" t="s">
        <v>73</v>
      </c>
      <c r="G98" s="88" t="s">
        <v>315</v>
      </c>
      <c r="H98" s="87"/>
      <c r="I98" s="87">
        <v>2.0</v>
      </c>
      <c r="J98" s="87" t="s">
        <v>4571</v>
      </c>
      <c r="K98" s="87" t="s">
        <v>4570</v>
      </c>
      <c r="L98" s="87" t="s">
        <v>4572</v>
      </c>
      <c r="M98" s="86" t="s">
        <v>298</v>
      </c>
      <c r="N98" s="87" t="s">
        <v>3725</v>
      </c>
      <c r="O98" s="87"/>
      <c r="P98" s="87">
        <v>2019.0</v>
      </c>
      <c r="Q98" s="87" t="s">
        <v>4573</v>
      </c>
      <c r="R98" s="87" t="s">
        <v>4574</v>
      </c>
      <c r="S98" s="87" t="s">
        <v>1805</v>
      </c>
      <c r="T98" s="87" t="s">
        <v>2673</v>
      </c>
      <c r="U98" s="86" t="s">
        <v>1807</v>
      </c>
      <c r="V98" s="87">
        <v>6.0</v>
      </c>
      <c r="W98" s="87"/>
      <c r="X98" s="87"/>
      <c r="Y98" s="87"/>
      <c r="Z98" s="89" t="s">
        <v>564</v>
      </c>
      <c r="AA98" s="46" t="s">
        <v>4513</v>
      </c>
      <c r="AB98" s="89" t="s">
        <v>2741</v>
      </c>
      <c r="AC98" s="89" t="s">
        <v>564</v>
      </c>
      <c r="AD98" s="89" t="s">
        <v>565</v>
      </c>
      <c r="AE98" s="87"/>
      <c r="AF98" s="89" t="s">
        <v>2728</v>
      </c>
      <c r="AG98" s="46" t="s">
        <v>4117</v>
      </c>
      <c r="AH98" s="87" t="s">
        <v>4575</v>
      </c>
      <c r="AI98" s="86">
        <v>2019.0</v>
      </c>
      <c r="AJ98" s="86">
        <v>2019.0</v>
      </c>
      <c r="AK98" s="86" t="s">
        <v>70</v>
      </c>
      <c r="AL98" s="86"/>
      <c r="AM98" s="86"/>
      <c r="AN98" s="86"/>
      <c r="AO98" s="86"/>
      <c r="AP98" s="86"/>
      <c r="AQ98" s="86"/>
    </row>
    <row r="99">
      <c r="A99" s="86">
        <v>97.0</v>
      </c>
      <c r="B99" s="87" t="s">
        <v>4576</v>
      </c>
      <c r="C99" s="87" t="s">
        <v>4577</v>
      </c>
      <c r="D99" s="87" t="s">
        <v>3851</v>
      </c>
      <c r="E99" s="88" t="s">
        <v>298</v>
      </c>
      <c r="F99" s="86" t="s">
        <v>73</v>
      </c>
      <c r="G99" s="88" t="s">
        <v>315</v>
      </c>
      <c r="H99" s="87"/>
      <c r="I99" s="87">
        <v>8.0</v>
      </c>
      <c r="J99" s="87" t="s">
        <v>4578</v>
      </c>
      <c r="K99" s="87" t="s">
        <v>4576</v>
      </c>
      <c r="L99" s="87" t="s">
        <v>4579</v>
      </c>
      <c r="M99" s="86" t="s">
        <v>298</v>
      </c>
      <c r="N99" s="87" t="s">
        <v>4577</v>
      </c>
      <c r="O99" s="87"/>
      <c r="P99" s="87">
        <v>2020.0</v>
      </c>
      <c r="Q99" s="87" t="s">
        <v>4151</v>
      </c>
      <c r="R99" s="87" t="s">
        <v>4152</v>
      </c>
      <c r="S99" s="87" t="s">
        <v>1805</v>
      </c>
      <c r="T99" s="87" t="s">
        <v>2673</v>
      </c>
      <c r="U99" s="86" t="s">
        <v>1807</v>
      </c>
      <c r="V99" s="87">
        <v>5.0</v>
      </c>
      <c r="W99" s="87"/>
      <c r="X99" s="87"/>
      <c r="Y99" s="87"/>
      <c r="Z99" s="89" t="s">
        <v>564</v>
      </c>
      <c r="AA99" s="46" t="s">
        <v>4486</v>
      </c>
      <c r="AB99" s="89" t="s">
        <v>2741</v>
      </c>
      <c r="AC99" s="89" t="s">
        <v>564</v>
      </c>
      <c r="AD99" s="89" t="s">
        <v>565</v>
      </c>
      <c r="AE99" s="87"/>
      <c r="AF99" s="89" t="s">
        <v>2728</v>
      </c>
      <c r="AG99" s="46" t="s">
        <v>4117</v>
      </c>
      <c r="AH99" s="87" t="s">
        <v>4487</v>
      </c>
      <c r="AI99" s="86">
        <v>2020.0</v>
      </c>
      <c r="AJ99" s="86">
        <v>2020.0</v>
      </c>
      <c r="AK99" s="86" t="s">
        <v>70</v>
      </c>
      <c r="AL99" s="86"/>
      <c r="AM99" s="86"/>
      <c r="AN99" s="86"/>
      <c r="AO99" s="86"/>
      <c r="AP99" s="86"/>
      <c r="AQ99" s="86"/>
    </row>
    <row r="100">
      <c r="A100" s="86">
        <v>98.0</v>
      </c>
      <c r="B100" s="87" t="s">
        <v>4580</v>
      </c>
      <c r="C100" s="87" t="s">
        <v>4581</v>
      </c>
      <c r="D100" s="87" t="s">
        <v>2705</v>
      </c>
      <c r="E100" s="88" t="s">
        <v>298</v>
      </c>
      <c r="F100" s="86" t="s">
        <v>73</v>
      </c>
      <c r="G100" s="88" t="s">
        <v>315</v>
      </c>
      <c r="H100" s="87"/>
      <c r="I100" s="87">
        <v>4.0</v>
      </c>
      <c r="J100" s="87" t="s">
        <v>4582</v>
      </c>
      <c r="K100" s="87" t="s">
        <v>4580</v>
      </c>
      <c r="L100" s="87" t="s">
        <v>4583</v>
      </c>
      <c r="M100" s="86" t="s">
        <v>298</v>
      </c>
      <c r="N100" s="87" t="s">
        <v>4581</v>
      </c>
      <c r="O100" s="87"/>
      <c r="P100" s="87">
        <v>2020.0</v>
      </c>
      <c r="Q100" s="87" t="s">
        <v>3795</v>
      </c>
      <c r="R100" s="87" t="s">
        <v>3796</v>
      </c>
      <c r="S100" s="87" t="s">
        <v>1805</v>
      </c>
      <c r="T100" s="87" t="s">
        <v>2673</v>
      </c>
      <c r="U100" s="86" t="s">
        <v>1807</v>
      </c>
      <c r="V100" s="87">
        <v>5.0</v>
      </c>
      <c r="W100" s="87"/>
      <c r="X100" s="87"/>
      <c r="Y100" s="87"/>
      <c r="Z100" s="89" t="s">
        <v>564</v>
      </c>
      <c r="AA100" s="89" t="s">
        <v>2833</v>
      </c>
      <c r="AB100" s="89" t="s">
        <v>2741</v>
      </c>
      <c r="AC100" s="89" t="s">
        <v>564</v>
      </c>
      <c r="AD100" s="89" t="s">
        <v>565</v>
      </c>
      <c r="AE100" s="87"/>
      <c r="AF100" s="89" t="s">
        <v>2728</v>
      </c>
      <c r="AG100" s="46" t="s">
        <v>4117</v>
      </c>
      <c r="AH100" s="87" t="s">
        <v>4584</v>
      </c>
      <c r="AI100" s="86">
        <v>2020.0</v>
      </c>
      <c r="AJ100" s="86">
        <v>2020.0</v>
      </c>
      <c r="AK100" s="86" t="s">
        <v>70</v>
      </c>
      <c r="AL100" s="86"/>
      <c r="AM100" s="86"/>
      <c r="AN100" s="86"/>
      <c r="AO100" s="86"/>
      <c r="AP100" s="86"/>
      <c r="AQ100" s="86"/>
    </row>
    <row r="101">
      <c r="A101" s="86">
        <v>99.0</v>
      </c>
      <c r="B101" s="87" t="s">
        <v>4585</v>
      </c>
      <c r="C101" s="87" t="s">
        <v>4034</v>
      </c>
      <c r="D101" s="87" t="s">
        <v>2705</v>
      </c>
      <c r="E101" s="88" t="s">
        <v>298</v>
      </c>
      <c r="F101" s="86" t="s">
        <v>73</v>
      </c>
      <c r="G101" s="13" t="s">
        <v>315</v>
      </c>
      <c r="H101" s="87"/>
      <c r="I101" s="87">
        <v>3.0</v>
      </c>
      <c r="J101" s="87" t="s">
        <v>4586</v>
      </c>
      <c r="K101" s="87" t="s">
        <v>4585</v>
      </c>
      <c r="L101" s="87" t="s">
        <v>4587</v>
      </c>
      <c r="M101" s="86" t="s">
        <v>298</v>
      </c>
      <c r="N101" s="87" t="s">
        <v>4034</v>
      </c>
      <c r="O101" s="87"/>
      <c r="P101" s="87">
        <v>2020.0</v>
      </c>
      <c r="Q101" s="87" t="s">
        <v>3435</v>
      </c>
      <c r="R101" s="87" t="s">
        <v>3436</v>
      </c>
      <c r="S101" s="87" t="s">
        <v>1805</v>
      </c>
      <c r="T101" s="87" t="s">
        <v>2673</v>
      </c>
      <c r="U101" s="86" t="s">
        <v>1807</v>
      </c>
      <c r="V101" s="87">
        <v>5.0</v>
      </c>
      <c r="W101" s="87"/>
      <c r="X101" s="87"/>
      <c r="Y101" s="87"/>
      <c r="Z101" s="89" t="s">
        <v>564</v>
      </c>
      <c r="AA101" s="89" t="s">
        <v>2833</v>
      </c>
      <c r="AB101" s="89" t="s">
        <v>2834</v>
      </c>
      <c r="AC101" s="89" t="s">
        <v>564</v>
      </c>
      <c r="AD101" s="89" t="s">
        <v>565</v>
      </c>
      <c r="AE101" s="87"/>
      <c r="AF101" s="89" t="s">
        <v>2728</v>
      </c>
      <c r="AG101" s="46" t="s">
        <v>4117</v>
      </c>
      <c r="AH101" s="87" t="s">
        <v>4588</v>
      </c>
      <c r="AI101" s="86">
        <v>2020.0</v>
      </c>
      <c r="AJ101" s="86">
        <v>2020.0</v>
      </c>
      <c r="AK101" s="86" t="s">
        <v>70</v>
      </c>
      <c r="AL101" s="86"/>
      <c r="AM101" s="86"/>
      <c r="AN101" s="86"/>
      <c r="AO101" s="86"/>
      <c r="AP101" s="86"/>
      <c r="AQ101" s="86"/>
    </row>
    <row r="102">
      <c r="A102" s="86">
        <v>100.0</v>
      </c>
      <c r="B102" s="87" t="s">
        <v>4589</v>
      </c>
      <c r="C102" s="87" t="s">
        <v>4590</v>
      </c>
      <c r="D102" s="87" t="s">
        <v>2705</v>
      </c>
      <c r="E102" s="88" t="s">
        <v>298</v>
      </c>
      <c r="F102" s="86" t="s">
        <v>73</v>
      </c>
      <c r="G102" s="88" t="s">
        <v>315</v>
      </c>
      <c r="H102" s="87"/>
      <c r="I102" s="87">
        <v>9.0</v>
      </c>
      <c r="J102" s="87" t="s">
        <v>4591</v>
      </c>
      <c r="K102" s="87" t="s">
        <v>4589</v>
      </c>
      <c r="L102" s="87" t="s">
        <v>4592</v>
      </c>
      <c r="M102" s="86" t="s">
        <v>298</v>
      </c>
      <c r="N102" s="87" t="s">
        <v>4590</v>
      </c>
      <c r="O102" s="87"/>
      <c r="P102" s="87">
        <v>2020.0</v>
      </c>
      <c r="Q102" s="87" t="s">
        <v>3892</v>
      </c>
      <c r="R102" s="87" t="s">
        <v>4593</v>
      </c>
      <c r="S102" s="87" t="s">
        <v>1805</v>
      </c>
      <c r="T102" s="87" t="s">
        <v>2673</v>
      </c>
      <c r="U102" s="86" t="s">
        <v>1807</v>
      </c>
      <c r="V102" s="87">
        <v>5.0</v>
      </c>
      <c r="W102" s="87"/>
      <c r="X102" s="87"/>
      <c r="Y102" s="87"/>
      <c r="Z102" s="89" t="s">
        <v>564</v>
      </c>
      <c r="AA102" s="89" t="s">
        <v>2833</v>
      </c>
      <c r="AB102" s="89" t="s">
        <v>2741</v>
      </c>
      <c r="AC102" s="89" t="s">
        <v>564</v>
      </c>
      <c r="AD102" s="89" t="s">
        <v>565</v>
      </c>
      <c r="AE102" s="87"/>
      <c r="AF102" s="89" t="s">
        <v>2728</v>
      </c>
      <c r="AG102" s="46" t="s">
        <v>4117</v>
      </c>
      <c r="AH102" s="87" t="s">
        <v>4584</v>
      </c>
      <c r="AI102" s="86">
        <v>2020.0</v>
      </c>
      <c r="AJ102" s="86">
        <v>2020.0</v>
      </c>
      <c r="AK102" s="86" t="s">
        <v>70</v>
      </c>
      <c r="AL102" s="86"/>
      <c r="AM102" s="86"/>
      <c r="AN102" s="86"/>
      <c r="AO102" s="86"/>
      <c r="AP102" s="86"/>
      <c r="AQ102" s="86"/>
    </row>
    <row r="103">
      <c r="A103" s="86">
        <v>101.0</v>
      </c>
      <c r="B103" s="46" t="s">
        <v>4594</v>
      </c>
      <c r="C103" s="87" t="s">
        <v>4595</v>
      </c>
      <c r="D103" s="87" t="s">
        <v>4596</v>
      </c>
      <c r="E103" s="88" t="s">
        <v>298</v>
      </c>
      <c r="F103" s="86" t="s">
        <v>73</v>
      </c>
      <c r="G103" s="88" t="s">
        <v>315</v>
      </c>
      <c r="H103" s="87"/>
      <c r="I103" s="87">
        <v>2.0</v>
      </c>
      <c r="J103" s="87" t="s">
        <v>4597</v>
      </c>
      <c r="K103" s="46" t="s">
        <v>4594</v>
      </c>
      <c r="L103" s="46" t="s">
        <v>4598</v>
      </c>
      <c r="M103" s="86" t="s">
        <v>298</v>
      </c>
      <c r="N103" s="87" t="s">
        <v>4595</v>
      </c>
      <c r="O103" s="87"/>
      <c r="P103" s="87">
        <v>2020.0</v>
      </c>
      <c r="Q103" s="87" t="s">
        <v>4599</v>
      </c>
      <c r="R103" s="87" t="s">
        <v>4600</v>
      </c>
      <c r="S103" s="87" t="s">
        <v>1805</v>
      </c>
      <c r="T103" s="87" t="s">
        <v>2673</v>
      </c>
      <c r="U103" s="86" t="s">
        <v>1807</v>
      </c>
      <c r="V103" s="87">
        <v>5.0</v>
      </c>
      <c r="W103" s="87"/>
      <c r="X103" s="87"/>
      <c r="Y103" s="87"/>
      <c r="Z103" s="89" t="s">
        <v>564</v>
      </c>
      <c r="AA103" s="89" t="s">
        <v>4601</v>
      </c>
      <c r="AB103" s="89" t="s">
        <v>2741</v>
      </c>
      <c r="AC103" s="89" t="s">
        <v>564</v>
      </c>
      <c r="AD103" s="89" t="s">
        <v>565</v>
      </c>
      <c r="AE103" s="87"/>
      <c r="AF103" s="89" t="s">
        <v>2728</v>
      </c>
      <c r="AG103" s="46" t="s">
        <v>4117</v>
      </c>
      <c r="AH103" s="87" t="s">
        <v>4602</v>
      </c>
      <c r="AI103" s="86">
        <v>2020.0</v>
      </c>
      <c r="AJ103" s="86">
        <v>2020.0</v>
      </c>
      <c r="AK103" s="86" t="s">
        <v>70</v>
      </c>
      <c r="AL103" s="86"/>
      <c r="AM103" s="86"/>
      <c r="AN103" s="86"/>
      <c r="AO103" s="86"/>
      <c r="AP103" s="86"/>
      <c r="AQ103" s="86"/>
    </row>
    <row r="104">
      <c r="A104" s="86">
        <v>102.0</v>
      </c>
      <c r="B104" s="87" t="s">
        <v>4603</v>
      </c>
      <c r="C104" s="87" t="s">
        <v>4604</v>
      </c>
      <c r="D104" s="87" t="s">
        <v>3715</v>
      </c>
      <c r="E104" s="88" t="s">
        <v>298</v>
      </c>
      <c r="F104" s="86" t="s">
        <v>73</v>
      </c>
      <c r="G104" s="88" t="s">
        <v>315</v>
      </c>
      <c r="H104" s="87"/>
      <c r="I104" s="87">
        <v>83.0</v>
      </c>
      <c r="J104" s="87" t="s">
        <v>4605</v>
      </c>
      <c r="K104" s="87" t="s">
        <v>4603</v>
      </c>
      <c r="L104" s="87" t="s">
        <v>4606</v>
      </c>
      <c r="M104" s="86" t="s">
        <v>298</v>
      </c>
      <c r="N104" s="87" t="s">
        <v>4604</v>
      </c>
      <c r="O104" s="87"/>
      <c r="P104" s="87">
        <v>2016.0</v>
      </c>
      <c r="Q104" s="87" t="s">
        <v>4458</v>
      </c>
      <c r="R104" s="87" t="s">
        <v>4459</v>
      </c>
      <c r="S104" s="87" t="s">
        <v>1805</v>
      </c>
      <c r="T104" s="87" t="s">
        <v>2673</v>
      </c>
      <c r="U104" s="86" t="s">
        <v>1807</v>
      </c>
      <c r="V104" s="87">
        <v>5.0</v>
      </c>
      <c r="W104" s="87"/>
      <c r="X104" s="87"/>
      <c r="Y104" s="87"/>
      <c r="Z104" s="89" t="s">
        <v>564</v>
      </c>
      <c r="AA104" s="89" t="s">
        <v>3720</v>
      </c>
      <c r="AB104" s="89" t="s">
        <v>2741</v>
      </c>
      <c r="AC104" s="89" t="s">
        <v>564</v>
      </c>
      <c r="AD104" s="89" t="s">
        <v>565</v>
      </c>
      <c r="AE104" s="87"/>
      <c r="AF104" s="89" t="s">
        <v>2728</v>
      </c>
      <c r="AG104" s="46" t="s">
        <v>4117</v>
      </c>
      <c r="AH104" s="87" t="s">
        <v>4607</v>
      </c>
      <c r="AI104" s="86">
        <v>2016.0</v>
      </c>
      <c r="AJ104" s="86">
        <v>2016.0</v>
      </c>
      <c r="AK104" s="86" t="s">
        <v>70</v>
      </c>
      <c r="AL104" s="86"/>
      <c r="AM104" s="86"/>
      <c r="AN104" s="86"/>
      <c r="AO104" s="86"/>
      <c r="AP104" s="86"/>
      <c r="AQ104" s="86"/>
    </row>
    <row r="105">
      <c r="A105" s="86">
        <v>103.0</v>
      </c>
      <c r="B105" s="87" t="s">
        <v>4608</v>
      </c>
      <c r="C105" s="87" t="s">
        <v>4609</v>
      </c>
      <c r="D105" s="87" t="s">
        <v>3851</v>
      </c>
      <c r="E105" s="88" t="s">
        <v>298</v>
      </c>
      <c r="F105" s="86" t="s">
        <v>73</v>
      </c>
      <c r="G105" s="88" t="s">
        <v>315</v>
      </c>
      <c r="H105" s="87"/>
      <c r="I105" s="87">
        <v>3.0</v>
      </c>
      <c r="J105" s="87" t="s">
        <v>4610</v>
      </c>
      <c r="K105" s="87" t="s">
        <v>4608</v>
      </c>
      <c r="L105" s="87" t="s">
        <v>4611</v>
      </c>
      <c r="M105" s="86" t="s">
        <v>298</v>
      </c>
      <c r="N105" s="87" t="s">
        <v>4609</v>
      </c>
      <c r="O105" s="87"/>
      <c r="P105" s="87">
        <v>2020.0</v>
      </c>
      <c r="Q105" s="87" t="s">
        <v>4151</v>
      </c>
      <c r="R105" s="87" t="s">
        <v>4152</v>
      </c>
      <c r="S105" s="87" t="s">
        <v>1805</v>
      </c>
      <c r="T105" s="87" t="s">
        <v>2673</v>
      </c>
      <c r="U105" s="86" t="s">
        <v>1807</v>
      </c>
      <c r="V105" s="87">
        <v>5.0</v>
      </c>
      <c r="W105" s="87"/>
      <c r="X105" s="87"/>
      <c r="Y105" s="87"/>
      <c r="Z105" s="89" t="s">
        <v>564</v>
      </c>
      <c r="AA105" s="46" t="s">
        <v>4486</v>
      </c>
      <c r="AB105" s="89" t="s">
        <v>2741</v>
      </c>
      <c r="AC105" s="89" t="s">
        <v>564</v>
      </c>
      <c r="AD105" s="89" t="s">
        <v>565</v>
      </c>
      <c r="AE105" s="87"/>
      <c r="AF105" s="89" t="s">
        <v>2728</v>
      </c>
      <c r="AG105" s="46" t="s">
        <v>4117</v>
      </c>
      <c r="AH105" s="87" t="s">
        <v>4487</v>
      </c>
      <c r="AI105" s="86">
        <v>2020.0</v>
      </c>
      <c r="AJ105" s="86">
        <v>2020.0</v>
      </c>
      <c r="AK105" s="86" t="s">
        <v>70</v>
      </c>
      <c r="AL105" s="86"/>
      <c r="AM105" s="86"/>
      <c r="AN105" s="86"/>
      <c r="AO105" s="86"/>
      <c r="AP105" s="86"/>
      <c r="AQ105" s="86"/>
    </row>
    <row r="106">
      <c r="A106" s="86">
        <v>104.0</v>
      </c>
      <c r="B106" s="87" t="s">
        <v>4612</v>
      </c>
      <c r="C106" s="87" t="s">
        <v>4613</v>
      </c>
      <c r="D106" s="87" t="s">
        <v>3851</v>
      </c>
      <c r="E106" s="88" t="s">
        <v>298</v>
      </c>
      <c r="F106" s="86" t="s">
        <v>73</v>
      </c>
      <c r="G106" s="88" t="s">
        <v>315</v>
      </c>
      <c r="H106" s="87"/>
      <c r="I106" s="87">
        <v>3.0</v>
      </c>
      <c r="J106" s="87" t="s">
        <v>4614</v>
      </c>
      <c r="K106" s="87" t="s">
        <v>4612</v>
      </c>
      <c r="L106" s="87" t="s">
        <v>4615</v>
      </c>
      <c r="M106" s="86" t="s">
        <v>298</v>
      </c>
      <c r="N106" s="87" t="s">
        <v>4613</v>
      </c>
      <c r="O106" s="87"/>
      <c r="P106" s="87">
        <v>2013.0</v>
      </c>
      <c r="Q106" s="87" t="s">
        <v>4151</v>
      </c>
      <c r="R106" s="87" t="s">
        <v>4152</v>
      </c>
      <c r="S106" s="87" t="s">
        <v>1805</v>
      </c>
      <c r="T106" s="87" t="s">
        <v>2673</v>
      </c>
      <c r="U106" s="86" t="s">
        <v>1807</v>
      </c>
      <c r="V106" s="87">
        <v>5.0</v>
      </c>
      <c r="W106" s="87"/>
      <c r="X106" s="87"/>
      <c r="Y106" s="87"/>
      <c r="Z106" s="89" t="s">
        <v>564</v>
      </c>
      <c r="AA106" s="46" t="s">
        <v>4486</v>
      </c>
      <c r="AB106" s="89" t="s">
        <v>2741</v>
      </c>
      <c r="AC106" s="89" t="s">
        <v>564</v>
      </c>
      <c r="AD106" s="89" t="s">
        <v>565</v>
      </c>
      <c r="AE106" s="87"/>
      <c r="AF106" s="89" t="s">
        <v>2728</v>
      </c>
      <c r="AG106" s="46" t="s">
        <v>4117</v>
      </c>
      <c r="AH106" s="87" t="s">
        <v>4487</v>
      </c>
      <c r="AI106" s="86">
        <v>2013.0</v>
      </c>
      <c r="AJ106" s="86">
        <v>2013.0</v>
      </c>
      <c r="AK106" s="86" t="s">
        <v>70</v>
      </c>
      <c r="AL106" s="86"/>
      <c r="AM106" s="86"/>
      <c r="AN106" s="86"/>
      <c r="AO106" s="86"/>
      <c r="AP106" s="86"/>
      <c r="AQ106" s="86"/>
    </row>
    <row r="107">
      <c r="A107" s="86">
        <v>105.0</v>
      </c>
      <c r="B107" s="87" t="s">
        <v>4616</v>
      </c>
      <c r="C107" s="87" t="s">
        <v>4617</v>
      </c>
      <c r="D107" s="87" t="s">
        <v>2705</v>
      </c>
      <c r="E107" s="88" t="s">
        <v>298</v>
      </c>
      <c r="F107" s="86" t="s">
        <v>73</v>
      </c>
      <c r="G107" s="88" t="s">
        <v>315</v>
      </c>
      <c r="H107" s="87"/>
      <c r="I107" s="87">
        <v>5.0</v>
      </c>
      <c r="J107" s="87" t="s">
        <v>4618</v>
      </c>
      <c r="K107" s="87" t="s">
        <v>4616</v>
      </c>
      <c r="L107" s="87" t="s">
        <v>4619</v>
      </c>
      <c r="M107" s="86" t="s">
        <v>298</v>
      </c>
      <c r="N107" s="87" t="s">
        <v>4617</v>
      </c>
      <c r="O107" s="87"/>
      <c r="P107" s="87">
        <v>2010.0</v>
      </c>
      <c r="Q107" s="87" t="s">
        <v>4620</v>
      </c>
      <c r="R107" s="87" t="s">
        <v>3371</v>
      </c>
      <c r="S107" s="87" t="s">
        <v>1805</v>
      </c>
      <c r="T107" s="87" t="s">
        <v>2673</v>
      </c>
      <c r="U107" s="86" t="s">
        <v>1807</v>
      </c>
      <c r="V107" s="87">
        <v>5.0</v>
      </c>
      <c r="W107" s="87"/>
      <c r="X107" s="87"/>
      <c r="Y107" s="87"/>
      <c r="Z107" s="89" t="s">
        <v>564</v>
      </c>
      <c r="AA107" s="89" t="s">
        <v>2833</v>
      </c>
      <c r="AB107" s="89" t="s">
        <v>2741</v>
      </c>
      <c r="AC107" s="89" t="s">
        <v>564</v>
      </c>
      <c r="AD107" s="89" t="s">
        <v>565</v>
      </c>
      <c r="AE107" s="87"/>
      <c r="AF107" s="89" t="s">
        <v>2728</v>
      </c>
      <c r="AG107" s="46" t="s">
        <v>4117</v>
      </c>
      <c r="AH107" s="87" t="s">
        <v>4621</v>
      </c>
      <c r="AI107" s="86">
        <v>2010.0</v>
      </c>
      <c r="AJ107" s="86">
        <v>2010.0</v>
      </c>
      <c r="AK107" s="86" t="s">
        <v>70</v>
      </c>
      <c r="AL107" s="86"/>
      <c r="AM107" s="86"/>
      <c r="AN107" s="86"/>
      <c r="AO107" s="86"/>
      <c r="AP107" s="86"/>
      <c r="AQ107" s="86"/>
    </row>
    <row r="108">
      <c r="A108" s="86">
        <v>106.0</v>
      </c>
      <c r="B108" s="87" t="s">
        <v>4622</v>
      </c>
      <c r="C108" s="87" t="s">
        <v>4623</v>
      </c>
      <c r="D108" s="87" t="s">
        <v>2705</v>
      </c>
      <c r="E108" s="88" t="s">
        <v>298</v>
      </c>
      <c r="F108" s="86" t="s">
        <v>73</v>
      </c>
      <c r="G108" s="88" t="s">
        <v>315</v>
      </c>
      <c r="H108" s="87"/>
      <c r="I108" s="87">
        <v>3.0</v>
      </c>
      <c r="J108" s="87" t="s">
        <v>4624</v>
      </c>
      <c r="K108" s="87" t="s">
        <v>4622</v>
      </c>
      <c r="L108" s="87" t="s">
        <v>4625</v>
      </c>
      <c r="M108" s="86" t="s">
        <v>298</v>
      </c>
      <c r="N108" s="87" t="s">
        <v>4623</v>
      </c>
      <c r="O108" s="87"/>
      <c r="P108" s="87">
        <v>2020.0</v>
      </c>
      <c r="Q108" s="87" t="s">
        <v>3435</v>
      </c>
      <c r="R108" s="87" t="s">
        <v>3436</v>
      </c>
      <c r="S108" s="87" t="s">
        <v>1805</v>
      </c>
      <c r="T108" s="87" t="s">
        <v>2673</v>
      </c>
      <c r="U108" s="86" t="s">
        <v>1807</v>
      </c>
      <c r="V108" s="87">
        <v>5.0</v>
      </c>
      <c r="W108" s="87"/>
      <c r="X108" s="87"/>
      <c r="Y108" s="87"/>
      <c r="Z108" s="89" t="s">
        <v>564</v>
      </c>
      <c r="AA108" s="89" t="s">
        <v>2833</v>
      </c>
      <c r="AB108" s="89" t="s">
        <v>2834</v>
      </c>
      <c r="AC108" s="89" t="s">
        <v>564</v>
      </c>
      <c r="AD108" s="89" t="s">
        <v>565</v>
      </c>
      <c r="AE108" s="87"/>
      <c r="AF108" s="89" t="s">
        <v>2728</v>
      </c>
      <c r="AG108" s="46" t="s">
        <v>4117</v>
      </c>
      <c r="AH108" s="87" t="s">
        <v>4626</v>
      </c>
      <c r="AI108" s="86">
        <v>2020.0</v>
      </c>
      <c r="AJ108" s="86">
        <v>2020.0</v>
      </c>
      <c r="AK108" s="86" t="s">
        <v>70</v>
      </c>
      <c r="AL108" s="86"/>
      <c r="AM108" s="86"/>
      <c r="AN108" s="86"/>
      <c r="AO108" s="86"/>
      <c r="AP108" s="86"/>
      <c r="AQ108" s="86"/>
    </row>
    <row r="109">
      <c r="A109" s="88">
        <v>107.0</v>
      </c>
      <c r="B109" s="87" t="s">
        <v>4627</v>
      </c>
      <c r="C109" s="87" t="s">
        <v>4628</v>
      </c>
      <c r="D109" s="87" t="s">
        <v>2705</v>
      </c>
      <c r="E109" s="88" t="s">
        <v>298</v>
      </c>
      <c r="F109" s="86" t="s">
        <v>73</v>
      </c>
      <c r="G109" s="88" t="s">
        <v>315</v>
      </c>
      <c r="H109" s="87"/>
      <c r="I109" s="87">
        <v>5.0</v>
      </c>
      <c r="J109" s="87" t="s">
        <v>4629</v>
      </c>
      <c r="K109" s="87" t="s">
        <v>4627</v>
      </c>
      <c r="L109" s="87" t="s">
        <v>4630</v>
      </c>
      <c r="M109" s="86" t="s">
        <v>298</v>
      </c>
      <c r="N109" s="87" t="s">
        <v>4628</v>
      </c>
      <c r="O109" s="87"/>
      <c r="P109" s="87">
        <v>2016.0</v>
      </c>
      <c r="Q109" s="87" t="s">
        <v>3233</v>
      </c>
      <c r="R109" s="87" t="s">
        <v>3234</v>
      </c>
      <c r="S109" s="87" t="s">
        <v>1805</v>
      </c>
      <c r="T109" s="87" t="s">
        <v>2673</v>
      </c>
      <c r="U109" s="86" t="s">
        <v>1807</v>
      </c>
      <c r="V109" s="87">
        <v>5.0</v>
      </c>
      <c r="W109" s="87"/>
      <c r="X109" s="87"/>
      <c r="Y109" s="87"/>
      <c r="Z109" s="89" t="s">
        <v>564</v>
      </c>
      <c r="AA109" s="89" t="s">
        <v>2833</v>
      </c>
      <c r="AB109" s="89" t="s">
        <v>2741</v>
      </c>
      <c r="AC109" s="89" t="s">
        <v>564</v>
      </c>
      <c r="AD109" s="89" t="s">
        <v>565</v>
      </c>
      <c r="AE109" s="87"/>
      <c r="AF109" s="89" t="s">
        <v>2728</v>
      </c>
      <c r="AG109" s="46" t="s">
        <v>4117</v>
      </c>
      <c r="AH109" s="87" t="s">
        <v>4631</v>
      </c>
      <c r="AI109" s="86">
        <v>2016.0</v>
      </c>
      <c r="AJ109" s="86">
        <v>2016.0</v>
      </c>
      <c r="AK109" s="86" t="s">
        <v>70</v>
      </c>
      <c r="AL109" s="86"/>
      <c r="AM109" s="86"/>
      <c r="AN109" s="86"/>
      <c r="AO109" s="86"/>
      <c r="AP109" s="86"/>
      <c r="AQ109" s="86"/>
    </row>
    <row r="110">
      <c r="A110" s="86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6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6"/>
      <c r="AJ110" s="86"/>
      <c r="AK110" s="86"/>
      <c r="AL110" s="86"/>
      <c r="AM110" s="86"/>
      <c r="AN110" s="86"/>
      <c r="AO110" s="86"/>
      <c r="AP110" s="86"/>
      <c r="AQ110" s="86"/>
    </row>
    <row r="111">
      <c r="A111" s="86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6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6"/>
      <c r="AJ111" s="86"/>
      <c r="AK111" s="86"/>
      <c r="AL111" s="86"/>
      <c r="AM111" s="86"/>
      <c r="AN111" s="86"/>
      <c r="AO111" s="86"/>
      <c r="AP111" s="86"/>
      <c r="AQ111" s="86"/>
    </row>
    <row r="112">
      <c r="A112" s="86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6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6"/>
      <c r="AJ112" s="86"/>
      <c r="AK112" s="86"/>
      <c r="AL112" s="86"/>
      <c r="AM112" s="86"/>
      <c r="AN112" s="86"/>
      <c r="AO112" s="86"/>
      <c r="AP112" s="86"/>
      <c r="AQ112" s="86"/>
    </row>
    <row r="113">
      <c r="A113" s="86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6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6"/>
      <c r="AJ113" s="86"/>
      <c r="AK113" s="86"/>
      <c r="AL113" s="86"/>
      <c r="AM113" s="86"/>
      <c r="AN113" s="86"/>
      <c r="AO113" s="86"/>
      <c r="AP113" s="86"/>
      <c r="AQ113" s="86"/>
    </row>
    <row r="114">
      <c r="A114" s="86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6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6"/>
      <c r="AJ114" s="86"/>
      <c r="AK114" s="86"/>
      <c r="AL114" s="86"/>
      <c r="AM114" s="86"/>
      <c r="AN114" s="86"/>
      <c r="AO114" s="86"/>
      <c r="AP114" s="86"/>
      <c r="AQ114" s="86"/>
    </row>
    <row r="115">
      <c r="A115" s="86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6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6"/>
      <c r="AJ115" s="86"/>
      <c r="AK115" s="86"/>
      <c r="AL115" s="86"/>
      <c r="AM115" s="86"/>
      <c r="AN115" s="86"/>
      <c r="AO115" s="86"/>
      <c r="AP115" s="86"/>
      <c r="AQ115" s="86"/>
    </row>
    <row r="116">
      <c r="A116" s="86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6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6"/>
      <c r="AJ116" s="86"/>
      <c r="AK116" s="86"/>
      <c r="AL116" s="86"/>
      <c r="AM116" s="86"/>
      <c r="AN116" s="86"/>
      <c r="AO116" s="86"/>
      <c r="AP116" s="86"/>
      <c r="AQ116" s="86"/>
    </row>
    <row r="117">
      <c r="A117" s="86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6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6"/>
      <c r="AJ117" s="86"/>
      <c r="AK117" s="86"/>
      <c r="AL117" s="86"/>
      <c r="AM117" s="86"/>
      <c r="AN117" s="86"/>
      <c r="AO117" s="86"/>
      <c r="AP117" s="86"/>
      <c r="AQ117" s="86"/>
    </row>
    <row r="118">
      <c r="A118" s="86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6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6"/>
      <c r="AJ118" s="86"/>
      <c r="AK118" s="86"/>
      <c r="AL118" s="86"/>
      <c r="AM118" s="86"/>
      <c r="AN118" s="86"/>
      <c r="AO118" s="86"/>
      <c r="AP118" s="86"/>
      <c r="AQ118" s="86"/>
    </row>
    <row r="119">
      <c r="A119" s="86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6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6"/>
      <c r="AJ119" s="86"/>
      <c r="AK119" s="86"/>
      <c r="AL119" s="86"/>
      <c r="AM119" s="86"/>
      <c r="AN119" s="86"/>
      <c r="AO119" s="86"/>
      <c r="AP119" s="86"/>
      <c r="AQ119" s="86"/>
    </row>
    <row r="120">
      <c r="A120" s="86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6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6"/>
      <c r="AJ120" s="86"/>
      <c r="AK120" s="86"/>
      <c r="AL120" s="86"/>
      <c r="AM120" s="86"/>
      <c r="AN120" s="86"/>
      <c r="AO120" s="86"/>
      <c r="AP120" s="86"/>
      <c r="AQ120" s="86"/>
    </row>
    <row r="121">
      <c r="A121" s="86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6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6"/>
      <c r="AJ121" s="86"/>
      <c r="AK121" s="86"/>
      <c r="AL121" s="86"/>
      <c r="AM121" s="86"/>
      <c r="AN121" s="86"/>
      <c r="AO121" s="86"/>
      <c r="AP121" s="86"/>
      <c r="AQ121" s="86"/>
    </row>
    <row r="122">
      <c r="A122" s="86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6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6"/>
      <c r="AJ122" s="86"/>
      <c r="AK122" s="86"/>
      <c r="AL122" s="86"/>
      <c r="AM122" s="86"/>
      <c r="AN122" s="86"/>
      <c r="AO122" s="86"/>
      <c r="AP122" s="86"/>
      <c r="AQ122" s="86"/>
    </row>
    <row r="123">
      <c r="A123" s="86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6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6"/>
      <c r="AJ123" s="86"/>
      <c r="AK123" s="86"/>
      <c r="AL123" s="86"/>
      <c r="AM123" s="86"/>
      <c r="AN123" s="86"/>
      <c r="AO123" s="86"/>
      <c r="AP123" s="86"/>
      <c r="AQ123" s="86"/>
    </row>
    <row r="124">
      <c r="A124" s="86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6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6"/>
      <c r="AJ124" s="86"/>
      <c r="AK124" s="86"/>
      <c r="AL124" s="86"/>
      <c r="AM124" s="86"/>
      <c r="AN124" s="86"/>
      <c r="AO124" s="86"/>
      <c r="AP124" s="86"/>
      <c r="AQ124" s="86"/>
    </row>
    <row r="125">
      <c r="A125" s="86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6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6"/>
      <c r="AJ125" s="86"/>
      <c r="AK125" s="86"/>
      <c r="AL125" s="86"/>
      <c r="AM125" s="86"/>
      <c r="AN125" s="86"/>
      <c r="AO125" s="86"/>
      <c r="AP125" s="86"/>
      <c r="AQ125" s="86"/>
    </row>
    <row r="126">
      <c r="A126" s="86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6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6"/>
      <c r="AJ126" s="86"/>
      <c r="AK126" s="86"/>
      <c r="AL126" s="86"/>
      <c r="AM126" s="86"/>
      <c r="AN126" s="86"/>
      <c r="AO126" s="86"/>
      <c r="AP126" s="86"/>
      <c r="AQ126" s="86"/>
    </row>
    <row r="127">
      <c r="A127" s="86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6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6"/>
      <c r="AJ127" s="86"/>
      <c r="AK127" s="86"/>
      <c r="AL127" s="86"/>
      <c r="AM127" s="86"/>
      <c r="AN127" s="86"/>
      <c r="AO127" s="86"/>
      <c r="AP127" s="86"/>
      <c r="AQ127" s="86"/>
    </row>
    <row r="128">
      <c r="A128" s="86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6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6"/>
      <c r="AJ128" s="86"/>
      <c r="AK128" s="86"/>
      <c r="AL128" s="86"/>
      <c r="AM128" s="86"/>
      <c r="AN128" s="86"/>
      <c r="AO128" s="86"/>
      <c r="AP128" s="86"/>
      <c r="AQ128" s="86"/>
    </row>
    <row r="129">
      <c r="A129" s="86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6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6"/>
      <c r="AJ129" s="86"/>
      <c r="AK129" s="86"/>
      <c r="AL129" s="86"/>
      <c r="AM129" s="86"/>
      <c r="AN129" s="86"/>
      <c r="AO129" s="86"/>
      <c r="AP129" s="86"/>
      <c r="AQ129" s="86"/>
    </row>
    <row r="130">
      <c r="A130" s="86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6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6"/>
      <c r="AJ130" s="86"/>
      <c r="AK130" s="86"/>
      <c r="AL130" s="86"/>
      <c r="AM130" s="86"/>
      <c r="AN130" s="86"/>
      <c r="AO130" s="86"/>
      <c r="AP130" s="86"/>
      <c r="AQ130" s="86"/>
    </row>
    <row r="131">
      <c r="A131" s="86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6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6"/>
      <c r="AJ131" s="86"/>
      <c r="AK131" s="86"/>
      <c r="AL131" s="86"/>
      <c r="AM131" s="86"/>
      <c r="AN131" s="86"/>
      <c r="AO131" s="86"/>
      <c r="AP131" s="86"/>
      <c r="AQ131" s="86"/>
    </row>
    <row r="132">
      <c r="A132" s="86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6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6"/>
      <c r="AJ132" s="86"/>
      <c r="AK132" s="86"/>
      <c r="AL132" s="86"/>
      <c r="AM132" s="86"/>
      <c r="AN132" s="86"/>
      <c r="AO132" s="86"/>
      <c r="AP132" s="86"/>
      <c r="AQ132" s="86"/>
    </row>
    <row r="133">
      <c r="A133" s="86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6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6"/>
      <c r="AJ133" s="86"/>
      <c r="AK133" s="86"/>
      <c r="AL133" s="86"/>
      <c r="AM133" s="86"/>
      <c r="AN133" s="86"/>
      <c r="AO133" s="86"/>
      <c r="AP133" s="86"/>
      <c r="AQ133" s="86"/>
    </row>
    <row r="134">
      <c r="A134" s="86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6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6"/>
      <c r="AJ134" s="86"/>
      <c r="AK134" s="86"/>
      <c r="AL134" s="86"/>
      <c r="AM134" s="86"/>
      <c r="AN134" s="86"/>
      <c r="AO134" s="86"/>
      <c r="AP134" s="86"/>
      <c r="AQ134" s="86"/>
    </row>
    <row r="135">
      <c r="A135" s="86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6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6"/>
      <c r="AJ135" s="86"/>
      <c r="AK135" s="86"/>
      <c r="AL135" s="86"/>
      <c r="AM135" s="86"/>
      <c r="AN135" s="86"/>
      <c r="AO135" s="86"/>
      <c r="AP135" s="86"/>
      <c r="AQ135" s="86"/>
    </row>
    <row r="136">
      <c r="A136" s="86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6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6"/>
      <c r="AJ136" s="86"/>
      <c r="AK136" s="86"/>
      <c r="AL136" s="86"/>
      <c r="AM136" s="86"/>
      <c r="AN136" s="86"/>
      <c r="AO136" s="86"/>
      <c r="AP136" s="86"/>
      <c r="AQ136" s="86"/>
    </row>
    <row r="137">
      <c r="A137" s="86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6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6"/>
      <c r="AJ137" s="86"/>
      <c r="AK137" s="86"/>
      <c r="AL137" s="86"/>
      <c r="AM137" s="86"/>
      <c r="AN137" s="86"/>
      <c r="AO137" s="86"/>
      <c r="AP137" s="86"/>
      <c r="AQ137" s="86"/>
    </row>
    <row r="138">
      <c r="A138" s="86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6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6"/>
      <c r="AJ138" s="86"/>
      <c r="AK138" s="86"/>
      <c r="AL138" s="86"/>
      <c r="AM138" s="86"/>
      <c r="AN138" s="86"/>
      <c r="AO138" s="86"/>
      <c r="AP138" s="86"/>
      <c r="AQ138" s="86"/>
    </row>
    <row r="139">
      <c r="A139" s="86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6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6"/>
      <c r="AJ139" s="86"/>
      <c r="AK139" s="86"/>
      <c r="AL139" s="86"/>
      <c r="AM139" s="86"/>
      <c r="AN139" s="86"/>
      <c r="AO139" s="86"/>
      <c r="AP139" s="86"/>
      <c r="AQ139" s="86"/>
    </row>
    <row r="140">
      <c r="A140" s="86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6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6"/>
      <c r="AJ140" s="86"/>
      <c r="AK140" s="86"/>
      <c r="AL140" s="86"/>
      <c r="AM140" s="86"/>
      <c r="AN140" s="86"/>
      <c r="AO140" s="86"/>
      <c r="AP140" s="86"/>
      <c r="AQ140" s="86"/>
    </row>
    <row r="141">
      <c r="A141" s="86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6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6"/>
      <c r="AJ141" s="86"/>
      <c r="AK141" s="86"/>
      <c r="AL141" s="86"/>
      <c r="AM141" s="86"/>
      <c r="AN141" s="86"/>
      <c r="AO141" s="86"/>
      <c r="AP141" s="86"/>
      <c r="AQ141" s="86"/>
    </row>
    <row r="142">
      <c r="A142" s="86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6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6"/>
      <c r="AJ142" s="86"/>
      <c r="AK142" s="86"/>
      <c r="AL142" s="86"/>
      <c r="AM142" s="86"/>
      <c r="AN142" s="86"/>
      <c r="AO142" s="86"/>
      <c r="AP142" s="86"/>
      <c r="AQ142" s="86"/>
    </row>
    <row r="143">
      <c r="A143" s="86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6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6"/>
      <c r="AJ143" s="86"/>
      <c r="AK143" s="86"/>
      <c r="AL143" s="86"/>
      <c r="AM143" s="86"/>
      <c r="AN143" s="86"/>
      <c r="AO143" s="86"/>
      <c r="AP143" s="86"/>
      <c r="AQ143" s="86"/>
    </row>
    <row r="144">
      <c r="A144" s="86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6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6"/>
      <c r="AJ144" s="86"/>
      <c r="AK144" s="86"/>
      <c r="AL144" s="86"/>
      <c r="AM144" s="86"/>
      <c r="AN144" s="86"/>
      <c r="AO144" s="86"/>
      <c r="AP144" s="86"/>
      <c r="AQ144" s="86"/>
    </row>
    <row r="145">
      <c r="A145" s="86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6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6"/>
      <c r="AJ145" s="86"/>
      <c r="AK145" s="86"/>
      <c r="AL145" s="86"/>
      <c r="AM145" s="86"/>
      <c r="AN145" s="86"/>
      <c r="AO145" s="86"/>
      <c r="AP145" s="86"/>
      <c r="AQ145" s="86"/>
    </row>
    <row r="146">
      <c r="A146" s="86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6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6"/>
      <c r="AJ146" s="86"/>
      <c r="AK146" s="86"/>
      <c r="AL146" s="86"/>
      <c r="AM146" s="86"/>
      <c r="AN146" s="86"/>
      <c r="AO146" s="86"/>
      <c r="AP146" s="86"/>
      <c r="AQ146" s="86"/>
    </row>
    <row r="147">
      <c r="A147" s="86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6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6"/>
      <c r="AJ147" s="86"/>
      <c r="AK147" s="86"/>
      <c r="AL147" s="86"/>
      <c r="AM147" s="86"/>
      <c r="AN147" s="86"/>
      <c r="AO147" s="86"/>
      <c r="AP147" s="86"/>
      <c r="AQ147" s="86"/>
    </row>
    <row r="148">
      <c r="A148" s="86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6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6"/>
      <c r="AJ148" s="86"/>
      <c r="AK148" s="86"/>
      <c r="AL148" s="86"/>
      <c r="AM148" s="86"/>
      <c r="AN148" s="86"/>
      <c r="AO148" s="86"/>
      <c r="AP148" s="86"/>
      <c r="AQ148" s="86"/>
    </row>
    <row r="149">
      <c r="A149" s="86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6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6"/>
      <c r="AJ149" s="86"/>
      <c r="AK149" s="86"/>
      <c r="AL149" s="86"/>
      <c r="AM149" s="86"/>
      <c r="AN149" s="86"/>
      <c r="AO149" s="86"/>
      <c r="AP149" s="86"/>
      <c r="AQ149" s="86"/>
    </row>
    <row r="150">
      <c r="A150" s="86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6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6"/>
      <c r="AJ150" s="86"/>
      <c r="AK150" s="86"/>
      <c r="AL150" s="86"/>
      <c r="AM150" s="86"/>
      <c r="AN150" s="86"/>
      <c r="AO150" s="86"/>
      <c r="AP150" s="86"/>
      <c r="AQ150" s="86"/>
    </row>
    <row r="151">
      <c r="A151" s="86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6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6"/>
      <c r="AJ151" s="86"/>
      <c r="AK151" s="86"/>
      <c r="AL151" s="86"/>
      <c r="AM151" s="86"/>
      <c r="AN151" s="86"/>
      <c r="AO151" s="86"/>
      <c r="AP151" s="86"/>
      <c r="AQ151" s="86"/>
    </row>
    <row r="152">
      <c r="A152" s="86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6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6"/>
      <c r="AJ152" s="86"/>
      <c r="AK152" s="86"/>
      <c r="AL152" s="86"/>
      <c r="AM152" s="86"/>
      <c r="AN152" s="86"/>
      <c r="AO152" s="86"/>
      <c r="AP152" s="86"/>
      <c r="AQ152" s="86"/>
    </row>
    <row r="153">
      <c r="A153" s="86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6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6"/>
      <c r="AJ153" s="86"/>
      <c r="AK153" s="86"/>
      <c r="AL153" s="86"/>
      <c r="AM153" s="86"/>
      <c r="AN153" s="86"/>
      <c r="AO153" s="86"/>
      <c r="AP153" s="86"/>
      <c r="AQ153" s="86"/>
    </row>
    <row r="154">
      <c r="A154" s="86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6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6"/>
      <c r="AJ154" s="86"/>
      <c r="AK154" s="86"/>
      <c r="AL154" s="86"/>
      <c r="AM154" s="86"/>
      <c r="AN154" s="86"/>
      <c r="AO154" s="86"/>
      <c r="AP154" s="86"/>
      <c r="AQ154" s="86"/>
    </row>
    <row r="155">
      <c r="A155" s="86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6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6"/>
      <c r="AJ155" s="86"/>
      <c r="AK155" s="86"/>
      <c r="AL155" s="86"/>
      <c r="AM155" s="86"/>
      <c r="AN155" s="86"/>
      <c r="AO155" s="86"/>
      <c r="AP155" s="86"/>
      <c r="AQ155" s="86"/>
    </row>
    <row r="156">
      <c r="A156" s="86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6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6"/>
      <c r="AJ156" s="86"/>
      <c r="AK156" s="86"/>
      <c r="AL156" s="86"/>
      <c r="AM156" s="86"/>
      <c r="AN156" s="86"/>
      <c r="AO156" s="86"/>
      <c r="AP156" s="86"/>
      <c r="AQ156" s="86"/>
    </row>
    <row r="157">
      <c r="A157" s="86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6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6"/>
      <c r="AJ157" s="86"/>
      <c r="AK157" s="86"/>
      <c r="AL157" s="86"/>
      <c r="AM157" s="86"/>
      <c r="AN157" s="86"/>
      <c r="AO157" s="86"/>
      <c r="AP157" s="86"/>
      <c r="AQ157" s="86"/>
    </row>
    <row r="158">
      <c r="A158" s="86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6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6"/>
      <c r="AJ158" s="86"/>
      <c r="AK158" s="86"/>
      <c r="AL158" s="86"/>
      <c r="AM158" s="86"/>
      <c r="AN158" s="86"/>
      <c r="AO158" s="86"/>
      <c r="AP158" s="86"/>
      <c r="AQ158" s="86"/>
    </row>
    <row r="159">
      <c r="A159" s="86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6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6"/>
      <c r="AJ159" s="86"/>
      <c r="AK159" s="86"/>
      <c r="AL159" s="86"/>
      <c r="AM159" s="86"/>
      <c r="AN159" s="86"/>
      <c r="AO159" s="86"/>
      <c r="AP159" s="86"/>
      <c r="AQ159" s="86"/>
    </row>
    <row r="160">
      <c r="A160" s="86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6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6"/>
      <c r="AJ160" s="86"/>
      <c r="AK160" s="86"/>
      <c r="AL160" s="86"/>
      <c r="AM160" s="86"/>
      <c r="AN160" s="86"/>
      <c r="AO160" s="86"/>
      <c r="AP160" s="86"/>
      <c r="AQ160" s="86"/>
    </row>
    <row r="161">
      <c r="A161" s="86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6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6"/>
      <c r="AJ161" s="86"/>
      <c r="AK161" s="86"/>
      <c r="AL161" s="86"/>
      <c r="AM161" s="86"/>
      <c r="AN161" s="86"/>
      <c r="AO161" s="86"/>
      <c r="AP161" s="86"/>
      <c r="AQ161" s="86"/>
    </row>
    <row r="162">
      <c r="A162" s="86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6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6"/>
      <c r="AJ162" s="86"/>
      <c r="AK162" s="86"/>
      <c r="AL162" s="86"/>
      <c r="AM162" s="86"/>
      <c r="AN162" s="86"/>
      <c r="AO162" s="86"/>
      <c r="AP162" s="86"/>
      <c r="AQ162" s="86"/>
    </row>
    <row r="163">
      <c r="A163" s="86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6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6"/>
      <c r="AJ163" s="86"/>
      <c r="AK163" s="86"/>
      <c r="AL163" s="86"/>
      <c r="AM163" s="86"/>
      <c r="AN163" s="86"/>
      <c r="AO163" s="86"/>
      <c r="AP163" s="86"/>
      <c r="AQ163" s="86"/>
    </row>
    <row r="164">
      <c r="A164" s="86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6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6"/>
      <c r="AJ164" s="86"/>
      <c r="AK164" s="86"/>
      <c r="AL164" s="86"/>
      <c r="AM164" s="86"/>
      <c r="AN164" s="86"/>
      <c r="AO164" s="86"/>
      <c r="AP164" s="86"/>
      <c r="AQ164" s="86"/>
    </row>
    <row r="165">
      <c r="A165" s="86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6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6"/>
      <c r="AJ165" s="86"/>
      <c r="AK165" s="86"/>
      <c r="AL165" s="86"/>
      <c r="AM165" s="86"/>
      <c r="AN165" s="86"/>
      <c r="AO165" s="86"/>
      <c r="AP165" s="86"/>
      <c r="AQ165" s="86"/>
    </row>
    <row r="166">
      <c r="A166" s="86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6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6"/>
      <c r="AJ166" s="86"/>
      <c r="AK166" s="86"/>
      <c r="AL166" s="86"/>
      <c r="AM166" s="86"/>
      <c r="AN166" s="86"/>
      <c r="AO166" s="86"/>
      <c r="AP166" s="86"/>
      <c r="AQ166" s="86"/>
    </row>
    <row r="167">
      <c r="A167" s="86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6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6"/>
      <c r="AJ167" s="86"/>
      <c r="AK167" s="86"/>
      <c r="AL167" s="86"/>
      <c r="AM167" s="86"/>
      <c r="AN167" s="86"/>
      <c r="AO167" s="86"/>
      <c r="AP167" s="86"/>
      <c r="AQ167" s="86"/>
    </row>
    <row r="168">
      <c r="A168" s="86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6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6"/>
      <c r="AJ168" s="86"/>
      <c r="AK168" s="86"/>
      <c r="AL168" s="86"/>
      <c r="AM168" s="86"/>
      <c r="AN168" s="86"/>
      <c r="AO168" s="86"/>
      <c r="AP168" s="86"/>
      <c r="AQ168" s="86"/>
    </row>
    <row r="169">
      <c r="A169" s="86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6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6"/>
      <c r="AJ169" s="86"/>
      <c r="AK169" s="86"/>
      <c r="AL169" s="86"/>
      <c r="AM169" s="86"/>
      <c r="AN169" s="86"/>
      <c r="AO169" s="86"/>
      <c r="AP169" s="86"/>
      <c r="AQ169" s="86"/>
    </row>
    <row r="170">
      <c r="A170" s="86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6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6"/>
      <c r="AJ170" s="86"/>
      <c r="AK170" s="86"/>
      <c r="AL170" s="86"/>
      <c r="AM170" s="86"/>
      <c r="AN170" s="86"/>
      <c r="AO170" s="86"/>
      <c r="AP170" s="86"/>
      <c r="AQ170" s="86"/>
    </row>
    <row r="171">
      <c r="A171" s="86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6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6"/>
      <c r="AJ171" s="86"/>
      <c r="AK171" s="86"/>
      <c r="AL171" s="86"/>
      <c r="AM171" s="86"/>
      <c r="AN171" s="86"/>
      <c r="AO171" s="86"/>
      <c r="AP171" s="86"/>
      <c r="AQ171" s="86"/>
    </row>
    <row r="172">
      <c r="A172" s="86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6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6"/>
      <c r="AJ172" s="86"/>
      <c r="AK172" s="86"/>
      <c r="AL172" s="86"/>
      <c r="AM172" s="86"/>
      <c r="AN172" s="86"/>
      <c r="AO172" s="86"/>
      <c r="AP172" s="86"/>
      <c r="AQ172" s="86"/>
    </row>
    <row r="173">
      <c r="A173" s="86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6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6"/>
      <c r="AJ173" s="86"/>
      <c r="AK173" s="86"/>
      <c r="AL173" s="86"/>
      <c r="AM173" s="86"/>
      <c r="AN173" s="86"/>
      <c r="AO173" s="86"/>
      <c r="AP173" s="86"/>
      <c r="AQ173" s="86"/>
    </row>
    <row r="174">
      <c r="A174" s="86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6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6"/>
      <c r="AJ174" s="86"/>
      <c r="AK174" s="86"/>
      <c r="AL174" s="86"/>
      <c r="AM174" s="86"/>
      <c r="AN174" s="86"/>
      <c r="AO174" s="86"/>
      <c r="AP174" s="86"/>
      <c r="AQ174" s="86"/>
    </row>
    <row r="175">
      <c r="A175" s="86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6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6"/>
      <c r="AJ175" s="86"/>
      <c r="AK175" s="86"/>
      <c r="AL175" s="86"/>
      <c r="AM175" s="86"/>
      <c r="AN175" s="86"/>
      <c r="AO175" s="86"/>
      <c r="AP175" s="86"/>
      <c r="AQ175" s="86"/>
    </row>
    <row r="176">
      <c r="A176" s="86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6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6"/>
      <c r="AJ176" s="86"/>
      <c r="AK176" s="86"/>
      <c r="AL176" s="86"/>
      <c r="AM176" s="86"/>
      <c r="AN176" s="86"/>
      <c r="AO176" s="86"/>
      <c r="AP176" s="86"/>
      <c r="AQ176" s="86"/>
    </row>
    <row r="177">
      <c r="A177" s="86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6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6"/>
      <c r="AJ177" s="86"/>
      <c r="AK177" s="86"/>
      <c r="AL177" s="86"/>
      <c r="AM177" s="86"/>
      <c r="AN177" s="86"/>
      <c r="AO177" s="86"/>
      <c r="AP177" s="86"/>
      <c r="AQ177" s="86"/>
    </row>
    <row r="178">
      <c r="A178" s="86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6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6"/>
      <c r="AJ178" s="86"/>
      <c r="AK178" s="86"/>
      <c r="AL178" s="86"/>
      <c r="AM178" s="86"/>
      <c r="AN178" s="86"/>
      <c r="AO178" s="86"/>
      <c r="AP178" s="86"/>
      <c r="AQ178" s="86"/>
    </row>
    <row r="179">
      <c r="A179" s="86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6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6"/>
      <c r="AJ179" s="86"/>
      <c r="AK179" s="86"/>
      <c r="AL179" s="86"/>
      <c r="AM179" s="86"/>
      <c r="AN179" s="86"/>
      <c r="AO179" s="86"/>
      <c r="AP179" s="86"/>
      <c r="AQ179" s="86"/>
    </row>
    <row r="180">
      <c r="A180" s="86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6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6"/>
      <c r="AJ180" s="86"/>
      <c r="AK180" s="86"/>
      <c r="AL180" s="86"/>
      <c r="AM180" s="86"/>
      <c r="AN180" s="86"/>
      <c r="AO180" s="86"/>
      <c r="AP180" s="86"/>
      <c r="AQ180" s="86"/>
    </row>
    <row r="181">
      <c r="A181" s="86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6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6"/>
      <c r="AJ181" s="86"/>
      <c r="AK181" s="86"/>
      <c r="AL181" s="86"/>
      <c r="AM181" s="86"/>
      <c r="AN181" s="86"/>
      <c r="AO181" s="86"/>
      <c r="AP181" s="86"/>
      <c r="AQ181" s="86"/>
    </row>
    <row r="182">
      <c r="A182" s="86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6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6"/>
      <c r="AJ182" s="86"/>
      <c r="AK182" s="86"/>
      <c r="AL182" s="86"/>
      <c r="AM182" s="86"/>
      <c r="AN182" s="86"/>
      <c r="AO182" s="86"/>
      <c r="AP182" s="86"/>
      <c r="AQ182" s="86"/>
    </row>
    <row r="183">
      <c r="A183" s="86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6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6"/>
      <c r="AJ183" s="86"/>
      <c r="AK183" s="86"/>
      <c r="AL183" s="86"/>
      <c r="AM183" s="86"/>
      <c r="AN183" s="86"/>
      <c r="AO183" s="86"/>
      <c r="AP183" s="86"/>
      <c r="AQ183" s="86"/>
    </row>
    <row r="184">
      <c r="A184" s="86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6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6"/>
      <c r="AJ184" s="86"/>
      <c r="AK184" s="86"/>
      <c r="AL184" s="86"/>
      <c r="AM184" s="86"/>
      <c r="AN184" s="86"/>
      <c r="AO184" s="86"/>
      <c r="AP184" s="86"/>
      <c r="AQ184" s="86"/>
    </row>
    <row r="185">
      <c r="A185" s="86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6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6"/>
      <c r="AJ185" s="86"/>
      <c r="AK185" s="86"/>
      <c r="AL185" s="86"/>
      <c r="AM185" s="86"/>
      <c r="AN185" s="86"/>
      <c r="AO185" s="86"/>
      <c r="AP185" s="86"/>
      <c r="AQ185" s="86"/>
    </row>
    <row r="186">
      <c r="A186" s="86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6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6"/>
      <c r="AJ186" s="86"/>
      <c r="AK186" s="86"/>
      <c r="AL186" s="86"/>
      <c r="AM186" s="86"/>
      <c r="AN186" s="86"/>
      <c r="AO186" s="86"/>
      <c r="AP186" s="86"/>
      <c r="AQ186" s="86"/>
    </row>
    <row r="187">
      <c r="A187" s="86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6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6"/>
      <c r="AJ187" s="86"/>
      <c r="AK187" s="86"/>
      <c r="AL187" s="86"/>
      <c r="AM187" s="86"/>
      <c r="AN187" s="86"/>
      <c r="AO187" s="86"/>
      <c r="AP187" s="86"/>
      <c r="AQ187" s="86"/>
    </row>
    <row r="188">
      <c r="A188" s="86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6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6"/>
      <c r="AJ188" s="86"/>
      <c r="AK188" s="86"/>
      <c r="AL188" s="86"/>
      <c r="AM188" s="86"/>
      <c r="AN188" s="86"/>
      <c r="AO188" s="86"/>
      <c r="AP188" s="86"/>
      <c r="AQ188" s="86"/>
    </row>
    <row r="189">
      <c r="A189" s="86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6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6"/>
      <c r="AJ189" s="86"/>
      <c r="AK189" s="86"/>
      <c r="AL189" s="86"/>
      <c r="AM189" s="86"/>
      <c r="AN189" s="86"/>
      <c r="AO189" s="86"/>
      <c r="AP189" s="86"/>
      <c r="AQ189" s="86"/>
    </row>
    <row r="190">
      <c r="A190" s="86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6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6"/>
      <c r="AJ190" s="86"/>
      <c r="AK190" s="86"/>
      <c r="AL190" s="86"/>
      <c r="AM190" s="86"/>
      <c r="AN190" s="86"/>
      <c r="AO190" s="86"/>
      <c r="AP190" s="86"/>
      <c r="AQ190" s="86"/>
    </row>
    <row r="191">
      <c r="A191" s="86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6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6"/>
      <c r="AJ191" s="86"/>
      <c r="AK191" s="86"/>
      <c r="AL191" s="86"/>
      <c r="AM191" s="86"/>
      <c r="AN191" s="86"/>
      <c r="AO191" s="86"/>
      <c r="AP191" s="86"/>
      <c r="AQ191" s="86"/>
    </row>
    <row r="192">
      <c r="A192" s="86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6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6"/>
      <c r="AJ192" s="86"/>
      <c r="AK192" s="86"/>
      <c r="AL192" s="86"/>
      <c r="AM192" s="86"/>
      <c r="AN192" s="86"/>
      <c r="AO192" s="86"/>
      <c r="AP192" s="86"/>
      <c r="AQ192" s="86"/>
    </row>
    <row r="193">
      <c r="A193" s="86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6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6"/>
      <c r="AJ193" s="86"/>
      <c r="AK193" s="86"/>
      <c r="AL193" s="86"/>
      <c r="AM193" s="86"/>
      <c r="AN193" s="86"/>
      <c r="AO193" s="86"/>
      <c r="AP193" s="86"/>
      <c r="AQ193" s="86"/>
    </row>
    <row r="194">
      <c r="A194" s="86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6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6"/>
      <c r="AJ194" s="86"/>
      <c r="AK194" s="86"/>
      <c r="AL194" s="86"/>
      <c r="AM194" s="86"/>
      <c r="AN194" s="86"/>
      <c r="AO194" s="86"/>
      <c r="AP194" s="86"/>
      <c r="AQ194" s="86"/>
    </row>
    <row r="195">
      <c r="A195" s="86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6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6"/>
      <c r="AJ195" s="86"/>
      <c r="AK195" s="86"/>
      <c r="AL195" s="86"/>
      <c r="AM195" s="86"/>
      <c r="AN195" s="86"/>
      <c r="AO195" s="86"/>
      <c r="AP195" s="86"/>
      <c r="AQ195" s="86"/>
    </row>
    <row r="196">
      <c r="A196" s="86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6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6"/>
      <c r="AJ196" s="86"/>
      <c r="AK196" s="86"/>
      <c r="AL196" s="86"/>
      <c r="AM196" s="86"/>
      <c r="AN196" s="86"/>
      <c r="AO196" s="86"/>
      <c r="AP196" s="86"/>
      <c r="AQ196" s="86"/>
    </row>
    <row r="197">
      <c r="A197" s="86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6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6"/>
      <c r="AJ197" s="86"/>
      <c r="AK197" s="86"/>
      <c r="AL197" s="86"/>
      <c r="AM197" s="86"/>
      <c r="AN197" s="86"/>
      <c r="AO197" s="86"/>
      <c r="AP197" s="86"/>
      <c r="AQ197" s="86"/>
    </row>
    <row r="198">
      <c r="A198" s="86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6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6"/>
      <c r="AJ198" s="86"/>
      <c r="AK198" s="86"/>
      <c r="AL198" s="86"/>
      <c r="AM198" s="86"/>
      <c r="AN198" s="86"/>
      <c r="AO198" s="86"/>
      <c r="AP198" s="86"/>
      <c r="AQ198" s="86"/>
    </row>
    <row r="199">
      <c r="A199" s="86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6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6"/>
      <c r="AJ199" s="86"/>
      <c r="AK199" s="86"/>
      <c r="AL199" s="86"/>
      <c r="AM199" s="86"/>
      <c r="AN199" s="86"/>
      <c r="AO199" s="86"/>
      <c r="AP199" s="86"/>
      <c r="AQ199" s="86"/>
    </row>
    <row r="200">
      <c r="A200" s="86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6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6"/>
      <c r="AJ200" s="86"/>
      <c r="AK200" s="86"/>
      <c r="AL200" s="86"/>
      <c r="AM200" s="86"/>
      <c r="AN200" s="86"/>
      <c r="AO200" s="86"/>
      <c r="AP200" s="86"/>
      <c r="AQ200" s="86"/>
    </row>
    <row r="201">
      <c r="A201" s="86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6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6"/>
      <c r="AJ201" s="86"/>
      <c r="AK201" s="86"/>
      <c r="AL201" s="86"/>
      <c r="AM201" s="86"/>
      <c r="AN201" s="86"/>
      <c r="AO201" s="86"/>
      <c r="AP201" s="86"/>
      <c r="AQ201" s="86"/>
    </row>
    <row r="202">
      <c r="A202" s="86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6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6"/>
      <c r="AJ202" s="86"/>
      <c r="AK202" s="86"/>
      <c r="AL202" s="86"/>
      <c r="AM202" s="86"/>
      <c r="AN202" s="86"/>
      <c r="AO202" s="86"/>
      <c r="AP202" s="86"/>
      <c r="AQ202" s="86"/>
    </row>
    <row r="203">
      <c r="A203" s="86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6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6"/>
      <c r="AJ203" s="86"/>
      <c r="AK203" s="86"/>
      <c r="AL203" s="86"/>
      <c r="AM203" s="86"/>
      <c r="AN203" s="86"/>
      <c r="AO203" s="86"/>
      <c r="AP203" s="86"/>
      <c r="AQ203" s="86"/>
    </row>
    <row r="204">
      <c r="A204" s="86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6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6"/>
      <c r="AJ204" s="86"/>
      <c r="AK204" s="86"/>
      <c r="AL204" s="86"/>
      <c r="AM204" s="86"/>
      <c r="AN204" s="86"/>
      <c r="AO204" s="86"/>
      <c r="AP204" s="86"/>
      <c r="AQ204" s="86"/>
    </row>
    <row r="205">
      <c r="A205" s="86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6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6"/>
      <c r="AJ205" s="86"/>
      <c r="AK205" s="86"/>
      <c r="AL205" s="86"/>
      <c r="AM205" s="86"/>
      <c r="AN205" s="86"/>
      <c r="AO205" s="86"/>
      <c r="AP205" s="86"/>
      <c r="AQ205" s="86"/>
    </row>
    <row r="206">
      <c r="A206" s="86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6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6"/>
      <c r="AJ206" s="86"/>
      <c r="AK206" s="86"/>
      <c r="AL206" s="86"/>
      <c r="AM206" s="86"/>
      <c r="AN206" s="86"/>
      <c r="AO206" s="86"/>
      <c r="AP206" s="86"/>
      <c r="AQ206" s="86"/>
    </row>
    <row r="207">
      <c r="A207" s="86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6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6"/>
      <c r="AJ207" s="86"/>
      <c r="AK207" s="86"/>
      <c r="AL207" s="86"/>
      <c r="AM207" s="86"/>
      <c r="AN207" s="86"/>
      <c r="AO207" s="86"/>
      <c r="AP207" s="86"/>
      <c r="AQ207" s="86"/>
    </row>
    <row r="208">
      <c r="A208" s="86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6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6"/>
      <c r="AJ208" s="86"/>
      <c r="AK208" s="86"/>
      <c r="AL208" s="86"/>
      <c r="AM208" s="86"/>
      <c r="AN208" s="86"/>
      <c r="AO208" s="86"/>
      <c r="AP208" s="86"/>
      <c r="AQ208" s="86"/>
    </row>
    <row r="209">
      <c r="A209" s="86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6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6"/>
      <c r="AJ209" s="86"/>
      <c r="AK209" s="86"/>
      <c r="AL209" s="86"/>
      <c r="AM209" s="86"/>
      <c r="AN209" s="86"/>
      <c r="AO209" s="86"/>
      <c r="AP209" s="86"/>
      <c r="AQ209" s="86"/>
    </row>
    <row r="210">
      <c r="A210" s="86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6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6"/>
      <c r="AJ210" s="86"/>
      <c r="AK210" s="86"/>
      <c r="AL210" s="86"/>
      <c r="AM210" s="86"/>
      <c r="AN210" s="86"/>
      <c r="AO210" s="86"/>
      <c r="AP210" s="86"/>
      <c r="AQ210" s="86"/>
    </row>
    <row r="211">
      <c r="A211" s="86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6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6"/>
      <c r="AJ211" s="86"/>
      <c r="AK211" s="86"/>
      <c r="AL211" s="86"/>
      <c r="AM211" s="86"/>
      <c r="AN211" s="86"/>
      <c r="AO211" s="86"/>
      <c r="AP211" s="86"/>
      <c r="AQ211" s="86"/>
    </row>
    <row r="212">
      <c r="A212" s="86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6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6"/>
      <c r="AJ212" s="86"/>
      <c r="AK212" s="86"/>
      <c r="AL212" s="86"/>
      <c r="AM212" s="86"/>
      <c r="AN212" s="86"/>
      <c r="AO212" s="86"/>
      <c r="AP212" s="86"/>
      <c r="AQ212" s="86"/>
    </row>
    <row r="213">
      <c r="A213" s="86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6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6"/>
      <c r="AJ213" s="86"/>
      <c r="AK213" s="86"/>
      <c r="AL213" s="86"/>
      <c r="AM213" s="86"/>
      <c r="AN213" s="86"/>
      <c r="AO213" s="86"/>
      <c r="AP213" s="86"/>
      <c r="AQ213" s="86"/>
    </row>
    <row r="214">
      <c r="A214" s="86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6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6"/>
      <c r="AJ214" s="86"/>
      <c r="AK214" s="86"/>
      <c r="AL214" s="86"/>
      <c r="AM214" s="86"/>
      <c r="AN214" s="86"/>
      <c r="AO214" s="86"/>
      <c r="AP214" s="86"/>
      <c r="AQ214" s="86"/>
    </row>
    <row r="215">
      <c r="A215" s="86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6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6"/>
      <c r="AJ215" s="86"/>
      <c r="AK215" s="86"/>
      <c r="AL215" s="86"/>
      <c r="AM215" s="86"/>
      <c r="AN215" s="86"/>
      <c r="AO215" s="86"/>
      <c r="AP215" s="86"/>
      <c r="AQ215" s="86"/>
    </row>
    <row r="216">
      <c r="A216" s="86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6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6"/>
      <c r="AJ216" s="86"/>
      <c r="AK216" s="86"/>
      <c r="AL216" s="86"/>
      <c r="AM216" s="86"/>
      <c r="AN216" s="86"/>
      <c r="AO216" s="86"/>
      <c r="AP216" s="86"/>
      <c r="AQ216" s="86"/>
    </row>
    <row r="217">
      <c r="A217" s="86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6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6"/>
      <c r="AJ217" s="86"/>
      <c r="AK217" s="86"/>
      <c r="AL217" s="86"/>
      <c r="AM217" s="86"/>
      <c r="AN217" s="86"/>
      <c r="AO217" s="86"/>
      <c r="AP217" s="86"/>
      <c r="AQ217" s="86"/>
    </row>
    <row r="218">
      <c r="A218" s="86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6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6"/>
      <c r="AJ218" s="86"/>
      <c r="AK218" s="86"/>
      <c r="AL218" s="86"/>
      <c r="AM218" s="86"/>
      <c r="AN218" s="86"/>
      <c r="AO218" s="86"/>
      <c r="AP218" s="86"/>
      <c r="AQ218" s="86"/>
    </row>
    <row r="219">
      <c r="A219" s="86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6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6"/>
      <c r="AJ219" s="86"/>
      <c r="AK219" s="86"/>
      <c r="AL219" s="86"/>
      <c r="AM219" s="86"/>
      <c r="AN219" s="86"/>
      <c r="AO219" s="86"/>
      <c r="AP219" s="86"/>
      <c r="AQ219" s="86"/>
    </row>
    <row r="220">
      <c r="A220" s="86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6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6"/>
      <c r="AJ220" s="86"/>
      <c r="AK220" s="86"/>
      <c r="AL220" s="86"/>
      <c r="AM220" s="86"/>
      <c r="AN220" s="86"/>
      <c r="AO220" s="86"/>
      <c r="AP220" s="86"/>
      <c r="AQ220" s="86"/>
    </row>
    <row r="221">
      <c r="A221" s="86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6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6"/>
      <c r="AJ221" s="86"/>
      <c r="AK221" s="86"/>
      <c r="AL221" s="86"/>
      <c r="AM221" s="86"/>
      <c r="AN221" s="86"/>
      <c r="AO221" s="86"/>
      <c r="AP221" s="86"/>
      <c r="AQ221" s="86"/>
    </row>
    <row r="222">
      <c r="A222" s="86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6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6"/>
      <c r="AJ222" s="86"/>
      <c r="AK222" s="86"/>
      <c r="AL222" s="86"/>
      <c r="AM222" s="86"/>
      <c r="AN222" s="86"/>
      <c r="AO222" s="86"/>
      <c r="AP222" s="86"/>
      <c r="AQ222" s="86"/>
    </row>
    <row r="223">
      <c r="A223" s="86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6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6"/>
      <c r="AJ223" s="86"/>
      <c r="AK223" s="86"/>
      <c r="AL223" s="86"/>
      <c r="AM223" s="86"/>
      <c r="AN223" s="86"/>
      <c r="AO223" s="86"/>
      <c r="AP223" s="86"/>
      <c r="AQ223" s="86"/>
    </row>
    <row r="224">
      <c r="A224" s="86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6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6"/>
      <c r="AJ224" s="86"/>
      <c r="AK224" s="86"/>
      <c r="AL224" s="86"/>
      <c r="AM224" s="86"/>
      <c r="AN224" s="86"/>
      <c r="AO224" s="86"/>
      <c r="AP224" s="86"/>
      <c r="AQ224" s="86"/>
    </row>
    <row r="225">
      <c r="A225" s="86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6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6"/>
      <c r="AJ225" s="86"/>
      <c r="AK225" s="86"/>
      <c r="AL225" s="86"/>
      <c r="AM225" s="86"/>
      <c r="AN225" s="86"/>
      <c r="AO225" s="86"/>
      <c r="AP225" s="86"/>
      <c r="AQ225" s="86"/>
    </row>
    <row r="226">
      <c r="A226" s="86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6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6"/>
      <c r="AJ226" s="86"/>
      <c r="AK226" s="86"/>
      <c r="AL226" s="86"/>
      <c r="AM226" s="86"/>
      <c r="AN226" s="86"/>
      <c r="AO226" s="86"/>
      <c r="AP226" s="86"/>
      <c r="AQ226" s="86"/>
    </row>
    <row r="227">
      <c r="A227" s="86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6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6"/>
      <c r="AJ227" s="86"/>
      <c r="AK227" s="86"/>
      <c r="AL227" s="86"/>
      <c r="AM227" s="86"/>
      <c r="AN227" s="86"/>
      <c r="AO227" s="86"/>
      <c r="AP227" s="86"/>
      <c r="AQ227" s="86"/>
    </row>
    <row r="228">
      <c r="A228" s="86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6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6"/>
      <c r="AJ228" s="86"/>
      <c r="AK228" s="86"/>
      <c r="AL228" s="86"/>
      <c r="AM228" s="86"/>
      <c r="AN228" s="86"/>
      <c r="AO228" s="86"/>
      <c r="AP228" s="86"/>
      <c r="AQ228" s="86"/>
    </row>
    <row r="229">
      <c r="A229" s="86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6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6"/>
      <c r="AJ229" s="86"/>
      <c r="AK229" s="86"/>
      <c r="AL229" s="86"/>
      <c r="AM229" s="86"/>
      <c r="AN229" s="86"/>
      <c r="AO229" s="86"/>
      <c r="AP229" s="86"/>
      <c r="AQ229" s="86"/>
    </row>
    <row r="230">
      <c r="A230" s="86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6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6"/>
      <c r="AJ230" s="86"/>
      <c r="AK230" s="86"/>
      <c r="AL230" s="86"/>
      <c r="AM230" s="86"/>
      <c r="AN230" s="86"/>
      <c r="AO230" s="86"/>
      <c r="AP230" s="86"/>
      <c r="AQ230" s="86"/>
    </row>
    <row r="231">
      <c r="A231" s="86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6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6"/>
      <c r="AJ231" s="86"/>
      <c r="AK231" s="86"/>
      <c r="AL231" s="86"/>
      <c r="AM231" s="86"/>
      <c r="AN231" s="86"/>
      <c r="AO231" s="86"/>
      <c r="AP231" s="86"/>
      <c r="AQ231" s="86"/>
    </row>
    <row r="232">
      <c r="A232" s="86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6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6"/>
      <c r="AJ232" s="86"/>
      <c r="AK232" s="86"/>
      <c r="AL232" s="86"/>
      <c r="AM232" s="86"/>
      <c r="AN232" s="86"/>
      <c r="AO232" s="86"/>
      <c r="AP232" s="86"/>
      <c r="AQ232" s="86"/>
    </row>
    <row r="233">
      <c r="A233" s="86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6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6"/>
      <c r="AJ233" s="86"/>
      <c r="AK233" s="86"/>
      <c r="AL233" s="86"/>
      <c r="AM233" s="86"/>
      <c r="AN233" s="86"/>
      <c r="AO233" s="86"/>
      <c r="AP233" s="86"/>
      <c r="AQ233" s="86"/>
    </row>
    <row r="234">
      <c r="A234" s="86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6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6"/>
      <c r="AJ234" s="86"/>
      <c r="AK234" s="86"/>
      <c r="AL234" s="86"/>
      <c r="AM234" s="86"/>
      <c r="AN234" s="86"/>
      <c r="AO234" s="86"/>
      <c r="AP234" s="86"/>
      <c r="AQ234" s="86"/>
    </row>
    <row r="235">
      <c r="A235" s="86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6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6"/>
      <c r="AJ235" s="86"/>
      <c r="AK235" s="86"/>
      <c r="AL235" s="86"/>
      <c r="AM235" s="86"/>
      <c r="AN235" s="86"/>
      <c r="AO235" s="86"/>
      <c r="AP235" s="86"/>
      <c r="AQ235" s="86"/>
    </row>
    <row r="236">
      <c r="A236" s="86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6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6"/>
      <c r="AJ236" s="86"/>
      <c r="AK236" s="86"/>
      <c r="AL236" s="86"/>
      <c r="AM236" s="86"/>
      <c r="AN236" s="86"/>
      <c r="AO236" s="86"/>
      <c r="AP236" s="86"/>
      <c r="AQ236" s="86"/>
    </row>
    <row r="237">
      <c r="A237" s="86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6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6"/>
      <c r="AJ237" s="86"/>
      <c r="AK237" s="86"/>
      <c r="AL237" s="86"/>
      <c r="AM237" s="86"/>
      <c r="AN237" s="86"/>
      <c r="AO237" s="86"/>
      <c r="AP237" s="86"/>
      <c r="AQ237" s="86"/>
    </row>
    <row r="238">
      <c r="A238" s="86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6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6"/>
      <c r="AJ238" s="86"/>
      <c r="AK238" s="86"/>
      <c r="AL238" s="86"/>
      <c r="AM238" s="86"/>
      <c r="AN238" s="86"/>
      <c r="AO238" s="86"/>
      <c r="AP238" s="86"/>
      <c r="AQ238" s="86"/>
    </row>
    <row r="239">
      <c r="A239" s="86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6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6"/>
      <c r="AJ239" s="86"/>
      <c r="AK239" s="86"/>
      <c r="AL239" s="86"/>
      <c r="AM239" s="86"/>
      <c r="AN239" s="86"/>
      <c r="AO239" s="86"/>
      <c r="AP239" s="86"/>
      <c r="AQ239" s="86"/>
    </row>
    <row r="240">
      <c r="A240" s="86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6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6"/>
      <c r="AJ240" s="86"/>
      <c r="AK240" s="86"/>
      <c r="AL240" s="86"/>
      <c r="AM240" s="86"/>
      <c r="AN240" s="86"/>
      <c r="AO240" s="86"/>
      <c r="AP240" s="86"/>
      <c r="AQ240" s="86"/>
    </row>
    <row r="241">
      <c r="A241" s="86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6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6"/>
      <c r="AJ241" s="86"/>
      <c r="AK241" s="86"/>
      <c r="AL241" s="86"/>
      <c r="AM241" s="86"/>
      <c r="AN241" s="86"/>
      <c r="AO241" s="86"/>
      <c r="AP241" s="86"/>
      <c r="AQ241" s="86"/>
    </row>
    <row r="242">
      <c r="A242" s="86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6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6"/>
      <c r="AJ242" s="86"/>
      <c r="AK242" s="86"/>
      <c r="AL242" s="86"/>
      <c r="AM242" s="86"/>
      <c r="AN242" s="86"/>
      <c r="AO242" s="86"/>
      <c r="AP242" s="86"/>
      <c r="AQ242" s="86"/>
    </row>
    <row r="243">
      <c r="A243" s="86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6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6"/>
      <c r="AJ243" s="86"/>
      <c r="AK243" s="86"/>
      <c r="AL243" s="86"/>
      <c r="AM243" s="86"/>
      <c r="AN243" s="86"/>
      <c r="AO243" s="86"/>
      <c r="AP243" s="86"/>
      <c r="AQ243" s="86"/>
    </row>
    <row r="244">
      <c r="A244" s="86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6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6"/>
      <c r="AJ244" s="86"/>
      <c r="AK244" s="86"/>
      <c r="AL244" s="86"/>
      <c r="AM244" s="86"/>
      <c r="AN244" s="86"/>
      <c r="AO244" s="86"/>
      <c r="AP244" s="86"/>
      <c r="AQ244" s="86"/>
    </row>
    <row r="245">
      <c r="A245" s="86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6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6"/>
      <c r="AJ245" s="86"/>
      <c r="AK245" s="86"/>
      <c r="AL245" s="86"/>
      <c r="AM245" s="86"/>
      <c r="AN245" s="86"/>
      <c r="AO245" s="86"/>
      <c r="AP245" s="86"/>
      <c r="AQ245" s="86"/>
    </row>
    <row r="246">
      <c r="A246" s="86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6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6"/>
      <c r="AJ246" s="86"/>
      <c r="AK246" s="86"/>
      <c r="AL246" s="86"/>
      <c r="AM246" s="86"/>
      <c r="AN246" s="86"/>
      <c r="AO246" s="86"/>
      <c r="AP246" s="86"/>
      <c r="AQ246" s="86"/>
    </row>
    <row r="247">
      <c r="A247" s="86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6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6"/>
      <c r="AJ247" s="86"/>
      <c r="AK247" s="86"/>
      <c r="AL247" s="86"/>
      <c r="AM247" s="86"/>
      <c r="AN247" s="86"/>
      <c r="AO247" s="86"/>
      <c r="AP247" s="86"/>
      <c r="AQ247" s="86"/>
    </row>
    <row r="248">
      <c r="A248" s="86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6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6"/>
      <c r="AJ248" s="86"/>
      <c r="AK248" s="86"/>
      <c r="AL248" s="86"/>
      <c r="AM248" s="86"/>
      <c r="AN248" s="86"/>
      <c r="AO248" s="86"/>
      <c r="AP248" s="86"/>
      <c r="AQ248" s="86"/>
    </row>
    <row r="249">
      <c r="A249" s="86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6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6"/>
      <c r="AJ249" s="86"/>
      <c r="AK249" s="86"/>
      <c r="AL249" s="86"/>
      <c r="AM249" s="86"/>
      <c r="AN249" s="86"/>
      <c r="AO249" s="86"/>
      <c r="AP249" s="86"/>
      <c r="AQ249" s="86"/>
    </row>
    <row r="250">
      <c r="A250" s="86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6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6"/>
      <c r="AJ250" s="86"/>
      <c r="AK250" s="86"/>
      <c r="AL250" s="86"/>
      <c r="AM250" s="86"/>
      <c r="AN250" s="86"/>
      <c r="AO250" s="86"/>
      <c r="AP250" s="86"/>
      <c r="AQ250" s="86"/>
    </row>
    <row r="251">
      <c r="A251" s="86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6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6"/>
      <c r="AJ251" s="86"/>
      <c r="AK251" s="86"/>
      <c r="AL251" s="86"/>
      <c r="AM251" s="86"/>
      <c r="AN251" s="86"/>
      <c r="AO251" s="86"/>
      <c r="AP251" s="86"/>
      <c r="AQ251" s="86"/>
    </row>
    <row r="252">
      <c r="A252" s="86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6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6"/>
      <c r="AJ252" s="86"/>
      <c r="AK252" s="86"/>
      <c r="AL252" s="86"/>
      <c r="AM252" s="86"/>
      <c r="AN252" s="86"/>
      <c r="AO252" s="86"/>
      <c r="AP252" s="86"/>
      <c r="AQ252" s="86"/>
    </row>
    <row r="253">
      <c r="A253" s="86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6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6"/>
      <c r="AJ253" s="86"/>
      <c r="AK253" s="86"/>
      <c r="AL253" s="86"/>
      <c r="AM253" s="86"/>
      <c r="AN253" s="86"/>
      <c r="AO253" s="86"/>
      <c r="AP253" s="86"/>
      <c r="AQ253" s="86"/>
    </row>
    <row r="254">
      <c r="A254" s="86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6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6"/>
      <c r="AJ254" s="86"/>
      <c r="AK254" s="86"/>
      <c r="AL254" s="86"/>
      <c r="AM254" s="86"/>
      <c r="AN254" s="86"/>
      <c r="AO254" s="86"/>
      <c r="AP254" s="86"/>
      <c r="AQ254" s="86"/>
    </row>
    <row r="255">
      <c r="A255" s="86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6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6"/>
      <c r="AJ255" s="86"/>
      <c r="AK255" s="86"/>
      <c r="AL255" s="86"/>
      <c r="AM255" s="86"/>
      <c r="AN255" s="86"/>
      <c r="AO255" s="86"/>
      <c r="AP255" s="86"/>
      <c r="AQ255" s="86"/>
    </row>
    <row r="256">
      <c r="A256" s="86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6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6"/>
      <c r="AJ256" s="86"/>
      <c r="AK256" s="86"/>
      <c r="AL256" s="86"/>
      <c r="AM256" s="86"/>
      <c r="AN256" s="86"/>
      <c r="AO256" s="86"/>
      <c r="AP256" s="86"/>
      <c r="AQ256" s="86"/>
    </row>
    <row r="257">
      <c r="A257" s="86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6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6"/>
      <c r="AJ257" s="86"/>
      <c r="AK257" s="86"/>
      <c r="AL257" s="86"/>
      <c r="AM257" s="86"/>
      <c r="AN257" s="86"/>
      <c r="AO257" s="86"/>
      <c r="AP257" s="86"/>
      <c r="AQ257" s="86"/>
    </row>
    <row r="258">
      <c r="A258" s="86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6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6"/>
      <c r="AJ258" s="86"/>
      <c r="AK258" s="86"/>
      <c r="AL258" s="86"/>
      <c r="AM258" s="86"/>
      <c r="AN258" s="86"/>
      <c r="AO258" s="86"/>
      <c r="AP258" s="86"/>
      <c r="AQ258" s="86"/>
    </row>
    <row r="259">
      <c r="A259" s="86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6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6"/>
      <c r="AJ259" s="86"/>
      <c r="AK259" s="86"/>
      <c r="AL259" s="86"/>
      <c r="AM259" s="86"/>
      <c r="AN259" s="86"/>
      <c r="AO259" s="86"/>
      <c r="AP259" s="86"/>
      <c r="AQ259" s="86"/>
    </row>
    <row r="260">
      <c r="A260" s="86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6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6"/>
      <c r="AJ260" s="86"/>
      <c r="AK260" s="86"/>
      <c r="AL260" s="86"/>
      <c r="AM260" s="86"/>
      <c r="AN260" s="86"/>
      <c r="AO260" s="86"/>
      <c r="AP260" s="86"/>
      <c r="AQ260" s="86"/>
    </row>
    <row r="261">
      <c r="A261" s="86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6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6"/>
      <c r="AJ261" s="86"/>
      <c r="AK261" s="86"/>
      <c r="AL261" s="86"/>
      <c r="AM261" s="86"/>
      <c r="AN261" s="86"/>
      <c r="AO261" s="86"/>
      <c r="AP261" s="86"/>
      <c r="AQ261" s="86"/>
    </row>
    <row r="262">
      <c r="A262" s="86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6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6"/>
      <c r="AJ262" s="86"/>
      <c r="AK262" s="86"/>
      <c r="AL262" s="86"/>
      <c r="AM262" s="86"/>
      <c r="AN262" s="86"/>
      <c r="AO262" s="86"/>
      <c r="AP262" s="86"/>
      <c r="AQ262" s="86"/>
    </row>
    <row r="263">
      <c r="A263" s="86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6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6"/>
      <c r="AJ263" s="86"/>
      <c r="AK263" s="86"/>
      <c r="AL263" s="86"/>
      <c r="AM263" s="86"/>
      <c r="AN263" s="86"/>
      <c r="AO263" s="86"/>
      <c r="AP263" s="86"/>
      <c r="AQ263" s="86"/>
    </row>
    <row r="264">
      <c r="A264" s="86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6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6"/>
      <c r="AJ264" s="86"/>
      <c r="AK264" s="86"/>
      <c r="AL264" s="86"/>
      <c r="AM264" s="86"/>
      <c r="AN264" s="86"/>
      <c r="AO264" s="86"/>
      <c r="AP264" s="86"/>
      <c r="AQ264" s="86"/>
    </row>
    <row r="265">
      <c r="A265" s="86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6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6"/>
      <c r="AJ265" s="86"/>
      <c r="AK265" s="86"/>
      <c r="AL265" s="86"/>
      <c r="AM265" s="86"/>
      <c r="AN265" s="86"/>
      <c r="AO265" s="86"/>
      <c r="AP265" s="86"/>
      <c r="AQ265" s="86"/>
    </row>
    <row r="266">
      <c r="A266" s="86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6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6"/>
      <c r="AJ266" s="86"/>
      <c r="AK266" s="86"/>
      <c r="AL266" s="86"/>
      <c r="AM266" s="86"/>
      <c r="AN266" s="86"/>
      <c r="AO266" s="86"/>
      <c r="AP266" s="86"/>
      <c r="AQ266" s="86"/>
    </row>
    <row r="267">
      <c r="A267" s="86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6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6"/>
      <c r="AJ267" s="86"/>
      <c r="AK267" s="86"/>
      <c r="AL267" s="86"/>
      <c r="AM267" s="86"/>
      <c r="AN267" s="86"/>
      <c r="AO267" s="86"/>
      <c r="AP267" s="86"/>
      <c r="AQ267" s="86"/>
    </row>
    <row r="268">
      <c r="A268" s="86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6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6"/>
      <c r="AJ268" s="86"/>
      <c r="AK268" s="86"/>
      <c r="AL268" s="86"/>
      <c r="AM268" s="86"/>
      <c r="AN268" s="86"/>
      <c r="AO268" s="86"/>
      <c r="AP268" s="86"/>
      <c r="AQ268" s="86"/>
    </row>
    <row r="269">
      <c r="A269" s="86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6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6"/>
      <c r="AJ269" s="86"/>
      <c r="AK269" s="86"/>
      <c r="AL269" s="86"/>
      <c r="AM269" s="86"/>
      <c r="AN269" s="86"/>
      <c r="AO269" s="86"/>
      <c r="AP269" s="86"/>
      <c r="AQ269" s="86"/>
    </row>
    <row r="270">
      <c r="A270" s="86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6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6"/>
      <c r="AJ270" s="86"/>
      <c r="AK270" s="86"/>
      <c r="AL270" s="86"/>
      <c r="AM270" s="86"/>
      <c r="AN270" s="86"/>
      <c r="AO270" s="86"/>
      <c r="AP270" s="86"/>
      <c r="AQ270" s="86"/>
    </row>
    <row r="271">
      <c r="A271" s="86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6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6"/>
      <c r="AJ271" s="86"/>
      <c r="AK271" s="86"/>
      <c r="AL271" s="86"/>
      <c r="AM271" s="86"/>
      <c r="AN271" s="86"/>
      <c r="AO271" s="86"/>
      <c r="AP271" s="86"/>
      <c r="AQ271" s="86"/>
    </row>
    <row r="272">
      <c r="A272" s="86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6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6"/>
      <c r="AJ272" s="86"/>
      <c r="AK272" s="86"/>
      <c r="AL272" s="86"/>
      <c r="AM272" s="86"/>
      <c r="AN272" s="86"/>
      <c r="AO272" s="86"/>
      <c r="AP272" s="86"/>
      <c r="AQ272" s="86"/>
    </row>
    <row r="273">
      <c r="A273" s="86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6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6"/>
      <c r="AJ273" s="86"/>
      <c r="AK273" s="86"/>
      <c r="AL273" s="86"/>
      <c r="AM273" s="86"/>
      <c r="AN273" s="86"/>
      <c r="AO273" s="86"/>
      <c r="AP273" s="86"/>
      <c r="AQ273" s="86"/>
    </row>
    <row r="274">
      <c r="A274" s="86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6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6"/>
      <c r="AJ274" s="86"/>
      <c r="AK274" s="86"/>
      <c r="AL274" s="86"/>
      <c r="AM274" s="86"/>
      <c r="AN274" s="86"/>
      <c r="AO274" s="86"/>
      <c r="AP274" s="86"/>
      <c r="AQ274" s="86"/>
    </row>
    <row r="275">
      <c r="A275" s="86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6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6"/>
      <c r="AJ275" s="86"/>
      <c r="AK275" s="86"/>
      <c r="AL275" s="86"/>
      <c r="AM275" s="86"/>
      <c r="AN275" s="86"/>
      <c r="AO275" s="86"/>
      <c r="AP275" s="86"/>
      <c r="AQ275" s="86"/>
    </row>
    <row r="276">
      <c r="A276" s="86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6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6"/>
      <c r="AJ276" s="86"/>
      <c r="AK276" s="86"/>
      <c r="AL276" s="86"/>
      <c r="AM276" s="86"/>
      <c r="AN276" s="86"/>
      <c r="AO276" s="86"/>
      <c r="AP276" s="86"/>
      <c r="AQ276" s="86"/>
    </row>
    <row r="277">
      <c r="A277" s="86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6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6"/>
      <c r="AJ277" s="86"/>
      <c r="AK277" s="86"/>
      <c r="AL277" s="86"/>
      <c r="AM277" s="86"/>
      <c r="AN277" s="86"/>
      <c r="AO277" s="86"/>
      <c r="AP277" s="86"/>
      <c r="AQ277" s="86"/>
    </row>
    <row r="278">
      <c r="A278" s="86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6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6"/>
      <c r="AJ278" s="86"/>
      <c r="AK278" s="86"/>
      <c r="AL278" s="86"/>
      <c r="AM278" s="86"/>
      <c r="AN278" s="86"/>
      <c r="AO278" s="86"/>
      <c r="AP278" s="86"/>
      <c r="AQ278" s="86"/>
    </row>
    <row r="279">
      <c r="A279" s="86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6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6"/>
      <c r="AJ279" s="86"/>
      <c r="AK279" s="86"/>
      <c r="AL279" s="86"/>
      <c r="AM279" s="86"/>
      <c r="AN279" s="86"/>
      <c r="AO279" s="86"/>
      <c r="AP279" s="86"/>
      <c r="AQ279" s="86"/>
    </row>
    <row r="280">
      <c r="A280" s="86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6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6"/>
      <c r="AJ280" s="86"/>
      <c r="AK280" s="86"/>
      <c r="AL280" s="86"/>
      <c r="AM280" s="86"/>
      <c r="AN280" s="86"/>
      <c r="AO280" s="86"/>
      <c r="AP280" s="86"/>
      <c r="AQ280" s="86"/>
    </row>
    <row r="281">
      <c r="A281" s="86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6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6"/>
      <c r="AJ281" s="86"/>
      <c r="AK281" s="86"/>
      <c r="AL281" s="86"/>
      <c r="AM281" s="86"/>
      <c r="AN281" s="86"/>
      <c r="AO281" s="86"/>
      <c r="AP281" s="86"/>
      <c r="AQ281" s="86"/>
    </row>
    <row r="282">
      <c r="A282" s="86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6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6"/>
      <c r="AJ282" s="86"/>
      <c r="AK282" s="86"/>
      <c r="AL282" s="86"/>
      <c r="AM282" s="86"/>
      <c r="AN282" s="86"/>
      <c r="AO282" s="86"/>
      <c r="AP282" s="86"/>
      <c r="AQ282" s="86"/>
    </row>
    <row r="283">
      <c r="A283" s="86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6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6"/>
      <c r="AJ283" s="86"/>
      <c r="AK283" s="86"/>
      <c r="AL283" s="86"/>
      <c r="AM283" s="86"/>
      <c r="AN283" s="86"/>
      <c r="AO283" s="86"/>
      <c r="AP283" s="86"/>
      <c r="AQ283" s="86"/>
    </row>
    <row r="284">
      <c r="A284" s="86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6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6"/>
      <c r="AJ284" s="86"/>
      <c r="AK284" s="86"/>
      <c r="AL284" s="86"/>
      <c r="AM284" s="86"/>
      <c r="AN284" s="86"/>
      <c r="AO284" s="86"/>
      <c r="AP284" s="86"/>
      <c r="AQ284" s="86"/>
    </row>
    <row r="285">
      <c r="A285" s="86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6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6"/>
      <c r="AJ285" s="86"/>
      <c r="AK285" s="86"/>
      <c r="AL285" s="86"/>
      <c r="AM285" s="86"/>
      <c r="AN285" s="86"/>
      <c r="AO285" s="86"/>
      <c r="AP285" s="86"/>
      <c r="AQ285" s="86"/>
    </row>
    <row r="286">
      <c r="A286" s="86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6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6"/>
      <c r="AJ286" s="86"/>
      <c r="AK286" s="86"/>
      <c r="AL286" s="86"/>
      <c r="AM286" s="86"/>
      <c r="AN286" s="86"/>
      <c r="AO286" s="86"/>
      <c r="AP286" s="86"/>
      <c r="AQ286" s="86"/>
    </row>
    <row r="287">
      <c r="A287" s="86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6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6"/>
      <c r="AJ287" s="86"/>
      <c r="AK287" s="86"/>
      <c r="AL287" s="86"/>
      <c r="AM287" s="86"/>
      <c r="AN287" s="86"/>
      <c r="AO287" s="86"/>
      <c r="AP287" s="86"/>
      <c r="AQ287" s="86"/>
    </row>
    <row r="288">
      <c r="A288" s="86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6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6"/>
      <c r="AJ288" s="86"/>
      <c r="AK288" s="86"/>
      <c r="AL288" s="86"/>
      <c r="AM288" s="86"/>
      <c r="AN288" s="86"/>
      <c r="AO288" s="86"/>
      <c r="AP288" s="86"/>
      <c r="AQ288" s="86"/>
    </row>
    <row r="289">
      <c r="A289" s="86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6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6"/>
      <c r="AJ289" s="86"/>
      <c r="AK289" s="86"/>
      <c r="AL289" s="86"/>
      <c r="AM289" s="86"/>
      <c r="AN289" s="86"/>
      <c r="AO289" s="86"/>
      <c r="AP289" s="86"/>
      <c r="AQ289" s="86"/>
    </row>
    <row r="290">
      <c r="A290" s="86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6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6"/>
      <c r="AJ290" s="86"/>
      <c r="AK290" s="86"/>
      <c r="AL290" s="86"/>
      <c r="AM290" s="86"/>
      <c r="AN290" s="86"/>
      <c r="AO290" s="86"/>
      <c r="AP290" s="86"/>
      <c r="AQ290" s="86"/>
    </row>
    <row r="291">
      <c r="A291" s="86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6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6"/>
      <c r="AJ291" s="86"/>
      <c r="AK291" s="86"/>
      <c r="AL291" s="86"/>
      <c r="AM291" s="86"/>
      <c r="AN291" s="86"/>
      <c r="AO291" s="86"/>
      <c r="AP291" s="86"/>
      <c r="AQ291" s="86"/>
    </row>
    <row r="292">
      <c r="A292" s="86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6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6"/>
      <c r="AJ292" s="86"/>
      <c r="AK292" s="86"/>
      <c r="AL292" s="86"/>
      <c r="AM292" s="86"/>
      <c r="AN292" s="86"/>
      <c r="AO292" s="86"/>
      <c r="AP292" s="86"/>
      <c r="AQ292" s="86"/>
    </row>
    <row r="293">
      <c r="A293" s="86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6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6"/>
      <c r="AJ293" s="86"/>
      <c r="AK293" s="86"/>
      <c r="AL293" s="86"/>
      <c r="AM293" s="86"/>
      <c r="AN293" s="86"/>
      <c r="AO293" s="86"/>
      <c r="AP293" s="86"/>
      <c r="AQ293" s="86"/>
    </row>
    <row r="294">
      <c r="A294" s="86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6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6"/>
      <c r="AJ294" s="86"/>
      <c r="AK294" s="86"/>
      <c r="AL294" s="86"/>
      <c r="AM294" s="86"/>
      <c r="AN294" s="86"/>
      <c r="AO294" s="86"/>
      <c r="AP294" s="86"/>
      <c r="AQ294" s="86"/>
    </row>
    <row r="295">
      <c r="A295" s="86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6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6"/>
      <c r="AJ295" s="86"/>
      <c r="AK295" s="86"/>
      <c r="AL295" s="86"/>
      <c r="AM295" s="86"/>
      <c r="AN295" s="86"/>
      <c r="AO295" s="86"/>
      <c r="AP295" s="86"/>
      <c r="AQ295" s="86"/>
    </row>
    <row r="296">
      <c r="A296" s="86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6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6"/>
      <c r="AJ296" s="86"/>
      <c r="AK296" s="86"/>
      <c r="AL296" s="86"/>
      <c r="AM296" s="86"/>
      <c r="AN296" s="86"/>
      <c r="AO296" s="86"/>
      <c r="AP296" s="86"/>
      <c r="AQ296" s="86"/>
    </row>
    <row r="297">
      <c r="A297" s="86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6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6"/>
      <c r="AJ297" s="86"/>
      <c r="AK297" s="86"/>
      <c r="AL297" s="86"/>
      <c r="AM297" s="86"/>
      <c r="AN297" s="86"/>
      <c r="AO297" s="86"/>
      <c r="AP297" s="86"/>
      <c r="AQ297" s="86"/>
    </row>
    <row r="298">
      <c r="A298" s="86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6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6"/>
      <c r="AJ298" s="86"/>
      <c r="AK298" s="86"/>
      <c r="AL298" s="86"/>
      <c r="AM298" s="86"/>
      <c r="AN298" s="86"/>
      <c r="AO298" s="86"/>
      <c r="AP298" s="86"/>
      <c r="AQ298" s="86"/>
    </row>
    <row r="299">
      <c r="A299" s="86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6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6"/>
      <c r="AJ299" s="86"/>
      <c r="AK299" s="86"/>
      <c r="AL299" s="86"/>
      <c r="AM299" s="86"/>
      <c r="AN299" s="86"/>
      <c r="AO299" s="86"/>
      <c r="AP299" s="86"/>
      <c r="AQ299" s="86"/>
    </row>
    <row r="300">
      <c r="A300" s="86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6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6"/>
      <c r="AJ300" s="86"/>
      <c r="AK300" s="86"/>
      <c r="AL300" s="86"/>
      <c r="AM300" s="86"/>
      <c r="AN300" s="86"/>
      <c r="AO300" s="86"/>
      <c r="AP300" s="86"/>
      <c r="AQ300" s="86"/>
    </row>
    <row r="301">
      <c r="A301" s="86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6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6"/>
      <c r="AJ301" s="86"/>
      <c r="AK301" s="86"/>
      <c r="AL301" s="86"/>
      <c r="AM301" s="86"/>
      <c r="AN301" s="86"/>
      <c r="AO301" s="86"/>
      <c r="AP301" s="86"/>
      <c r="AQ301" s="86"/>
    </row>
    <row r="302">
      <c r="A302" s="86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6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6"/>
      <c r="AJ302" s="86"/>
      <c r="AK302" s="86"/>
      <c r="AL302" s="86"/>
      <c r="AM302" s="86"/>
      <c r="AN302" s="86"/>
      <c r="AO302" s="86"/>
      <c r="AP302" s="86"/>
      <c r="AQ302" s="86"/>
    </row>
    <row r="303">
      <c r="A303" s="86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6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6"/>
      <c r="AJ303" s="86"/>
      <c r="AK303" s="86"/>
      <c r="AL303" s="86"/>
      <c r="AM303" s="86"/>
      <c r="AN303" s="86"/>
      <c r="AO303" s="86"/>
      <c r="AP303" s="86"/>
      <c r="AQ303" s="86"/>
    </row>
    <row r="304">
      <c r="A304" s="86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6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6"/>
      <c r="AJ304" s="86"/>
      <c r="AK304" s="86"/>
      <c r="AL304" s="86"/>
      <c r="AM304" s="86"/>
      <c r="AN304" s="86"/>
      <c r="AO304" s="86"/>
      <c r="AP304" s="86"/>
      <c r="AQ304" s="86"/>
    </row>
    <row r="305">
      <c r="A305" s="86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6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6"/>
      <c r="AJ305" s="86"/>
      <c r="AK305" s="86"/>
      <c r="AL305" s="86"/>
      <c r="AM305" s="86"/>
      <c r="AN305" s="86"/>
      <c r="AO305" s="86"/>
      <c r="AP305" s="86"/>
      <c r="AQ305" s="86"/>
    </row>
    <row r="306">
      <c r="A306" s="86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6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6"/>
      <c r="AJ306" s="86"/>
      <c r="AK306" s="86"/>
      <c r="AL306" s="86"/>
      <c r="AM306" s="86"/>
      <c r="AN306" s="86"/>
      <c r="AO306" s="86"/>
      <c r="AP306" s="86"/>
      <c r="AQ306" s="86"/>
    </row>
    <row r="307">
      <c r="A307" s="86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6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6"/>
      <c r="AJ307" s="86"/>
      <c r="AK307" s="86"/>
      <c r="AL307" s="86"/>
      <c r="AM307" s="86"/>
      <c r="AN307" s="86"/>
      <c r="AO307" s="86"/>
      <c r="AP307" s="86"/>
      <c r="AQ307" s="86"/>
    </row>
    <row r="308">
      <c r="A308" s="86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6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6"/>
      <c r="AJ308" s="86"/>
      <c r="AK308" s="86"/>
      <c r="AL308" s="86"/>
      <c r="AM308" s="86"/>
      <c r="AN308" s="86"/>
      <c r="AO308" s="86"/>
      <c r="AP308" s="86"/>
      <c r="AQ308" s="86"/>
    </row>
    <row r="309">
      <c r="A309" s="86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6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6"/>
      <c r="AJ309" s="86"/>
      <c r="AK309" s="86"/>
      <c r="AL309" s="86"/>
      <c r="AM309" s="86"/>
      <c r="AN309" s="86"/>
      <c r="AO309" s="86"/>
      <c r="AP309" s="86"/>
      <c r="AQ309" s="86"/>
    </row>
    <row r="310">
      <c r="A310" s="86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6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6"/>
      <c r="AJ310" s="86"/>
      <c r="AK310" s="86"/>
      <c r="AL310" s="86"/>
      <c r="AM310" s="86"/>
      <c r="AN310" s="86"/>
      <c r="AO310" s="86"/>
      <c r="AP310" s="86"/>
      <c r="AQ310" s="86"/>
    </row>
    <row r="311">
      <c r="A311" s="86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6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6"/>
      <c r="AJ311" s="86"/>
      <c r="AK311" s="86"/>
      <c r="AL311" s="86"/>
      <c r="AM311" s="86"/>
      <c r="AN311" s="86"/>
      <c r="AO311" s="86"/>
      <c r="AP311" s="86"/>
      <c r="AQ311" s="86"/>
    </row>
    <row r="312">
      <c r="A312" s="86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6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6"/>
      <c r="AJ312" s="86"/>
      <c r="AK312" s="86"/>
      <c r="AL312" s="86"/>
      <c r="AM312" s="86"/>
      <c r="AN312" s="86"/>
      <c r="AO312" s="86"/>
      <c r="AP312" s="86"/>
      <c r="AQ312" s="86"/>
    </row>
    <row r="313">
      <c r="A313" s="86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6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6"/>
      <c r="AJ313" s="86"/>
      <c r="AK313" s="86"/>
      <c r="AL313" s="86"/>
      <c r="AM313" s="86"/>
      <c r="AN313" s="86"/>
      <c r="AO313" s="86"/>
      <c r="AP313" s="86"/>
      <c r="AQ313" s="86"/>
    </row>
    <row r="314">
      <c r="A314" s="86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6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6"/>
      <c r="AJ314" s="86"/>
      <c r="AK314" s="86"/>
      <c r="AL314" s="86"/>
      <c r="AM314" s="86"/>
      <c r="AN314" s="86"/>
      <c r="AO314" s="86"/>
      <c r="AP314" s="86"/>
      <c r="AQ314" s="86"/>
    </row>
    <row r="315">
      <c r="A315" s="86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6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6"/>
      <c r="AJ315" s="86"/>
      <c r="AK315" s="86"/>
      <c r="AL315" s="86"/>
      <c r="AM315" s="86"/>
      <c r="AN315" s="86"/>
      <c r="AO315" s="86"/>
      <c r="AP315" s="86"/>
      <c r="AQ315" s="86"/>
    </row>
    <row r="316">
      <c r="A316" s="86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6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6"/>
      <c r="AJ316" s="86"/>
      <c r="AK316" s="86"/>
      <c r="AL316" s="86"/>
      <c r="AM316" s="86"/>
      <c r="AN316" s="86"/>
      <c r="AO316" s="86"/>
      <c r="AP316" s="86"/>
      <c r="AQ316" s="86"/>
    </row>
    <row r="317">
      <c r="A317" s="86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6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6"/>
      <c r="AJ317" s="86"/>
      <c r="AK317" s="86"/>
      <c r="AL317" s="86"/>
      <c r="AM317" s="86"/>
      <c r="AN317" s="86"/>
      <c r="AO317" s="86"/>
      <c r="AP317" s="86"/>
      <c r="AQ317" s="86"/>
    </row>
    <row r="318">
      <c r="A318" s="86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6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6"/>
      <c r="AJ318" s="86"/>
      <c r="AK318" s="86"/>
      <c r="AL318" s="86"/>
      <c r="AM318" s="86"/>
      <c r="AN318" s="86"/>
      <c r="AO318" s="86"/>
      <c r="AP318" s="86"/>
      <c r="AQ318" s="86"/>
    </row>
    <row r="319">
      <c r="A319" s="86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6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6"/>
      <c r="AJ319" s="86"/>
      <c r="AK319" s="86"/>
      <c r="AL319" s="86"/>
      <c r="AM319" s="86"/>
      <c r="AN319" s="86"/>
      <c r="AO319" s="86"/>
      <c r="AP319" s="86"/>
      <c r="AQ319" s="86"/>
    </row>
    <row r="320">
      <c r="A320" s="86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6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6"/>
      <c r="AJ320" s="86"/>
      <c r="AK320" s="86"/>
      <c r="AL320" s="86"/>
      <c r="AM320" s="86"/>
      <c r="AN320" s="86"/>
      <c r="AO320" s="86"/>
      <c r="AP320" s="86"/>
      <c r="AQ320" s="86"/>
    </row>
    <row r="321">
      <c r="A321" s="86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6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6"/>
      <c r="AJ321" s="86"/>
      <c r="AK321" s="86"/>
      <c r="AL321" s="86"/>
      <c r="AM321" s="86"/>
      <c r="AN321" s="86"/>
      <c r="AO321" s="86"/>
      <c r="AP321" s="86"/>
      <c r="AQ321" s="86"/>
    </row>
    <row r="322">
      <c r="A322" s="86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6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6"/>
      <c r="AJ322" s="86"/>
      <c r="AK322" s="86"/>
      <c r="AL322" s="86"/>
      <c r="AM322" s="86"/>
      <c r="AN322" s="86"/>
      <c r="AO322" s="86"/>
      <c r="AP322" s="86"/>
      <c r="AQ322" s="86"/>
    </row>
    <row r="323">
      <c r="A323" s="86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6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6"/>
      <c r="AJ323" s="86"/>
      <c r="AK323" s="86"/>
      <c r="AL323" s="86"/>
      <c r="AM323" s="86"/>
      <c r="AN323" s="86"/>
      <c r="AO323" s="86"/>
      <c r="AP323" s="86"/>
      <c r="AQ323" s="86"/>
    </row>
    <row r="324">
      <c r="A324" s="86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6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6"/>
      <c r="AJ324" s="86"/>
      <c r="AK324" s="86"/>
      <c r="AL324" s="86"/>
      <c r="AM324" s="86"/>
      <c r="AN324" s="86"/>
      <c r="AO324" s="86"/>
      <c r="AP324" s="86"/>
      <c r="AQ324" s="86"/>
    </row>
    <row r="325">
      <c r="A325" s="86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6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6"/>
      <c r="AJ325" s="86"/>
      <c r="AK325" s="86"/>
      <c r="AL325" s="86"/>
      <c r="AM325" s="86"/>
      <c r="AN325" s="86"/>
      <c r="AO325" s="86"/>
      <c r="AP325" s="86"/>
      <c r="AQ325" s="86"/>
    </row>
    <row r="326">
      <c r="A326" s="86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6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6"/>
      <c r="AJ326" s="86"/>
      <c r="AK326" s="86"/>
      <c r="AL326" s="86"/>
      <c r="AM326" s="86"/>
      <c r="AN326" s="86"/>
      <c r="AO326" s="86"/>
      <c r="AP326" s="86"/>
      <c r="AQ326" s="86"/>
    </row>
    <row r="327">
      <c r="A327" s="86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6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6"/>
      <c r="AJ327" s="86"/>
      <c r="AK327" s="86"/>
      <c r="AL327" s="86"/>
      <c r="AM327" s="86"/>
      <c r="AN327" s="86"/>
      <c r="AO327" s="86"/>
      <c r="AP327" s="86"/>
      <c r="AQ327" s="86"/>
    </row>
    <row r="328">
      <c r="A328" s="86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6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6"/>
      <c r="AJ328" s="86"/>
      <c r="AK328" s="86"/>
      <c r="AL328" s="86"/>
      <c r="AM328" s="86"/>
      <c r="AN328" s="86"/>
      <c r="AO328" s="86"/>
      <c r="AP328" s="86"/>
      <c r="AQ328" s="86"/>
    </row>
    <row r="329">
      <c r="A329" s="86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6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6"/>
      <c r="AJ329" s="86"/>
      <c r="AK329" s="86"/>
      <c r="AL329" s="86"/>
      <c r="AM329" s="86"/>
      <c r="AN329" s="86"/>
      <c r="AO329" s="86"/>
      <c r="AP329" s="86"/>
      <c r="AQ329" s="86"/>
    </row>
    <row r="330">
      <c r="A330" s="86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6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6"/>
      <c r="AJ330" s="86"/>
      <c r="AK330" s="86"/>
      <c r="AL330" s="86"/>
      <c r="AM330" s="86"/>
      <c r="AN330" s="86"/>
      <c r="AO330" s="86"/>
      <c r="AP330" s="86"/>
      <c r="AQ330" s="86"/>
    </row>
    <row r="331">
      <c r="A331" s="86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6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6"/>
      <c r="AJ331" s="86"/>
      <c r="AK331" s="86"/>
      <c r="AL331" s="86"/>
      <c r="AM331" s="86"/>
      <c r="AN331" s="86"/>
      <c r="AO331" s="86"/>
      <c r="AP331" s="86"/>
      <c r="AQ331" s="86"/>
    </row>
    <row r="332">
      <c r="A332" s="86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6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6"/>
      <c r="AJ332" s="86"/>
      <c r="AK332" s="86"/>
      <c r="AL332" s="86"/>
      <c r="AM332" s="86"/>
      <c r="AN332" s="86"/>
      <c r="AO332" s="86"/>
      <c r="AP332" s="86"/>
      <c r="AQ332" s="86"/>
    </row>
    <row r="333">
      <c r="A333" s="86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6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6"/>
      <c r="AJ333" s="86"/>
      <c r="AK333" s="86"/>
      <c r="AL333" s="86"/>
      <c r="AM333" s="86"/>
      <c r="AN333" s="86"/>
      <c r="AO333" s="86"/>
      <c r="AP333" s="86"/>
      <c r="AQ333" s="86"/>
    </row>
    <row r="334">
      <c r="A334" s="86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6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6"/>
      <c r="AJ334" s="86"/>
      <c r="AK334" s="86"/>
      <c r="AL334" s="86"/>
      <c r="AM334" s="86"/>
      <c r="AN334" s="86"/>
      <c r="AO334" s="86"/>
      <c r="AP334" s="86"/>
      <c r="AQ334" s="86"/>
    </row>
    <row r="335">
      <c r="A335" s="86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6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6"/>
      <c r="AJ335" s="86"/>
      <c r="AK335" s="86"/>
      <c r="AL335" s="86"/>
      <c r="AM335" s="86"/>
      <c r="AN335" s="86"/>
      <c r="AO335" s="86"/>
      <c r="AP335" s="86"/>
      <c r="AQ335" s="86"/>
    </row>
    <row r="336">
      <c r="A336" s="86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6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6"/>
      <c r="AJ336" s="86"/>
      <c r="AK336" s="86"/>
      <c r="AL336" s="86"/>
      <c r="AM336" s="86"/>
      <c r="AN336" s="86"/>
      <c r="AO336" s="86"/>
      <c r="AP336" s="86"/>
      <c r="AQ336" s="86"/>
    </row>
    <row r="337">
      <c r="A337" s="86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6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6"/>
      <c r="AJ337" s="86"/>
      <c r="AK337" s="86"/>
      <c r="AL337" s="86"/>
      <c r="AM337" s="86"/>
      <c r="AN337" s="86"/>
      <c r="AO337" s="86"/>
      <c r="AP337" s="86"/>
      <c r="AQ337" s="86"/>
    </row>
    <row r="338">
      <c r="A338" s="86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6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6"/>
      <c r="AJ338" s="86"/>
      <c r="AK338" s="86"/>
      <c r="AL338" s="86"/>
      <c r="AM338" s="86"/>
      <c r="AN338" s="86"/>
      <c r="AO338" s="86"/>
      <c r="AP338" s="86"/>
      <c r="AQ338" s="86"/>
    </row>
    <row r="339">
      <c r="A339" s="86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6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6"/>
      <c r="AJ339" s="86"/>
      <c r="AK339" s="86"/>
      <c r="AL339" s="86"/>
      <c r="AM339" s="86"/>
      <c r="AN339" s="86"/>
      <c r="AO339" s="86"/>
      <c r="AP339" s="86"/>
      <c r="AQ339" s="86"/>
    </row>
    <row r="340">
      <c r="A340" s="86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6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6"/>
      <c r="AJ340" s="86"/>
      <c r="AK340" s="86"/>
      <c r="AL340" s="86"/>
      <c r="AM340" s="86"/>
      <c r="AN340" s="86"/>
      <c r="AO340" s="86"/>
      <c r="AP340" s="86"/>
      <c r="AQ340" s="86"/>
    </row>
    <row r="341">
      <c r="A341" s="86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6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6"/>
      <c r="AJ341" s="86"/>
      <c r="AK341" s="86"/>
      <c r="AL341" s="86"/>
      <c r="AM341" s="86"/>
      <c r="AN341" s="86"/>
      <c r="AO341" s="86"/>
      <c r="AP341" s="86"/>
      <c r="AQ341" s="86"/>
    </row>
    <row r="342">
      <c r="A342" s="86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6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6"/>
      <c r="AJ342" s="86"/>
      <c r="AK342" s="86"/>
      <c r="AL342" s="86"/>
      <c r="AM342" s="86"/>
      <c r="AN342" s="86"/>
      <c r="AO342" s="86"/>
      <c r="AP342" s="86"/>
      <c r="AQ342" s="86"/>
    </row>
    <row r="343">
      <c r="A343" s="86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6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6"/>
      <c r="AJ343" s="86"/>
      <c r="AK343" s="86"/>
      <c r="AL343" s="86"/>
      <c r="AM343" s="86"/>
      <c r="AN343" s="86"/>
      <c r="AO343" s="86"/>
      <c r="AP343" s="86"/>
      <c r="AQ343" s="86"/>
    </row>
    <row r="344">
      <c r="A344" s="86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6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6"/>
      <c r="AJ344" s="86"/>
      <c r="AK344" s="86"/>
      <c r="AL344" s="86"/>
      <c r="AM344" s="86"/>
      <c r="AN344" s="86"/>
      <c r="AO344" s="86"/>
      <c r="AP344" s="86"/>
      <c r="AQ344" s="86"/>
    </row>
    <row r="345">
      <c r="A345" s="86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6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6"/>
      <c r="AJ345" s="86"/>
      <c r="AK345" s="86"/>
      <c r="AL345" s="86"/>
      <c r="AM345" s="86"/>
      <c r="AN345" s="86"/>
      <c r="AO345" s="86"/>
      <c r="AP345" s="86"/>
      <c r="AQ345" s="86"/>
    </row>
    <row r="346">
      <c r="A346" s="86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6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6"/>
      <c r="AJ346" s="86"/>
      <c r="AK346" s="86"/>
      <c r="AL346" s="86"/>
      <c r="AM346" s="86"/>
      <c r="AN346" s="86"/>
      <c r="AO346" s="86"/>
      <c r="AP346" s="86"/>
      <c r="AQ346" s="86"/>
    </row>
    <row r="347">
      <c r="A347" s="86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6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6"/>
      <c r="AJ347" s="86"/>
      <c r="AK347" s="86"/>
      <c r="AL347" s="86"/>
      <c r="AM347" s="86"/>
      <c r="AN347" s="86"/>
      <c r="AO347" s="86"/>
      <c r="AP347" s="86"/>
      <c r="AQ347" s="86"/>
    </row>
    <row r="348">
      <c r="A348" s="86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6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6"/>
      <c r="AJ348" s="86"/>
      <c r="AK348" s="86"/>
      <c r="AL348" s="86"/>
      <c r="AM348" s="86"/>
      <c r="AN348" s="86"/>
      <c r="AO348" s="86"/>
      <c r="AP348" s="86"/>
      <c r="AQ348" s="86"/>
    </row>
    <row r="349">
      <c r="A349" s="86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6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6"/>
      <c r="AJ349" s="86"/>
      <c r="AK349" s="86"/>
      <c r="AL349" s="86"/>
      <c r="AM349" s="86"/>
      <c r="AN349" s="86"/>
      <c r="AO349" s="86"/>
      <c r="AP349" s="86"/>
      <c r="AQ349" s="86"/>
    </row>
    <row r="350">
      <c r="A350" s="86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6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6"/>
      <c r="AJ350" s="86"/>
      <c r="AK350" s="86"/>
      <c r="AL350" s="86"/>
      <c r="AM350" s="86"/>
      <c r="AN350" s="86"/>
      <c r="AO350" s="86"/>
      <c r="AP350" s="86"/>
      <c r="AQ350" s="86"/>
    </row>
    <row r="351">
      <c r="A351" s="86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6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6"/>
      <c r="AJ351" s="86"/>
      <c r="AK351" s="86"/>
      <c r="AL351" s="86"/>
      <c r="AM351" s="86"/>
      <c r="AN351" s="86"/>
      <c r="AO351" s="86"/>
      <c r="AP351" s="86"/>
      <c r="AQ351" s="86"/>
    </row>
    <row r="352">
      <c r="A352" s="86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6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6"/>
      <c r="AJ352" s="86"/>
      <c r="AK352" s="86"/>
      <c r="AL352" s="86"/>
      <c r="AM352" s="86"/>
      <c r="AN352" s="86"/>
      <c r="AO352" s="86"/>
      <c r="AP352" s="86"/>
      <c r="AQ352" s="86"/>
    </row>
    <row r="353">
      <c r="A353" s="86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6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6"/>
      <c r="AJ353" s="86"/>
      <c r="AK353" s="86"/>
      <c r="AL353" s="86"/>
      <c r="AM353" s="86"/>
      <c r="AN353" s="86"/>
      <c r="AO353" s="86"/>
      <c r="AP353" s="86"/>
      <c r="AQ353" s="86"/>
    </row>
    <row r="354">
      <c r="A354" s="86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6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6"/>
      <c r="AJ354" s="86"/>
      <c r="AK354" s="86"/>
      <c r="AL354" s="86"/>
      <c r="AM354" s="86"/>
      <c r="AN354" s="86"/>
      <c r="AO354" s="86"/>
      <c r="AP354" s="86"/>
      <c r="AQ354" s="86"/>
    </row>
    <row r="355">
      <c r="A355" s="86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6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6"/>
      <c r="AJ355" s="86"/>
      <c r="AK355" s="86"/>
      <c r="AL355" s="86"/>
      <c r="AM355" s="86"/>
      <c r="AN355" s="86"/>
      <c r="AO355" s="86"/>
      <c r="AP355" s="86"/>
      <c r="AQ355" s="86"/>
    </row>
    <row r="356">
      <c r="A356" s="86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6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6"/>
      <c r="AJ356" s="86"/>
      <c r="AK356" s="86"/>
      <c r="AL356" s="86"/>
      <c r="AM356" s="86"/>
      <c r="AN356" s="86"/>
      <c r="AO356" s="86"/>
      <c r="AP356" s="86"/>
      <c r="AQ356" s="86"/>
    </row>
    <row r="357">
      <c r="A357" s="86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6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6"/>
      <c r="AJ357" s="86"/>
      <c r="AK357" s="86"/>
      <c r="AL357" s="86"/>
      <c r="AM357" s="86"/>
      <c r="AN357" s="86"/>
      <c r="AO357" s="86"/>
      <c r="AP357" s="86"/>
      <c r="AQ357" s="86"/>
    </row>
    <row r="358">
      <c r="A358" s="86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6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6"/>
      <c r="AJ358" s="86"/>
      <c r="AK358" s="86"/>
      <c r="AL358" s="86"/>
      <c r="AM358" s="86"/>
      <c r="AN358" s="86"/>
      <c r="AO358" s="86"/>
      <c r="AP358" s="86"/>
      <c r="AQ358" s="86"/>
    </row>
    <row r="359">
      <c r="A359" s="86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6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6"/>
      <c r="AJ359" s="86"/>
      <c r="AK359" s="86"/>
      <c r="AL359" s="86"/>
      <c r="AM359" s="86"/>
      <c r="AN359" s="86"/>
      <c r="AO359" s="86"/>
      <c r="AP359" s="86"/>
      <c r="AQ359" s="86"/>
    </row>
    <row r="360">
      <c r="A360" s="86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6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6"/>
      <c r="AJ360" s="86"/>
      <c r="AK360" s="86"/>
      <c r="AL360" s="86"/>
      <c r="AM360" s="86"/>
      <c r="AN360" s="86"/>
      <c r="AO360" s="86"/>
      <c r="AP360" s="86"/>
      <c r="AQ360" s="86"/>
    </row>
    <row r="361">
      <c r="A361" s="86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6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6"/>
      <c r="AJ361" s="86"/>
      <c r="AK361" s="86"/>
      <c r="AL361" s="86"/>
      <c r="AM361" s="86"/>
      <c r="AN361" s="86"/>
      <c r="AO361" s="86"/>
      <c r="AP361" s="86"/>
      <c r="AQ361" s="86"/>
    </row>
    <row r="362">
      <c r="A362" s="86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6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6"/>
      <c r="AJ362" s="86"/>
      <c r="AK362" s="86"/>
      <c r="AL362" s="86"/>
      <c r="AM362" s="86"/>
      <c r="AN362" s="86"/>
      <c r="AO362" s="86"/>
      <c r="AP362" s="86"/>
      <c r="AQ362" s="86"/>
    </row>
    <row r="363">
      <c r="A363" s="86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6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6"/>
      <c r="AJ363" s="86"/>
      <c r="AK363" s="86"/>
      <c r="AL363" s="86"/>
      <c r="AM363" s="86"/>
      <c r="AN363" s="86"/>
      <c r="AO363" s="86"/>
      <c r="AP363" s="86"/>
      <c r="AQ363" s="86"/>
    </row>
    <row r="364">
      <c r="A364" s="86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6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6"/>
      <c r="AJ364" s="86"/>
      <c r="AK364" s="86"/>
      <c r="AL364" s="86"/>
      <c r="AM364" s="86"/>
      <c r="AN364" s="86"/>
      <c r="AO364" s="86"/>
      <c r="AP364" s="86"/>
      <c r="AQ364" s="86"/>
    </row>
    <row r="365">
      <c r="A365" s="86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6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6"/>
      <c r="AJ365" s="86"/>
      <c r="AK365" s="86"/>
      <c r="AL365" s="86"/>
      <c r="AM365" s="86"/>
      <c r="AN365" s="86"/>
      <c r="AO365" s="86"/>
      <c r="AP365" s="86"/>
      <c r="AQ365" s="86"/>
    </row>
    <row r="366">
      <c r="A366" s="86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6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6"/>
      <c r="AJ366" s="86"/>
      <c r="AK366" s="86"/>
      <c r="AL366" s="86"/>
      <c r="AM366" s="86"/>
      <c r="AN366" s="86"/>
      <c r="AO366" s="86"/>
      <c r="AP366" s="86"/>
      <c r="AQ366" s="86"/>
    </row>
    <row r="367">
      <c r="A367" s="86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6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6"/>
      <c r="AJ367" s="86"/>
      <c r="AK367" s="86"/>
      <c r="AL367" s="86"/>
      <c r="AM367" s="86"/>
      <c r="AN367" s="86"/>
      <c r="AO367" s="86"/>
      <c r="AP367" s="86"/>
      <c r="AQ367" s="86"/>
    </row>
    <row r="368">
      <c r="A368" s="86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6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6"/>
      <c r="AJ368" s="86"/>
      <c r="AK368" s="86"/>
      <c r="AL368" s="86"/>
      <c r="AM368" s="86"/>
      <c r="AN368" s="86"/>
      <c r="AO368" s="86"/>
      <c r="AP368" s="86"/>
      <c r="AQ368" s="86"/>
    </row>
    <row r="369">
      <c r="A369" s="86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6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6"/>
      <c r="AJ369" s="86"/>
      <c r="AK369" s="86"/>
      <c r="AL369" s="86"/>
      <c r="AM369" s="86"/>
      <c r="AN369" s="86"/>
      <c r="AO369" s="86"/>
      <c r="AP369" s="86"/>
      <c r="AQ369" s="86"/>
    </row>
    <row r="370">
      <c r="A370" s="86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6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6"/>
      <c r="AJ370" s="86"/>
      <c r="AK370" s="86"/>
      <c r="AL370" s="86"/>
      <c r="AM370" s="86"/>
      <c r="AN370" s="86"/>
      <c r="AO370" s="86"/>
      <c r="AP370" s="86"/>
      <c r="AQ370" s="86"/>
    </row>
    <row r="371">
      <c r="A371" s="86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6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6"/>
      <c r="AJ371" s="86"/>
      <c r="AK371" s="86"/>
      <c r="AL371" s="86"/>
      <c r="AM371" s="86"/>
      <c r="AN371" s="86"/>
      <c r="AO371" s="86"/>
      <c r="AP371" s="86"/>
      <c r="AQ371" s="86"/>
    </row>
    <row r="372">
      <c r="A372" s="86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6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6"/>
      <c r="AJ372" s="86"/>
      <c r="AK372" s="86"/>
      <c r="AL372" s="86"/>
      <c r="AM372" s="86"/>
      <c r="AN372" s="86"/>
      <c r="AO372" s="86"/>
      <c r="AP372" s="86"/>
      <c r="AQ372" s="86"/>
    </row>
    <row r="373">
      <c r="A373" s="86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6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6"/>
      <c r="AJ373" s="86"/>
      <c r="AK373" s="86"/>
      <c r="AL373" s="86"/>
      <c r="AM373" s="86"/>
      <c r="AN373" s="86"/>
      <c r="AO373" s="86"/>
      <c r="AP373" s="86"/>
      <c r="AQ373" s="86"/>
    </row>
    <row r="374">
      <c r="A374" s="86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6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6"/>
      <c r="AJ374" s="86"/>
      <c r="AK374" s="86"/>
      <c r="AL374" s="86"/>
      <c r="AM374" s="86"/>
      <c r="AN374" s="86"/>
      <c r="AO374" s="86"/>
      <c r="AP374" s="86"/>
      <c r="AQ374" s="86"/>
    </row>
    <row r="375">
      <c r="A375" s="86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6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6"/>
      <c r="AJ375" s="86"/>
      <c r="AK375" s="86"/>
      <c r="AL375" s="86"/>
      <c r="AM375" s="86"/>
      <c r="AN375" s="86"/>
      <c r="AO375" s="86"/>
      <c r="AP375" s="86"/>
      <c r="AQ375" s="86"/>
    </row>
    <row r="376">
      <c r="A376" s="86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6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6"/>
      <c r="AJ376" s="86"/>
      <c r="AK376" s="86"/>
      <c r="AL376" s="86"/>
      <c r="AM376" s="86"/>
      <c r="AN376" s="86"/>
      <c r="AO376" s="86"/>
      <c r="AP376" s="86"/>
      <c r="AQ376" s="86"/>
    </row>
    <row r="377">
      <c r="A377" s="86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6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6"/>
      <c r="AJ377" s="86"/>
      <c r="AK377" s="86"/>
      <c r="AL377" s="86"/>
      <c r="AM377" s="86"/>
      <c r="AN377" s="86"/>
      <c r="AO377" s="86"/>
      <c r="AP377" s="86"/>
      <c r="AQ377" s="86"/>
    </row>
    <row r="378">
      <c r="A378" s="86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6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6"/>
      <c r="AJ378" s="86"/>
      <c r="AK378" s="86"/>
      <c r="AL378" s="86"/>
      <c r="AM378" s="86"/>
      <c r="AN378" s="86"/>
      <c r="AO378" s="86"/>
      <c r="AP378" s="86"/>
      <c r="AQ378" s="86"/>
    </row>
    <row r="379">
      <c r="A379" s="86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6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6"/>
      <c r="AJ379" s="86"/>
      <c r="AK379" s="86"/>
      <c r="AL379" s="86"/>
      <c r="AM379" s="86"/>
      <c r="AN379" s="86"/>
      <c r="AO379" s="86"/>
      <c r="AP379" s="86"/>
      <c r="AQ379" s="86"/>
    </row>
    <row r="380">
      <c r="A380" s="86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6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6"/>
      <c r="AJ380" s="86"/>
      <c r="AK380" s="86"/>
      <c r="AL380" s="86"/>
      <c r="AM380" s="86"/>
      <c r="AN380" s="86"/>
      <c r="AO380" s="86"/>
      <c r="AP380" s="86"/>
      <c r="AQ380" s="86"/>
    </row>
    <row r="381">
      <c r="A381" s="86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6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6"/>
      <c r="AJ381" s="86"/>
      <c r="AK381" s="86"/>
      <c r="AL381" s="86"/>
      <c r="AM381" s="86"/>
      <c r="AN381" s="86"/>
      <c r="AO381" s="86"/>
      <c r="AP381" s="86"/>
      <c r="AQ381" s="86"/>
    </row>
    <row r="382">
      <c r="A382" s="86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6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6"/>
      <c r="AJ382" s="86"/>
      <c r="AK382" s="86"/>
      <c r="AL382" s="86"/>
      <c r="AM382" s="86"/>
      <c r="AN382" s="86"/>
      <c r="AO382" s="86"/>
      <c r="AP382" s="86"/>
      <c r="AQ382" s="86"/>
    </row>
    <row r="383">
      <c r="A383" s="86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6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6"/>
      <c r="AJ383" s="86"/>
      <c r="AK383" s="86"/>
      <c r="AL383" s="86"/>
      <c r="AM383" s="86"/>
      <c r="AN383" s="86"/>
      <c r="AO383" s="86"/>
      <c r="AP383" s="86"/>
      <c r="AQ383" s="86"/>
    </row>
    <row r="384">
      <c r="A384" s="86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6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6"/>
      <c r="AJ384" s="86"/>
      <c r="AK384" s="86"/>
      <c r="AL384" s="86"/>
      <c r="AM384" s="86"/>
      <c r="AN384" s="86"/>
      <c r="AO384" s="86"/>
      <c r="AP384" s="86"/>
      <c r="AQ384" s="86"/>
    </row>
    <row r="385">
      <c r="A385" s="86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6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6"/>
      <c r="AJ385" s="86"/>
      <c r="AK385" s="86"/>
      <c r="AL385" s="86"/>
      <c r="AM385" s="86"/>
      <c r="AN385" s="86"/>
      <c r="AO385" s="86"/>
      <c r="AP385" s="86"/>
      <c r="AQ385" s="86"/>
    </row>
    <row r="386">
      <c r="A386" s="86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6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6"/>
      <c r="AJ386" s="86"/>
      <c r="AK386" s="86"/>
      <c r="AL386" s="86"/>
      <c r="AM386" s="86"/>
      <c r="AN386" s="86"/>
      <c r="AO386" s="86"/>
      <c r="AP386" s="86"/>
      <c r="AQ386" s="86"/>
    </row>
    <row r="387">
      <c r="A387" s="86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6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6"/>
      <c r="AJ387" s="86"/>
      <c r="AK387" s="86"/>
      <c r="AL387" s="86"/>
      <c r="AM387" s="86"/>
      <c r="AN387" s="86"/>
      <c r="AO387" s="86"/>
      <c r="AP387" s="86"/>
      <c r="AQ387" s="86"/>
    </row>
    <row r="388">
      <c r="A388" s="86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6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6"/>
      <c r="AJ388" s="86"/>
      <c r="AK388" s="86"/>
      <c r="AL388" s="86"/>
      <c r="AM388" s="86"/>
      <c r="AN388" s="86"/>
      <c r="AO388" s="86"/>
      <c r="AP388" s="86"/>
      <c r="AQ388" s="86"/>
    </row>
    <row r="389">
      <c r="A389" s="86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6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6"/>
      <c r="AJ389" s="86"/>
      <c r="AK389" s="86"/>
      <c r="AL389" s="86"/>
      <c r="AM389" s="86"/>
      <c r="AN389" s="86"/>
      <c r="AO389" s="86"/>
      <c r="AP389" s="86"/>
      <c r="AQ389" s="86"/>
    </row>
    <row r="390">
      <c r="A390" s="86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6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6"/>
      <c r="AJ390" s="86"/>
      <c r="AK390" s="86"/>
      <c r="AL390" s="86"/>
      <c r="AM390" s="86"/>
      <c r="AN390" s="86"/>
      <c r="AO390" s="86"/>
      <c r="AP390" s="86"/>
      <c r="AQ390" s="86"/>
    </row>
    <row r="391">
      <c r="A391" s="86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6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6"/>
      <c r="AJ391" s="86"/>
      <c r="AK391" s="86"/>
      <c r="AL391" s="86"/>
      <c r="AM391" s="86"/>
      <c r="AN391" s="86"/>
      <c r="AO391" s="86"/>
      <c r="AP391" s="86"/>
      <c r="AQ391" s="86"/>
    </row>
    <row r="392">
      <c r="A392" s="86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6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6"/>
      <c r="AJ392" s="86"/>
      <c r="AK392" s="86"/>
      <c r="AL392" s="86"/>
      <c r="AM392" s="86"/>
      <c r="AN392" s="86"/>
      <c r="AO392" s="86"/>
      <c r="AP392" s="86"/>
      <c r="AQ392" s="86"/>
    </row>
    <row r="393">
      <c r="A393" s="86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6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6"/>
      <c r="AJ393" s="86"/>
      <c r="AK393" s="86"/>
      <c r="AL393" s="86"/>
      <c r="AM393" s="86"/>
      <c r="AN393" s="86"/>
      <c r="AO393" s="86"/>
      <c r="AP393" s="86"/>
      <c r="AQ393" s="86"/>
    </row>
    <row r="394">
      <c r="A394" s="86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6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6"/>
      <c r="AJ394" s="86"/>
      <c r="AK394" s="86"/>
      <c r="AL394" s="86"/>
      <c r="AM394" s="86"/>
      <c r="AN394" s="86"/>
      <c r="AO394" s="86"/>
      <c r="AP394" s="86"/>
      <c r="AQ394" s="86"/>
    </row>
    <row r="395">
      <c r="A395" s="86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6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6"/>
      <c r="AJ395" s="86"/>
      <c r="AK395" s="86"/>
      <c r="AL395" s="86"/>
      <c r="AM395" s="86"/>
      <c r="AN395" s="86"/>
      <c r="AO395" s="86"/>
      <c r="AP395" s="86"/>
      <c r="AQ395" s="86"/>
    </row>
    <row r="396">
      <c r="A396" s="86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6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6"/>
      <c r="AJ396" s="86"/>
      <c r="AK396" s="86"/>
      <c r="AL396" s="86"/>
      <c r="AM396" s="86"/>
      <c r="AN396" s="86"/>
      <c r="AO396" s="86"/>
      <c r="AP396" s="86"/>
      <c r="AQ396" s="86"/>
    </row>
    <row r="397">
      <c r="A397" s="86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6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6"/>
      <c r="AJ397" s="86"/>
      <c r="AK397" s="86"/>
      <c r="AL397" s="86"/>
      <c r="AM397" s="86"/>
      <c r="AN397" s="86"/>
      <c r="AO397" s="86"/>
      <c r="AP397" s="86"/>
      <c r="AQ397" s="86"/>
    </row>
    <row r="398">
      <c r="A398" s="86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6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6"/>
      <c r="AJ398" s="86"/>
      <c r="AK398" s="86"/>
      <c r="AL398" s="86"/>
      <c r="AM398" s="86"/>
      <c r="AN398" s="86"/>
      <c r="AO398" s="86"/>
      <c r="AP398" s="86"/>
      <c r="AQ398" s="86"/>
    </row>
    <row r="399">
      <c r="A399" s="86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6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6"/>
      <c r="AJ399" s="86"/>
      <c r="AK399" s="86"/>
      <c r="AL399" s="86"/>
      <c r="AM399" s="86"/>
      <c r="AN399" s="86"/>
      <c r="AO399" s="86"/>
      <c r="AP399" s="86"/>
      <c r="AQ399" s="86"/>
    </row>
    <row r="400">
      <c r="A400" s="86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6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6"/>
      <c r="AJ400" s="86"/>
      <c r="AK400" s="86"/>
      <c r="AL400" s="86"/>
      <c r="AM400" s="86"/>
      <c r="AN400" s="86"/>
      <c r="AO400" s="86"/>
      <c r="AP400" s="86"/>
      <c r="AQ400" s="86"/>
    </row>
    <row r="401">
      <c r="A401" s="86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6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6"/>
      <c r="AJ401" s="86"/>
      <c r="AK401" s="86"/>
      <c r="AL401" s="86"/>
      <c r="AM401" s="86"/>
      <c r="AN401" s="86"/>
      <c r="AO401" s="86"/>
      <c r="AP401" s="86"/>
      <c r="AQ401" s="86"/>
    </row>
    <row r="402">
      <c r="A402" s="86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6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6"/>
      <c r="AJ402" s="86"/>
      <c r="AK402" s="86"/>
      <c r="AL402" s="86"/>
      <c r="AM402" s="86"/>
      <c r="AN402" s="86"/>
      <c r="AO402" s="86"/>
      <c r="AP402" s="86"/>
      <c r="AQ402" s="86"/>
    </row>
    <row r="403">
      <c r="A403" s="86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6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6"/>
      <c r="AJ403" s="86"/>
      <c r="AK403" s="86"/>
      <c r="AL403" s="86"/>
      <c r="AM403" s="86"/>
      <c r="AN403" s="86"/>
      <c r="AO403" s="86"/>
      <c r="AP403" s="86"/>
      <c r="AQ403" s="86"/>
    </row>
    <row r="404">
      <c r="A404" s="86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6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6"/>
      <c r="AJ404" s="86"/>
      <c r="AK404" s="86"/>
      <c r="AL404" s="86"/>
      <c r="AM404" s="86"/>
      <c r="AN404" s="86"/>
      <c r="AO404" s="86"/>
      <c r="AP404" s="86"/>
      <c r="AQ404" s="86"/>
    </row>
    <row r="405">
      <c r="A405" s="86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6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6"/>
      <c r="AJ405" s="86"/>
      <c r="AK405" s="86"/>
      <c r="AL405" s="86"/>
      <c r="AM405" s="86"/>
      <c r="AN405" s="86"/>
      <c r="AO405" s="86"/>
      <c r="AP405" s="86"/>
      <c r="AQ405" s="86"/>
    </row>
    <row r="406">
      <c r="A406" s="86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6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6"/>
      <c r="AJ406" s="86"/>
      <c r="AK406" s="86"/>
      <c r="AL406" s="86"/>
      <c r="AM406" s="86"/>
      <c r="AN406" s="86"/>
      <c r="AO406" s="86"/>
      <c r="AP406" s="86"/>
      <c r="AQ406" s="86"/>
    </row>
    <row r="407">
      <c r="A407" s="86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6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6"/>
      <c r="AJ407" s="86"/>
      <c r="AK407" s="86"/>
      <c r="AL407" s="86"/>
      <c r="AM407" s="86"/>
      <c r="AN407" s="86"/>
      <c r="AO407" s="86"/>
      <c r="AP407" s="86"/>
      <c r="AQ407" s="86"/>
    </row>
    <row r="408">
      <c r="A408" s="86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6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6"/>
      <c r="AJ408" s="86"/>
      <c r="AK408" s="86"/>
      <c r="AL408" s="86"/>
      <c r="AM408" s="86"/>
      <c r="AN408" s="86"/>
      <c r="AO408" s="86"/>
      <c r="AP408" s="86"/>
      <c r="AQ408" s="86"/>
    </row>
    <row r="409">
      <c r="A409" s="86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6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6"/>
      <c r="AJ409" s="86"/>
      <c r="AK409" s="86"/>
      <c r="AL409" s="86"/>
      <c r="AM409" s="86"/>
      <c r="AN409" s="86"/>
      <c r="AO409" s="86"/>
      <c r="AP409" s="86"/>
      <c r="AQ409" s="86"/>
    </row>
    <row r="410">
      <c r="A410" s="86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6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6"/>
      <c r="AJ410" s="86"/>
      <c r="AK410" s="86"/>
      <c r="AL410" s="86"/>
      <c r="AM410" s="86"/>
      <c r="AN410" s="86"/>
      <c r="AO410" s="86"/>
      <c r="AP410" s="86"/>
      <c r="AQ410" s="86"/>
    </row>
    <row r="411">
      <c r="A411" s="86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6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6"/>
      <c r="AJ411" s="86"/>
      <c r="AK411" s="86"/>
      <c r="AL411" s="86"/>
      <c r="AM411" s="86"/>
      <c r="AN411" s="86"/>
      <c r="AO411" s="86"/>
      <c r="AP411" s="86"/>
      <c r="AQ411" s="86"/>
    </row>
    <row r="412">
      <c r="A412" s="86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6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6"/>
      <c r="AJ412" s="86"/>
      <c r="AK412" s="86"/>
      <c r="AL412" s="86"/>
      <c r="AM412" s="86"/>
      <c r="AN412" s="86"/>
      <c r="AO412" s="86"/>
      <c r="AP412" s="86"/>
      <c r="AQ412" s="86"/>
    </row>
    <row r="413">
      <c r="A413" s="86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6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6"/>
      <c r="AJ413" s="86"/>
      <c r="AK413" s="86"/>
      <c r="AL413" s="86"/>
      <c r="AM413" s="86"/>
      <c r="AN413" s="86"/>
      <c r="AO413" s="86"/>
      <c r="AP413" s="86"/>
      <c r="AQ413" s="86"/>
    </row>
    <row r="414">
      <c r="A414" s="86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6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6"/>
      <c r="AJ414" s="86"/>
      <c r="AK414" s="86"/>
      <c r="AL414" s="86"/>
      <c r="AM414" s="86"/>
      <c r="AN414" s="86"/>
      <c r="AO414" s="86"/>
      <c r="AP414" s="86"/>
      <c r="AQ414" s="86"/>
    </row>
    <row r="415">
      <c r="A415" s="86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6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6"/>
      <c r="AJ415" s="86"/>
      <c r="AK415" s="86"/>
      <c r="AL415" s="86"/>
      <c r="AM415" s="86"/>
      <c r="AN415" s="86"/>
      <c r="AO415" s="86"/>
      <c r="AP415" s="86"/>
      <c r="AQ415" s="86"/>
    </row>
    <row r="416">
      <c r="A416" s="86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6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6"/>
      <c r="AJ416" s="86"/>
      <c r="AK416" s="86"/>
      <c r="AL416" s="86"/>
      <c r="AM416" s="86"/>
      <c r="AN416" s="86"/>
      <c r="AO416" s="86"/>
      <c r="AP416" s="86"/>
      <c r="AQ416" s="86"/>
    </row>
    <row r="417">
      <c r="A417" s="86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6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6"/>
      <c r="AJ417" s="86"/>
      <c r="AK417" s="86"/>
      <c r="AL417" s="86"/>
      <c r="AM417" s="86"/>
      <c r="AN417" s="86"/>
      <c r="AO417" s="86"/>
      <c r="AP417" s="86"/>
      <c r="AQ417" s="86"/>
    </row>
    <row r="418">
      <c r="A418" s="86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6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6"/>
      <c r="AJ418" s="86"/>
      <c r="AK418" s="86"/>
      <c r="AL418" s="86"/>
      <c r="AM418" s="86"/>
      <c r="AN418" s="86"/>
      <c r="AO418" s="86"/>
      <c r="AP418" s="86"/>
      <c r="AQ418" s="86"/>
    </row>
    <row r="419">
      <c r="A419" s="86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6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6"/>
      <c r="AJ419" s="86"/>
      <c r="AK419" s="86"/>
      <c r="AL419" s="86"/>
      <c r="AM419" s="86"/>
      <c r="AN419" s="86"/>
      <c r="AO419" s="86"/>
      <c r="AP419" s="86"/>
      <c r="AQ419" s="86"/>
    </row>
    <row r="420">
      <c r="A420" s="86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6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6"/>
      <c r="AJ420" s="86"/>
      <c r="AK420" s="86"/>
      <c r="AL420" s="86"/>
      <c r="AM420" s="86"/>
      <c r="AN420" s="86"/>
      <c r="AO420" s="86"/>
      <c r="AP420" s="86"/>
      <c r="AQ420" s="86"/>
    </row>
    <row r="421">
      <c r="A421" s="86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6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6"/>
      <c r="AJ421" s="86"/>
      <c r="AK421" s="86"/>
      <c r="AL421" s="86"/>
      <c r="AM421" s="86"/>
      <c r="AN421" s="86"/>
      <c r="AO421" s="86"/>
      <c r="AP421" s="86"/>
      <c r="AQ421" s="86"/>
    </row>
    <row r="422">
      <c r="A422" s="86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6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6"/>
      <c r="AJ422" s="86"/>
      <c r="AK422" s="86"/>
      <c r="AL422" s="86"/>
      <c r="AM422" s="86"/>
      <c r="AN422" s="86"/>
      <c r="AO422" s="86"/>
      <c r="AP422" s="86"/>
      <c r="AQ422" s="86"/>
    </row>
    <row r="423">
      <c r="A423" s="86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6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6"/>
      <c r="AJ423" s="86"/>
      <c r="AK423" s="86"/>
      <c r="AL423" s="86"/>
      <c r="AM423" s="86"/>
      <c r="AN423" s="86"/>
      <c r="AO423" s="86"/>
      <c r="AP423" s="86"/>
      <c r="AQ423" s="86"/>
    </row>
    <row r="424">
      <c r="A424" s="86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6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6"/>
      <c r="AJ424" s="86"/>
      <c r="AK424" s="86"/>
      <c r="AL424" s="86"/>
      <c r="AM424" s="86"/>
      <c r="AN424" s="86"/>
      <c r="AO424" s="86"/>
      <c r="AP424" s="86"/>
      <c r="AQ424" s="86"/>
    </row>
    <row r="425">
      <c r="A425" s="86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6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6"/>
      <c r="AJ425" s="86"/>
      <c r="AK425" s="86"/>
      <c r="AL425" s="86"/>
      <c r="AM425" s="86"/>
      <c r="AN425" s="86"/>
      <c r="AO425" s="86"/>
      <c r="AP425" s="86"/>
      <c r="AQ425" s="86"/>
    </row>
    <row r="426">
      <c r="A426" s="86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6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6"/>
      <c r="AJ426" s="86"/>
      <c r="AK426" s="86"/>
      <c r="AL426" s="86"/>
      <c r="AM426" s="86"/>
      <c r="AN426" s="86"/>
      <c r="AO426" s="86"/>
      <c r="AP426" s="86"/>
      <c r="AQ426" s="86"/>
    </row>
    <row r="427">
      <c r="A427" s="86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6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6"/>
      <c r="AJ427" s="86"/>
      <c r="AK427" s="86"/>
      <c r="AL427" s="86"/>
      <c r="AM427" s="86"/>
      <c r="AN427" s="86"/>
      <c r="AO427" s="86"/>
      <c r="AP427" s="86"/>
      <c r="AQ427" s="86"/>
    </row>
    <row r="428">
      <c r="A428" s="86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6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6"/>
      <c r="AJ428" s="86"/>
      <c r="AK428" s="86"/>
      <c r="AL428" s="86"/>
      <c r="AM428" s="86"/>
      <c r="AN428" s="86"/>
      <c r="AO428" s="86"/>
      <c r="AP428" s="86"/>
      <c r="AQ428" s="86"/>
    </row>
    <row r="429">
      <c r="A429" s="86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6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6"/>
      <c r="AJ429" s="86"/>
      <c r="AK429" s="86"/>
      <c r="AL429" s="86"/>
      <c r="AM429" s="86"/>
      <c r="AN429" s="86"/>
      <c r="AO429" s="86"/>
      <c r="AP429" s="86"/>
      <c r="AQ429" s="86"/>
    </row>
    <row r="430">
      <c r="A430" s="86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6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6"/>
      <c r="AJ430" s="86"/>
      <c r="AK430" s="86"/>
      <c r="AL430" s="86"/>
      <c r="AM430" s="86"/>
      <c r="AN430" s="86"/>
      <c r="AO430" s="86"/>
      <c r="AP430" s="86"/>
      <c r="AQ430" s="86"/>
    </row>
    <row r="431">
      <c r="A431" s="86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6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6"/>
      <c r="AJ431" s="86"/>
      <c r="AK431" s="86"/>
      <c r="AL431" s="86"/>
      <c r="AM431" s="86"/>
      <c r="AN431" s="86"/>
      <c r="AO431" s="86"/>
      <c r="AP431" s="86"/>
      <c r="AQ431" s="86"/>
    </row>
    <row r="432">
      <c r="A432" s="86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6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6"/>
      <c r="AJ432" s="86"/>
      <c r="AK432" s="86"/>
      <c r="AL432" s="86"/>
      <c r="AM432" s="86"/>
      <c r="AN432" s="86"/>
      <c r="AO432" s="86"/>
      <c r="AP432" s="86"/>
      <c r="AQ432" s="86"/>
    </row>
    <row r="433">
      <c r="A433" s="86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6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6"/>
      <c r="AJ433" s="86"/>
      <c r="AK433" s="86"/>
      <c r="AL433" s="86"/>
      <c r="AM433" s="86"/>
      <c r="AN433" s="86"/>
      <c r="AO433" s="86"/>
      <c r="AP433" s="86"/>
      <c r="AQ433" s="86"/>
    </row>
    <row r="434">
      <c r="A434" s="86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6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6"/>
      <c r="AJ434" s="86"/>
      <c r="AK434" s="86"/>
      <c r="AL434" s="86"/>
      <c r="AM434" s="86"/>
      <c r="AN434" s="86"/>
      <c r="AO434" s="86"/>
      <c r="AP434" s="86"/>
      <c r="AQ434" s="86"/>
    </row>
    <row r="435">
      <c r="A435" s="86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6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6"/>
      <c r="AJ435" s="86"/>
      <c r="AK435" s="86"/>
      <c r="AL435" s="86"/>
      <c r="AM435" s="86"/>
      <c r="AN435" s="86"/>
      <c r="AO435" s="86"/>
      <c r="AP435" s="86"/>
      <c r="AQ435" s="86"/>
    </row>
    <row r="436">
      <c r="A436" s="86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6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6"/>
      <c r="AJ436" s="86"/>
      <c r="AK436" s="86"/>
      <c r="AL436" s="86"/>
      <c r="AM436" s="86"/>
      <c r="AN436" s="86"/>
      <c r="AO436" s="86"/>
      <c r="AP436" s="86"/>
      <c r="AQ436" s="86"/>
    </row>
    <row r="437">
      <c r="A437" s="86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6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6"/>
      <c r="AJ437" s="86"/>
      <c r="AK437" s="86"/>
      <c r="AL437" s="86"/>
      <c r="AM437" s="86"/>
      <c r="AN437" s="86"/>
      <c r="AO437" s="86"/>
      <c r="AP437" s="86"/>
      <c r="AQ437" s="86"/>
    </row>
    <row r="438">
      <c r="A438" s="86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6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6"/>
      <c r="AJ438" s="86"/>
      <c r="AK438" s="86"/>
      <c r="AL438" s="86"/>
      <c r="AM438" s="86"/>
      <c r="AN438" s="86"/>
      <c r="AO438" s="86"/>
      <c r="AP438" s="86"/>
      <c r="AQ438" s="86"/>
    </row>
    <row r="439">
      <c r="A439" s="86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6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6"/>
      <c r="AJ439" s="86"/>
      <c r="AK439" s="86"/>
      <c r="AL439" s="86"/>
      <c r="AM439" s="86"/>
      <c r="AN439" s="86"/>
      <c r="AO439" s="86"/>
      <c r="AP439" s="86"/>
      <c r="AQ439" s="86"/>
    </row>
    <row r="440">
      <c r="A440" s="86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6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6"/>
      <c r="AJ440" s="86"/>
      <c r="AK440" s="86"/>
      <c r="AL440" s="86"/>
      <c r="AM440" s="86"/>
      <c r="AN440" s="86"/>
      <c r="AO440" s="86"/>
      <c r="AP440" s="86"/>
      <c r="AQ440" s="86"/>
    </row>
    <row r="441">
      <c r="A441" s="86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6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6"/>
      <c r="AJ441" s="86"/>
      <c r="AK441" s="86"/>
      <c r="AL441" s="86"/>
      <c r="AM441" s="86"/>
      <c r="AN441" s="86"/>
      <c r="AO441" s="86"/>
      <c r="AP441" s="86"/>
      <c r="AQ441" s="86"/>
    </row>
    <row r="442">
      <c r="A442" s="86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6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6"/>
      <c r="AJ442" s="86"/>
      <c r="AK442" s="86"/>
      <c r="AL442" s="86"/>
      <c r="AM442" s="86"/>
      <c r="AN442" s="86"/>
      <c r="AO442" s="86"/>
      <c r="AP442" s="86"/>
      <c r="AQ442" s="86"/>
    </row>
    <row r="443">
      <c r="A443" s="86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6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6"/>
      <c r="AJ443" s="86"/>
      <c r="AK443" s="86"/>
      <c r="AL443" s="86"/>
      <c r="AM443" s="86"/>
      <c r="AN443" s="86"/>
      <c r="AO443" s="86"/>
      <c r="AP443" s="86"/>
      <c r="AQ443" s="86"/>
    </row>
    <row r="444">
      <c r="A444" s="86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6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6"/>
      <c r="AJ444" s="86"/>
      <c r="AK444" s="86"/>
      <c r="AL444" s="86"/>
      <c r="AM444" s="86"/>
      <c r="AN444" s="86"/>
      <c r="AO444" s="86"/>
      <c r="AP444" s="86"/>
      <c r="AQ444" s="86"/>
    </row>
    <row r="445">
      <c r="A445" s="86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6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6"/>
      <c r="AJ445" s="86"/>
      <c r="AK445" s="86"/>
      <c r="AL445" s="86"/>
      <c r="AM445" s="86"/>
      <c r="AN445" s="86"/>
      <c r="AO445" s="86"/>
      <c r="AP445" s="86"/>
      <c r="AQ445" s="86"/>
    </row>
    <row r="446">
      <c r="A446" s="86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6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6"/>
      <c r="AJ446" s="86"/>
      <c r="AK446" s="86"/>
      <c r="AL446" s="86"/>
      <c r="AM446" s="86"/>
      <c r="AN446" s="86"/>
      <c r="AO446" s="86"/>
      <c r="AP446" s="86"/>
      <c r="AQ446" s="86"/>
    </row>
    <row r="447">
      <c r="A447" s="86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6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6"/>
      <c r="AJ447" s="86"/>
      <c r="AK447" s="86"/>
      <c r="AL447" s="86"/>
      <c r="AM447" s="86"/>
      <c r="AN447" s="86"/>
      <c r="AO447" s="86"/>
      <c r="AP447" s="86"/>
      <c r="AQ447" s="86"/>
    </row>
    <row r="448">
      <c r="A448" s="86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6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6"/>
      <c r="AJ448" s="86"/>
      <c r="AK448" s="86"/>
      <c r="AL448" s="86"/>
      <c r="AM448" s="86"/>
      <c r="AN448" s="86"/>
      <c r="AO448" s="86"/>
      <c r="AP448" s="86"/>
      <c r="AQ448" s="86"/>
    </row>
    <row r="449">
      <c r="A449" s="86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6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6"/>
      <c r="AJ449" s="86"/>
      <c r="AK449" s="86"/>
      <c r="AL449" s="86"/>
      <c r="AM449" s="86"/>
      <c r="AN449" s="86"/>
      <c r="AO449" s="86"/>
      <c r="AP449" s="86"/>
      <c r="AQ449" s="86"/>
    </row>
    <row r="450">
      <c r="A450" s="86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6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6"/>
      <c r="AJ450" s="86"/>
      <c r="AK450" s="86"/>
      <c r="AL450" s="86"/>
      <c r="AM450" s="86"/>
      <c r="AN450" s="86"/>
      <c r="AO450" s="86"/>
      <c r="AP450" s="86"/>
      <c r="AQ450" s="86"/>
    </row>
    <row r="451">
      <c r="A451" s="86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6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6"/>
      <c r="AJ451" s="86"/>
      <c r="AK451" s="86"/>
      <c r="AL451" s="86"/>
      <c r="AM451" s="86"/>
      <c r="AN451" s="86"/>
      <c r="AO451" s="86"/>
      <c r="AP451" s="86"/>
      <c r="AQ451" s="86"/>
    </row>
    <row r="452">
      <c r="A452" s="86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6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6"/>
      <c r="AJ452" s="86"/>
      <c r="AK452" s="86"/>
      <c r="AL452" s="86"/>
      <c r="AM452" s="86"/>
      <c r="AN452" s="86"/>
      <c r="AO452" s="86"/>
      <c r="AP452" s="86"/>
      <c r="AQ452" s="86"/>
    </row>
    <row r="453">
      <c r="A453" s="86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6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6"/>
      <c r="AJ453" s="86"/>
      <c r="AK453" s="86"/>
      <c r="AL453" s="86"/>
      <c r="AM453" s="86"/>
      <c r="AN453" s="86"/>
      <c r="AO453" s="86"/>
      <c r="AP453" s="86"/>
      <c r="AQ453" s="86"/>
    </row>
    <row r="454">
      <c r="A454" s="86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6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6"/>
      <c r="AJ454" s="86"/>
      <c r="AK454" s="86"/>
      <c r="AL454" s="86"/>
      <c r="AM454" s="86"/>
      <c r="AN454" s="86"/>
      <c r="AO454" s="86"/>
      <c r="AP454" s="86"/>
      <c r="AQ454" s="86"/>
    </row>
    <row r="455">
      <c r="A455" s="86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6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6"/>
      <c r="AJ455" s="86"/>
      <c r="AK455" s="86"/>
      <c r="AL455" s="86"/>
      <c r="AM455" s="86"/>
      <c r="AN455" s="86"/>
      <c r="AO455" s="86"/>
      <c r="AP455" s="86"/>
      <c r="AQ455" s="86"/>
    </row>
    <row r="456">
      <c r="A456" s="86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6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6"/>
      <c r="AJ456" s="86"/>
      <c r="AK456" s="86"/>
      <c r="AL456" s="86"/>
      <c r="AM456" s="86"/>
      <c r="AN456" s="86"/>
      <c r="AO456" s="86"/>
      <c r="AP456" s="86"/>
      <c r="AQ456" s="86"/>
    </row>
    <row r="457">
      <c r="A457" s="86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6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6"/>
      <c r="AJ457" s="86"/>
      <c r="AK457" s="86"/>
      <c r="AL457" s="86"/>
      <c r="AM457" s="86"/>
      <c r="AN457" s="86"/>
      <c r="AO457" s="86"/>
      <c r="AP457" s="86"/>
      <c r="AQ457" s="86"/>
    </row>
    <row r="458">
      <c r="A458" s="86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6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6"/>
      <c r="AJ458" s="86"/>
      <c r="AK458" s="86"/>
      <c r="AL458" s="86"/>
      <c r="AM458" s="86"/>
      <c r="AN458" s="86"/>
      <c r="AO458" s="86"/>
      <c r="AP458" s="86"/>
      <c r="AQ458" s="86"/>
    </row>
    <row r="459">
      <c r="A459" s="86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6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6"/>
      <c r="AJ459" s="86"/>
      <c r="AK459" s="86"/>
      <c r="AL459" s="86"/>
      <c r="AM459" s="86"/>
      <c r="AN459" s="86"/>
      <c r="AO459" s="86"/>
      <c r="AP459" s="86"/>
      <c r="AQ459" s="86"/>
    </row>
    <row r="460">
      <c r="A460" s="86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6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6"/>
      <c r="AJ460" s="86"/>
      <c r="AK460" s="86"/>
      <c r="AL460" s="86"/>
      <c r="AM460" s="86"/>
      <c r="AN460" s="86"/>
      <c r="AO460" s="86"/>
      <c r="AP460" s="86"/>
      <c r="AQ460" s="86"/>
    </row>
    <row r="461">
      <c r="A461" s="86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6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6"/>
      <c r="AJ461" s="86"/>
      <c r="AK461" s="86"/>
      <c r="AL461" s="86"/>
      <c r="AM461" s="86"/>
      <c r="AN461" s="86"/>
      <c r="AO461" s="86"/>
      <c r="AP461" s="86"/>
      <c r="AQ461" s="86"/>
    </row>
    <row r="462">
      <c r="A462" s="86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6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6"/>
      <c r="AJ462" s="86"/>
      <c r="AK462" s="86"/>
      <c r="AL462" s="86"/>
      <c r="AM462" s="86"/>
      <c r="AN462" s="86"/>
      <c r="AO462" s="86"/>
      <c r="AP462" s="86"/>
      <c r="AQ462" s="86"/>
    </row>
    <row r="463">
      <c r="A463" s="86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6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6"/>
      <c r="AJ463" s="86"/>
      <c r="AK463" s="86"/>
      <c r="AL463" s="86"/>
      <c r="AM463" s="86"/>
      <c r="AN463" s="86"/>
      <c r="AO463" s="86"/>
      <c r="AP463" s="86"/>
      <c r="AQ463" s="86"/>
    </row>
    <row r="464">
      <c r="A464" s="86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6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6"/>
      <c r="AJ464" s="86"/>
      <c r="AK464" s="86"/>
      <c r="AL464" s="86"/>
      <c r="AM464" s="86"/>
      <c r="AN464" s="86"/>
      <c r="AO464" s="86"/>
      <c r="AP464" s="86"/>
      <c r="AQ464" s="86"/>
    </row>
    <row r="465">
      <c r="A465" s="86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6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6"/>
      <c r="AJ465" s="86"/>
      <c r="AK465" s="86"/>
      <c r="AL465" s="86"/>
      <c r="AM465" s="86"/>
      <c r="AN465" s="86"/>
      <c r="AO465" s="86"/>
      <c r="AP465" s="86"/>
      <c r="AQ465" s="86"/>
    </row>
    <row r="466">
      <c r="A466" s="86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6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6"/>
      <c r="AJ466" s="86"/>
      <c r="AK466" s="86"/>
      <c r="AL466" s="86"/>
      <c r="AM466" s="86"/>
      <c r="AN466" s="86"/>
      <c r="AO466" s="86"/>
      <c r="AP466" s="86"/>
      <c r="AQ466" s="86"/>
    </row>
    <row r="467">
      <c r="A467" s="86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6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6"/>
      <c r="AJ467" s="86"/>
      <c r="AK467" s="86"/>
      <c r="AL467" s="86"/>
      <c r="AM467" s="86"/>
      <c r="AN467" s="86"/>
      <c r="AO467" s="86"/>
      <c r="AP467" s="86"/>
      <c r="AQ467" s="86"/>
    </row>
    <row r="468">
      <c r="A468" s="86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6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6"/>
      <c r="AJ468" s="86"/>
      <c r="AK468" s="86"/>
      <c r="AL468" s="86"/>
      <c r="AM468" s="86"/>
      <c r="AN468" s="86"/>
      <c r="AO468" s="86"/>
      <c r="AP468" s="86"/>
      <c r="AQ468" s="86"/>
    </row>
    <row r="469">
      <c r="A469" s="86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6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6"/>
      <c r="AJ469" s="86"/>
      <c r="AK469" s="86"/>
      <c r="AL469" s="86"/>
      <c r="AM469" s="86"/>
      <c r="AN469" s="86"/>
      <c r="AO469" s="86"/>
      <c r="AP469" s="86"/>
      <c r="AQ469" s="86"/>
    </row>
    <row r="470">
      <c r="A470" s="86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6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6"/>
      <c r="AJ470" s="86"/>
      <c r="AK470" s="86"/>
      <c r="AL470" s="86"/>
      <c r="AM470" s="86"/>
      <c r="AN470" s="86"/>
      <c r="AO470" s="86"/>
      <c r="AP470" s="86"/>
      <c r="AQ470" s="86"/>
    </row>
    <row r="471">
      <c r="A471" s="86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6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6"/>
      <c r="AJ471" s="86"/>
      <c r="AK471" s="86"/>
      <c r="AL471" s="86"/>
      <c r="AM471" s="86"/>
      <c r="AN471" s="86"/>
      <c r="AO471" s="86"/>
      <c r="AP471" s="86"/>
      <c r="AQ471" s="86"/>
    </row>
    <row r="472">
      <c r="A472" s="86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6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6"/>
      <c r="AJ472" s="86"/>
      <c r="AK472" s="86"/>
      <c r="AL472" s="86"/>
      <c r="AM472" s="86"/>
      <c r="AN472" s="86"/>
      <c r="AO472" s="86"/>
      <c r="AP472" s="86"/>
      <c r="AQ472" s="86"/>
    </row>
    <row r="473">
      <c r="A473" s="86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6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6"/>
      <c r="AJ473" s="86"/>
      <c r="AK473" s="86"/>
      <c r="AL473" s="86"/>
      <c r="AM473" s="86"/>
      <c r="AN473" s="86"/>
      <c r="AO473" s="86"/>
      <c r="AP473" s="86"/>
      <c r="AQ473" s="86"/>
    </row>
    <row r="474">
      <c r="A474" s="86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6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6"/>
      <c r="AJ474" s="86"/>
      <c r="AK474" s="86"/>
      <c r="AL474" s="86"/>
      <c r="AM474" s="86"/>
      <c r="AN474" s="86"/>
      <c r="AO474" s="86"/>
      <c r="AP474" s="86"/>
      <c r="AQ474" s="86"/>
    </row>
    <row r="475">
      <c r="A475" s="86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6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6"/>
      <c r="AJ475" s="86"/>
      <c r="AK475" s="86"/>
      <c r="AL475" s="86"/>
      <c r="AM475" s="86"/>
      <c r="AN475" s="86"/>
      <c r="AO475" s="86"/>
      <c r="AP475" s="86"/>
      <c r="AQ475" s="86"/>
    </row>
    <row r="476">
      <c r="A476" s="86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6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6"/>
      <c r="AJ476" s="86"/>
      <c r="AK476" s="86"/>
      <c r="AL476" s="86"/>
      <c r="AM476" s="86"/>
      <c r="AN476" s="86"/>
      <c r="AO476" s="86"/>
      <c r="AP476" s="86"/>
      <c r="AQ476" s="86"/>
    </row>
    <row r="477">
      <c r="A477" s="86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6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6"/>
      <c r="AJ477" s="86"/>
      <c r="AK477" s="86"/>
      <c r="AL477" s="86"/>
      <c r="AM477" s="86"/>
      <c r="AN477" s="86"/>
      <c r="AO477" s="86"/>
      <c r="AP477" s="86"/>
      <c r="AQ477" s="86"/>
    </row>
    <row r="478">
      <c r="A478" s="86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6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6"/>
      <c r="AJ478" s="86"/>
      <c r="AK478" s="86"/>
      <c r="AL478" s="86"/>
      <c r="AM478" s="86"/>
      <c r="AN478" s="86"/>
      <c r="AO478" s="86"/>
      <c r="AP478" s="86"/>
      <c r="AQ478" s="86"/>
    </row>
    <row r="479">
      <c r="A479" s="86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6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6"/>
      <c r="AJ479" s="86"/>
      <c r="AK479" s="86"/>
      <c r="AL479" s="86"/>
      <c r="AM479" s="86"/>
      <c r="AN479" s="86"/>
      <c r="AO479" s="86"/>
      <c r="AP479" s="86"/>
      <c r="AQ479" s="86"/>
    </row>
    <row r="480">
      <c r="A480" s="86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6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6"/>
      <c r="AJ480" s="86"/>
      <c r="AK480" s="86"/>
      <c r="AL480" s="86"/>
      <c r="AM480" s="86"/>
      <c r="AN480" s="86"/>
      <c r="AO480" s="86"/>
      <c r="AP480" s="86"/>
      <c r="AQ480" s="86"/>
    </row>
    <row r="481">
      <c r="A481" s="86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6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6"/>
      <c r="AJ481" s="86"/>
      <c r="AK481" s="86"/>
      <c r="AL481" s="86"/>
      <c r="AM481" s="86"/>
      <c r="AN481" s="86"/>
      <c r="AO481" s="86"/>
      <c r="AP481" s="86"/>
      <c r="AQ481" s="86"/>
    </row>
    <row r="482">
      <c r="A482" s="86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6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6"/>
      <c r="AJ482" s="86"/>
      <c r="AK482" s="86"/>
      <c r="AL482" s="86"/>
      <c r="AM482" s="86"/>
      <c r="AN482" s="86"/>
      <c r="AO482" s="86"/>
      <c r="AP482" s="86"/>
      <c r="AQ482" s="86"/>
    </row>
    <row r="483">
      <c r="A483" s="86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6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6"/>
      <c r="AJ483" s="86"/>
      <c r="AK483" s="86"/>
      <c r="AL483" s="86"/>
      <c r="AM483" s="86"/>
      <c r="AN483" s="86"/>
      <c r="AO483" s="86"/>
      <c r="AP483" s="86"/>
      <c r="AQ483" s="86"/>
    </row>
    <row r="484">
      <c r="A484" s="86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6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6"/>
      <c r="AJ484" s="86"/>
      <c r="AK484" s="86"/>
      <c r="AL484" s="86"/>
      <c r="AM484" s="86"/>
      <c r="AN484" s="86"/>
      <c r="AO484" s="86"/>
      <c r="AP484" s="86"/>
      <c r="AQ484" s="86"/>
    </row>
    <row r="485">
      <c r="A485" s="86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6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6"/>
      <c r="AJ485" s="86"/>
      <c r="AK485" s="86"/>
      <c r="AL485" s="86"/>
      <c r="AM485" s="86"/>
      <c r="AN485" s="86"/>
      <c r="AO485" s="86"/>
      <c r="AP485" s="86"/>
      <c r="AQ485" s="86"/>
    </row>
    <row r="486">
      <c r="A486" s="86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6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6"/>
      <c r="AJ486" s="86"/>
      <c r="AK486" s="86"/>
      <c r="AL486" s="86"/>
      <c r="AM486" s="86"/>
      <c r="AN486" s="86"/>
      <c r="AO486" s="86"/>
      <c r="AP486" s="86"/>
      <c r="AQ486" s="86"/>
    </row>
    <row r="487">
      <c r="A487" s="86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6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6"/>
      <c r="AJ487" s="86"/>
      <c r="AK487" s="86"/>
      <c r="AL487" s="86"/>
      <c r="AM487" s="86"/>
      <c r="AN487" s="86"/>
      <c r="AO487" s="86"/>
      <c r="AP487" s="86"/>
      <c r="AQ487" s="86"/>
    </row>
    <row r="488">
      <c r="A488" s="86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6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6"/>
      <c r="AJ488" s="86"/>
      <c r="AK488" s="86"/>
      <c r="AL488" s="86"/>
      <c r="AM488" s="86"/>
      <c r="AN488" s="86"/>
      <c r="AO488" s="86"/>
      <c r="AP488" s="86"/>
      <c r="AQ488" s="86"/>
    </row>
    <row r="489">
      <c r="A489" s="86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6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6"/>
      <c r="AJ489" s="86"/>
      <c r="AK489" s="86"/>
      <c r="AL489" s="86"/>
      <c r="AM489" s="86"/>
      <c r="AN489" s="86"/>
      <c r="AO489" s="86"/>
      <c r="AP489" s="86"/>
      <c r="AQ489" s="86"/>
    </row>
    <row r="490">
      <c r="A490" s="86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6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6"/>
      <c r="AJ490" s="86"/>
      <c r="AK490" s="86"/>
      <c r="AL490" s="86"/>
      <c r="AM490" s="86"/>
      <c r="AN490" s="86"/>
      <c r="AO490" s="86"/>
      <c r="AP490" s="86"/>
      <c r="AQ490" s="86"/>
    </row>
    <row r="491">
      <c r="A491" s="86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6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6"/>
      <c r="AJ491" s="86"/>
      <c r="AK491" s="86"/>
      <c r="AL491" s="86"/>
      <c r="AM491" s="86"/>
      <c r="AN491" s="86"/>
      <c r="AO491" s="86"/>
      <c r="AP491" s="86"/>
      <c r="AQ491" s="86"/>
    </row>
    <row r="492">
      <c r="A492" s="86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6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6"/>
      <c r="AJ492" s="86"/>
      <c r="AK492" s="86"/>
      <c r="AL492" s="86"/>
      <c r="AM492" s="86"/>
      <c r="AN492" s="86"/>
      <c r="AO492" s="86"/>
      <c r="AP492" s="86"/>
      <c r="AQ492" s="86"/>
    </row>
    <row r="493">
      <c r="A493" s="86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6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6"/>
      <c r="AJ493" s="86"/>
      <c r="AK493" s="86"/>
      <c r="AL493" s="86"/>
      <c r="AM493" s="86"/>
      <c r="AN493" s="86"/>
      <c r="AO493" s="86"/>
      <c r="AP493" s="86"/>
      <c r="AQ493" s="86"/>
    </row>
    <row r="494">
      <c r="A494" s="86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6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6"/>
      <c r="AJ494" s="86"/>
      <c r="AK494" s="86"/>
      <c r="AL494" s="86"/>
      <c r="AM494" s="86"/>
      <c r="AN494" s="86"/>
      <c r="AO494" s="86"/>
      <c r="AP494" s="86"/>
      <c r="AQ494" s="86"/>
    </row>
    <row r="495">
      <c r="A495" s="86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6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6"/>
      <c r="AJ495" s="86"/>
      <c r="AK495" s="86"/>
      <c r="AL495" s="86"/>
      <c r="AM495" s="86"/>
      <c r="AN495" s="86"/>
      <c r="AO495" s="86"/>
      <c r="AP495" s="86"/>
      <c r="AQ495" s="86"/>
    </row>
    <row r="496">
      <c r="A496" s="86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6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6"/>
      <c r="AJ496" s="86"/>
      <c r="AK496" s="86"/>
      <c r="AL496" s="86"/>
      <c r="AM496" s="86"/>
      <c r="AN496" s="86"/>
      <c r="AO496" s="86"/>
      <c r="AP496" s="86"/>
      <c r="AQ496" s="86"/>
    </row>
    <row r="497">
      <c r="A497" s="86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6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6"/>
      <c r="AJ497" s="86"/>
      <c r="AK497" s="86"/>
      <c r="AL497" s="86"/>
      <c r="AM497" s="86"/>
      <c r="AN497" s="86"/>
      <c r="AO497" s="86"/>
      <c r="AP497" s="86"/>
      <c r="AQ497" s="86"/>
    </row>
    <row r="498">
      <c r="A498" s="86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6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6"/>
      <c r="AJ498" s="86"/>
      <c r="AK498" s="86"/>
      <c r="AL498" s="86"/>
      <c r="AM498" s="86"/>
      <c r="AN498" s="86"/>
      <c r="AO498" s="86"/>
      <c r="AP498" s="86"/>
      <c r="AQ498" s="86"/>
    </row>
    <row r="499">
      <c r="A499" s="86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6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6"/>
      <c r="AJ499" s="86"/>
      <c r="AK499" s="86"/>
      <c r="AL499" s="86"/>
      <c r="AM499" s="86"/>
      <c r="AN499" s="86"/>
      <c r="AO499" s="86"/>
      <c r="AP499" s="86"/>
      <c r="AQ499" s="86"/>
    </row>
    <row r="500">
      <c r="A500" s="86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6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6"/>
      <c r="AJ500" s="86"/>
      <c r="AK500" s="86"/>
      <c r="AL500" s="86"/>
      <c r="AM500" s="86"/>
      <c r="AN500" s="86"/>
      <c r="AO500" s="86"/>
      <c r="AP500" s="86"/>
      <c r="AQ500" s="86"/>
    </row>
    <row r="501">
      <c r="A501" s="86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6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6"/>
      <c r="AJ501" s="86"/>
      <c r="AK501" s="86"/>
      <c r="AL501" s="86"/>
      <c r="AM501" s="86"/>
      <c r="AN501" s="86"/>
      <c r="AO501" s="86"/>
      <c r="AP501" s="86"/>
      <c r="AQ501" s="86"/>
    </row>
    <row r="502">
      <c r="A502" s="86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6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6"/>
      <c r="AJ502" s="86"/>
      <c r="AK502" s="86"/>
      <c r="AL502" s="86"/>
      <c r="AM502" s="86"/>
      <c r="AN502" s="86"/>
      <c r="AO502" s="86"/>
      <c r="AP502" s="86"/>
      <c r="AQ502" s="86"/>
    </row>
    <row r="503">
      <c r="A503" s="86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6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6"/>
      <c r="AJ503" s="86"/>
      <c r="AK503" s="86"/>
      <c r="AL503" s="86"/>
      <c r="AM503" s="86"/>
      <c r="AN503" s="86"/>
      <c r="AO503" s="86"/>
      <c r="AP503" s="86"/>
      <c r="AQ503" s="86"/>
    </row>
    <row r="504">
      <c r="A504" s="86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6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6"/>
      <c r="AJ504" s="86"/>
      <c r="AK504" s="86"/>
      <c r="AL504" s="86"/>
      <c r="AM504" s="86"/>
      <c r="AN504" s="86"/>
      <c r="AO504" s="86"/>
      <c r="AP504" s="86"/>
      <c r="AQ504" s="86"/>
    </row>
    <row r="505">
      <c r="A505" s="86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6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6"/>
      <c r="AJ505" s="86"/>
      <c r="AK505" s="86"/>
      <c r="AL505" s="86"/>
      <c r="AM505" s="86"/>
      <c r="AN505" s="86"/>
      <c r="AO505" s="86"/>
      <c r="AP505" s="86"/>
      <c r="AQ505" s="86"/>
    </row>
    <row r="506">
      <c r="A506" s="86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6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6"/>
      <c r="AJ506" s="86"/>
      <c r="AK506" s="86"/>
      <c r="AL506" s="86"/>
      <c r="AM506" s="86"/>
      <c r="AN506" s="86"/>
      <c r="AO506" s="86"/>
      <c r="AP506" s="86"/>
      <c r="AQ506" s="86"/>
    </row>
    <row r="507">
      <c r="A507" s="86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6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6"/>
      <c r="AJ507" s="86"/>
      <c r="AK507" s="86"/>
      <c r="AL507" s="86"/>
      <c r="AM507" s="86"/>
      <c r="AN507" s="86"/>
      <c r="AO507" s="86"/>
      <c r="AP507" s="86"/>
      <c r="AQ507" s="86"/>
    </row>
    <row r="508">
      <c r="A508" s="86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6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6"/>
      <c r="AJ508" s="86"/>
      <c r="AK508" s="86"/>
      <c r="AL508" s="86"/>
      <c r="AM508" s="86"/>
      <c r="AN508" s="86"/>
      <c r="AO508" s="86"/>
      <c r="AP508" s="86"/>
      <c r="AQ508" s="86"/>
    </row>
    <row r="509">
      <c r="A509" s="86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6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6"/>
      <c r="AJ509" s="86"/>
      <c r="AK509" s="86"/>
      <c r="AL509" s="86"/>
      <c r="AM509" s="86"/>
      <c r="AN509" s="86"/>
      <c r="AO509" s="86"/>
      <c r="AP509" s="86"/>
      <c r="AQ509" s="86"/>
    </row>
    <row r="510">
      <c r="A510" s="86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6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6"/>
      <c r="AJ510" s="86"/>
      <c r="AK510" s="86"/>
      <c r="AL510" s="86"/>
      <c r="AM510" s="86"/>
      <c r="AN510" s="86"/>
      <c r="AO510" s="86"/>
      <c r="AP510" s="86"/>
      <c r="AQ510" s="86"/>
    </row>
    <row r="511">
      <c r="A511" s="86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6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6"/>
      <c r="AJ511" s="86"/>
      <c r="AK511" s="86"/>
      <c r="AL511" s="86"/>
      <c r="AM511" s="86"/>
      <c r="AN511" s="86"/>
      <c r="AO511" s="86"/>
      <c r="AP511" s="86"/>
      <c r="AQ511" s="86"/>
    </row>
    <row r="512">
      <c r="A512" s="86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6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6"/>
      <c r="AJ512" s="86"/>
      <c r="AK512" s="86"/>
      <c r="AL512" s="86"/>
      <c r="AM512" s="86"/>
      <c r="AN512" s="86"/>
      <c r="AO512" s="86"/>
      <c r="AP512" s="86"/>
      <c r="AQ512" s="86"/>
    </row>
    <row r="513">
      <c r="A513" s="86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6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6"/>
      <c r="AJ513" s="86"/>
      <c r="AK513" s="86"/>
      <c r="AL513" s="86"/>
      <c r="AM513" s="86"/>
      <c r="AN513" s="86"/>
      <c r="AO513" s="86"/>
      <c r="AP513" s="86"/>
      <c r="AQ513" s="86"/>
    </row>
    <row r="514">
      <c r="A514" s="86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6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6"/>
      <c r="AJ514" s="86"/>
      <c r="AK514" s="86"/>
      <c r="AL514" s="86"/>
      <c r="AM514" s="86"/>
      <c r="AN514" s="86"/>
      <c r="AO514" s="86"/>
      <c r="AP514" s="86"/>
      <c r="AQ514" s="86"/>
    </row>
    <row r="515">
      <c r="A515" s="86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6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6"/>
      <c r="AJ515" s="86"/>
      <c r="AK515" s="86"/>
      <c r="AL515" s="86"/>
      <c r="AM515" s="86"/>
      <c r="AN515" s="86"/>
      <c r="AO515" s="86"/>
      <c r="AP515" s="86"/>
      <c r="AQ515" s="86"/>
    </row>
    <row r="516">
      <c r="A516" s="86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6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6"/>
      <c r="AJ516" s="86"/>
      <c r="AK516" s="86"/>
      <c r="AL516" s="86"/>
      <c r="AM516" s="86"/>
      <c r="AN516" s="86"/>
      <c r="AO516" s="86"/>
      <c r="AP516" s="86"/>
      <c r="AQ516" s="86"/>
    </row>
    <row r="517">
      <c r="A517" s="86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6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6"/>
      <c r="AJ517" s="86"/>
      <c r="AK517" s="86"/>
      <c r="AL517" s="86"/>
      <c r="AM517" s="86"/>
      <c r="AN517" s="86"/>
      <c r="AO517" s="86"/>
      <c r="AP517" s="86"/>
      <c r="AQ517" s="86"/>
    </row>
    <row r="518">
      <c r="A518" s="86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6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6"/>
      <c r="AJ518" s="86"/>
      <c r="AK518" s="86"/>
      <c r="AL518" s="86"/>
      <c r="AM518" s="86"/>
      <c r="AN518" s="86"/>
      <c r="AO518" s="86"/>
      <c r="AP518" s="86"/>
      <c r="AQ518" s="86"/>
    </row>
    <row r="519">
      <c r="A519" s="86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6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6"/>
      <c r="AJ519" s="86"/>
      <c r="AK519" s="86"/>
      <c r="AL519" s="86"/>
      <c r="AM519" s="86"/>
      <c r="AN519" s="86"/>
      <c r="AO519" s="86"/>
      <c r="AP519" s="86"/>
      <c r="AQ519" s="86"/>
    </row>
    <row r="520">
      <c r="A520" s="86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6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6"/>
      <c r="AJ520" s="86"/>
      <c r="AK520" s="86"/>
      <c r="AL520" s="86"/>
      <c r="AM520" s="86"/>
      <c r="AN520" s="86"/>
      <c r="AO520" s="86"/>
      <c r="AP520" s="86"/>
      <c r="AQ520" s="86"/>
    </row>
    <row r="521">
      <c r="A521" s="86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6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6"/>
      <c r="AJ521" s="86"/>
      <c r="AK521" s="86"/>
      <c r="AL521" s="86"/>
      <c r="AM521" s="86"/>
      <c r="AN521" s="86"/>
      <c r="AO521" s="86"/>
      <c r="AP521" s="86"/>
      <c r="AQ521" s="86"/>
    </row>
    <row r="522">
      <c r="A522" s="86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6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6"/>
      <c r="AJ522" s="86"/>
      <c r="AK522" s="86"/>
      <c r="AL522" s="86"/>
      <c r="AM522" s="86"/>
      <c r="AN522" s="86"/>
      <c r="AO522" s="86"/>
      <c r="AP522" s="86"/>
      <c r="AQ522" s="86"/>
    </row>
    <row r="523">
      <c r="A523" s="86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6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6"/>
      <c r="AJ523" s="86"/>
      <c r="AK523" s="86"/>
      <c r="AL523" s="86"/>
      <c r="AM523" s="86"/>
      <c r="AN523" s="86"/>
      <c r="AO523" s="86"/>
      <c r="AP523" s="86"/>
      <c r="AQ523" s="86"/>
    </row>
    <row r="524">
      <c r="A524" s="86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6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6"/>
      <c r="AJ524" s="86"/>
      <c r="AK524" s="86"/>
      <c r="AL524" s="86"/>
      <c r="AM524" s="86"/>
      <c r="AN524" s="86"/>
      <c r="AO524" s="86"/>
      <c r="AP524" s="86"/>
      <c r="AQ524" s="86"/>
    </row>
    <row r="525">
      <c r="A525" s="86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6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6"/>
      <c r="AJ525" s="86"/>
      <c r="AK525" s="86"/>
      <c r="AL525" s="86"/>
      <c r="AM525" s="86"/>
      <c r="AN525" s="86"/>
      <c r="AO525" s="86"/>
      <c r="AP525" s="86"/>
      <c r="AQ525" s="86"/>
    </row>
    <row r="526">
      <c r="A526" s="86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6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6"/>
      <c r="AJ526" s="86"/>
      <c r="AK526" s="86"/>
      <c r="AL526" s="86"/>
      <c r="AM526" s="86"/>
      <c r="AN526" s="86"/>
      <c r="AO526" s="86"/>
      <c r="AP526" s="86"/>
      <c r="AQ526" s="86"/>
    </row>
    <row r="527">
      <c r="A527" s="86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6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6"/>
      <c r="AJ527" s="86"/>
      <c r="AK527" s="86"/>
      <c r="AL527" s="86"/>
      <c r="AM527" s="86"/>
      <c r="AN527" s="86"/>
      <c r="AO527" s="86"/>
      <c r="AP527" s="86"/>
      <c r="AQ527" s="86"/>
    </row>
    <row r="528">
      <c r="A528" s="86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6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6"/>
      <c r="AJ528" s="86"/>
      <c r="AK528" s="86"/>
      <c r="AL528" s="86"/>
      <c r="AM528" s="86"/>
      <c r="AN528" s="86"/>
      <c r="AO528" s="86"/>
      <c r="AP528" s="86"/>
      <c r="AQ528" s="86"/>
    </row>
    <row r="529">
      <c r="A529" s="86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6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6"/>
      <c r="AJ529" s="86"/>
      <c r="AK529" s="86"/>
      <c r="AL529" s="86"/>
      <c r="AM529" s="86"/>
      <c r="AN529" s="86"/>
      <c r="AO529" s="86"/>
      <c r="AP529" s="86"/>
      <c r="AQ529" s="86"/>
    </row>
    <row r="530">
      <c r="A530" s="86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6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6"/>
      <c r="AJ530" s="86"/>
      <c r="AK530" s="86"/>
      <c r="AL530" s="86"/>
      <c r="AM530" s="86"/>
      <c r="AN530" s="86"/>
      <c r="AO530" s="86"/>
      <c r="AP530" s="86"/>
      <c r="AQ530" s="86"/>
    </row>
    <row r="531">
      <c r="A531" s="86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6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6"/>
      <c r="AJ531" s="86"/>
      <c r="AK531" s="86"/>
      <c r="AL531" s="86"/>
      <c r="AM531" s="86"/>
      <c r="AN531" s="86"/>
      <c r="AO531" s="86"/>
      <c r="AP531" s="86"/>
      <c r="AQ531" s="86"/>
    </row>
    <row r="532">
      <c r="A532" s="86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6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6"/>
      <c r="AJ532" s="86"/>
      <c r="AK532" s="86"/>
      <c r="AL532" s="86"/>
      <c r="AM532" s="86"/>
      <c r="AN532" s="86"/>
      <c r="AO532" s="86"/>
      <c r="AP532" s="86"/>
      <c r="AQ532" s="86"/>
    </row>
    <row r="533">
      <c r="A533" s="86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6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6"/>
      <c r="AJ533" s="86"/>
      <c r="AK533" s="86"/>
      <c r="AL533" s="86"/>
      <c r="AM533" s="86"/>
      <c r="AN533" s="86"/>
      <c r="AO533" s="86"/>
      <c r="AP533" s="86"/>
      <c r="AQ533" s="86"/>
    </row>
    <row r="534">
      <c r="A534" s="86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6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6"/>
      <c r="AJ534" s="86"/>
      <c r="AK534" s="86"/>
      <c r="AL534" s="86"/>
      <c r="AM534" s="86"/>
      <c r="AN534" s="86"/>
      <c r="AO534" s="86"/>
      <c r="AP534" s="86"/>
      <c r="AQ534" s="86"/>
    </row>
    <row r="535">
      <c r="A535" s="86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6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6"/>
      <c r="AJ535" s="86"/>
      <c r="AK535" s="86"/>
      <c r="AL535" s="86"/>
      <c r="AM535" s="86"/>
      <c r="AN535" s="86"/>
      <c r="AO535" s="86"/>
      <c r="AP535" s="86"/>
      <c r="AQ535" s="86"/>
    </row>
    <row r="536">
      <c r="A536" s="86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6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6"/>
      <c r="AJ536" s="86"/>
      <c r="AK536" s="86"/>
      <c r="AL536" s="86"/>
      <c r="AM536" s="86"/>
      <c r="AN536" s="86"/>
      <c r="AO536" s="86"/>
      <c r="AP536" s="86"/>
      <c r="AQ536" s="86"/>
    </row>
    <row r="537">
      <c r="A537" s="86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6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6"/>
      <c r="AJ537" s="86"/>
      <c r="AK537" s="86"/>
      <c r="AL537" s="86"/>
      <c r="AM537" s="86"/>
      <c r="AN537" s="86"/>
      <c r="AO537" s="86"/>
      <c r="AP537" s="86"/>
      <c r="AQ537" s="86"/>
    </row>
    <row r="538">
      <c r="A538" s="86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6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6"/>
      <c r="AJ538" s="86"/>
      <c r="AK538" s="86"/>
      <c r="AL538" s="86"/>
      <c r="AM538" s="86"/>
      <c r="AN538" s="86"/>
      <c r="AO538" s="86"/>
      <c r="AP538" s="86"/>
      <c r="AQ538" s="86"/>
    </row>
    <row r="539">
      <c r="A539" s="86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6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6"/>
      <c r="AJ539" s="86"/>
      <c r="AK539" s="86"/>
      <c r="AL539" s="86"/>
      <c r="AM539" s="86"/>
      <c r="AN539" s="86"/>
      <c r="AO539" s="86"/>
      <c r="AP539" s="86"/>
      <c r="AQ539" s="86"/>
    </row>
    <row r="540">
      <c r="A540" s="86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6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6"/>
      <c r="AJ540" s="86"/>
      <c r="AK540" s="86"/>
      <c r="AL540" s="86"/>
      <c r="AM540" s="86"/>
      <c r="AN540" s="86"/>
      <c r="AO540" s="86"/>
      <c r="AP540" s="86"/>
      <c r="AQ540" s="86"/>
    </row>
    <row r="541">
      <c r="A541" s="86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6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6"/>
      <c r="AJ541" s="86"/>
      <c r="AK541" s="86"/>
      <c r="AL541" s="86"/>
      <c r="AM541" s="86"/>
      <c r="AN541" s="86"/>
      <c r="AO541" s="86"/>
      <c r="AP541" s="86"/>
      <c r="AQ541" s="86"/>
    </row>
    <row r="542">
      <c r="A542" s="86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6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6"/>
      <c r="AJ542" s="86"/>
      <c r="AK542" s="86"/>
      <c r="AL542" s="86"/>
      <c r="AM542" s="86"/>
      <c r="AN542" s="86"/>
      <c r="AO542" s="86"/>
      <c r="AP542" s="86"/>
      <c r="AQ542" s="86"/>
    </row>
    <row r="543">
      <c r="A543" s="86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6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6"/>
      <c r="AJ543" s="86"/>
      <c r="AK543" s="86"/>
      <c r="AL543" s="86"/>
      <c r="AM543" s="86"/>
      <c r="AN543" s="86"/>
      <c r="AO543" s="86"/>
      <c r="AP543" s="86"/>
      <c r="AQ543" s="86"/>
    </row>
    <row r="544">
      <c r="A544" s="86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6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6"/>
      <c r="AJ544" s="86"/>
      <c r="AK544" s="86"/>
      <c r="AL544" s="86"/>
      <c r="AM544" s="86"/>
      <c r="AN544" s="86"/>
      <c r="AO544" s="86"/>
      <c r="AP544" s="86"/>
      <c r="AQ544" s="86"/>
    </row>
    <row r="545">
      <c r="A545" s="86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6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6"/>
      <c r="AJ545" s="86"/>
      <c r="AK545" s="86"/>
      <c r="AL545" s="86"/>
      <c r="AM545" s="86"/>
      <c r="AN545" s="86"/>
      <c r="AO545" s="86"/>
      <c r="AP545" s="86"/>
      <c r="AQ545" s="86"/>
    </row>
    <row r="546">
      <c r="A546" s="86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6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6"/>
      <c r="AJ546" s="86"/>
      <c r="AK546" s="86"/>
      <c r="AL546" s="86"/>
      <c r="AM546" s="86"/>
      <c r="AN546" s="86"/>
      <c r="AO546" s="86"/>
      <c r="AP546" s="86"/>
      <c r="AQ546" s="86"/>
    </row>
    <row r="547">
      <c r="A547" s="86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6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6"/>
      <c r="AJ547" s="86"/>
      <c r="AK547" s="86"/>
      <c r="AL547" s="86"/>
      <c r="AM547" s="86"/>
      <c r="AN547" s="86"/>
      <c r="AO547" s="86"/>
      <c r="AP547" s="86"/>
      <c r="AQ547" s="86"/>
    </row>
    <row r="548">
      <c r="A548" s="86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6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6"/>
      <c r="AJ548" s="86"/>
      <c r="AK548" s="86"/>
      <c r="AL548" s="86"/>
      <c r="AM548" s="86"/>
      <c r="AN548" s="86"/>
      <c r="AO548" s="86"/>
      <c r="AP548" s="86"/>
      <c r="AQ548" s="86"/>
    </row>
    <row r="549">
      <c r="A549" s="86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6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6"/>
      <c r="AJ549" s="86"/>
      <c r="AK549" s="86"/>
      <c r="AL549" s="86"/>
      <c r="AM549" s="86"/>
      <c r="AN549" s="86"/>
      <c r="AO549" s="86"/>
      <c r="AP549" s="86"/>
      <c r="AQ549" s="86"/>
    </row>
    <row r="550">
      <c r="A550" s="86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6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6"/>
      <c r="AJ550" s="86"/>
      <c r="AK550" s="86"/>
      <c r="AL550" s="86"/>
      <c r="AM550" s="86"/>
      <c r="AN550" s="86"/>
      <c r="AO550" s="86"/>
      <c r="AP550" s="86"/>
      <c r="AQ550" s="86"/>
    </row>
    <row r="551">
      <c r="A551" s="86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6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6"/>
      <c r="AJ551" s="86"/>
      <c r="AK551" s="86"/>
      <c r="AL551" s="86"/>
      <c r="AM551" s="86"/>
      <c r="AN551" s="86"/>
      <c r="AO551" s="86"/>
      <c r="AP551" s="86"/>
      <c r="AQ551" s="86"/>
    </row>
    <row r="552">
      <c r="A552" s="86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6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6"/>
      <c r="AJ552" s="86"/>
      <c r="AK552" s="86"/>
      <c r="AL552" s="86"/>
      <c r="AM552" s="86"/>
      <c r="AN552" s="86"/>
      <c r="AO552" s="86"/>
      <c r="AP552" s="86"/>
      <c r="AQ552" s="86"/>
    </row>
    <row r="553">
      <c r="A553" s="86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6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6"/>
      <c r="AJ553" s="86"/>
      <c r="AK553" s="86"/>
      <c r="AL553" s="86"/>
      <c r="AM553" s="86"/>
      <c r="AN553" s="86"/>
      <c r="AO553" s="86"/>
      <c r="AP553" s="86"/>
      <c r="AQ553" s="86"/>
    </row>
    <row r="554">
      <c r="A554" s="86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6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6"/>
      <c r="AJ554" s="86"/>
      <c r="AK554" s="86"/>
      <c r="AL554" s="86"/>
      <c r="AM554" s="86"/>
      <c r="AN554" s="86"/>
      <c r="AO554" s="86"/>
      <c r="AP554" s="86"/>
      <c r="AQ554" s="86"/>
    </row>
    <row r="555">
      <c r="A555" s="86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6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6"/>
      <c r="AJ555" s="86"/>
      <c r="AK555" s="86"/>
      <c r="AL555" s="86"/>
      <c r="AM555" s="86"/>
      <c r="AN555" s="86"/>
      <c r="AO555" s="86"/>
      <c r="AP555" s="86"/>
      <c r="AQ555" s="86"/>
    </row>
    <row r="556">
      <c r="A556" s="86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6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6"/>
      <c r="AJ556" s="86"/>
      <c r="AK556" s="86"/>
      <c r="AL556" s="86"/>
      <c r="AM556" s="86"/>
      <c r="AN556" s="86"/>
      <c r="AO556" s="86"/>
      <c r="AP556" s="86"/>
      <c r="AQ556" s="86"/>
    </row>
    <row r="557">
      <c r="A557" s="86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6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6"/>
      <c r="AJ557" s="86"/>
      <c r="AK557" s="86"/>
      <c r="AL557" s="86"/>
      <c r="AM557" s="86"/>
      <c r="AN557" s="86"/>
      <c r="AO557" s="86"/>
      <c r="AP557" s="86"/>
      <c r="AQ557" s="86"/>
    </row>
    <row r="558">
      <c r="A558" s="86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6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6"/>
      <c r="AJ558" s="86"/>
      <c r="AK558" s="86"/>
      <c r="AL558" s="86"/>
      <c r="AM558" s="86"/>
      <c r="AN558" s="86"/>
      <c r="AO558" s="86"/>
      <c r="AP558" s="86"/>
      <c r="AQ558" s="86"/>
    </row>
    <row r="559">
      <c r="A559" s="86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6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6"/>
      <c r="AJ559" s="86"/>
      <c r="AK559" s="86"/>
      <c r="AL559" s="86"/>
      <c r="AM559" s="86"/>
      <c r="AN559" s="86"/>
      <c r="AO559" s="86"/>
      <c r="AP559" s="86"/>
      <c r="AQ559" s="86"/>
    </row>
    <row r="560">
      <c r="A560" s="86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6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6"/>
      <c r="AJ560" s="86"/>
      <c r="AK560" s="86"/>
      <c r="AL560" s="86"/>
      <c r="AM560" s="86"/>
      <c r="AN560" s="86"/>
      <c r="AO560" s="86"/>
      <c r="AP560" s="86"/>
      <c r="AQ560" s="86"/>
    </row>
    <row r="561">
      <c r="A561" s="86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6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6"/>
      <c r="AJ561" s="86"/>
      <c r="AK561" s="86"/>
      <c r="AL561" s="86"/>
      <c r="AM561" s="86"/>
      <c r="AN561" s="86"/>
      <c r="AO561" s="86"/>
      <c r="AP561" s="86"/>
      <c r="AQ561" s="86"/>
    </row>
    <row r="562">
      <c r="A562" s="86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6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6"/>
      <c r="AJ562" s="86"/>
      <c r="AK562" s="86"/>
      <c r="AL562" s="86"/>
      <c r="AM562" s="86"/>
      <c r="AN562" s="86"/>
      <c r="AO562" s="86"/>
      <c r="AP562" s="86"/>
      <c r="AQ562" s="86"/>
    </row>
    <row r="563">
      <c r="A563" s="86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6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6"/>
      <c r="AJ563" s="86"/>
      <c r="AK563" s="86"/>
      <c r="AL563" s="86"/>
      <c r="AM563" s="86"/>
      <c r="AN563" s="86"/>
      <c r="AO563" s="86"/>
      <c r="AP563" s="86"/>
      <c r="AQ563" s="86"/>
    </row>
    <row r="564">
      <c r="A564" s="86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6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6"/>
      <c r="AJ564" s="86"/>
      <c r="AK564" s="86"/>
      <c r="AL564" s="86"/>
      <c r="AM564" s="86"/>
      <c r="AN564" s="86"/>
      <c r="AO564" s="86"/>
      <c r="AP564" s="86"/>
      <c r="AQ564" s="86"/>
    </row>
    <row r="565">
      <c r="A565" s="86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6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6"/>
      <c r="AJ565" s="86"/>
      <c r="AK565" s="86"/>
      <c r="AL565" s="86"/>
      <c r="AM565" s="86"/>
      <c r="AN565" s="86"/>
      <c r="AO565" s="86"/>
      <c r="AP565" s="86"/>
      <c r="AQ565" s="86"/>
    </row>
    <row r="566">
      <c r="A566" s="86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6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6"/>
      <c r="AJ566" s="86"/>
      <c r="AK566" s="86"/>
      <c r="AL566" s="86"/>
      <c r="AM566" s="86"/>
      <c r="AN566" s="86"/>
      <c r="AO566" s="86"/>
      <c r="AP566" s="86"/>
      <c r="AQ566" s="86"/>
    </row>
    <row r="567">
      <c r="A567" s="86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6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6"/>
      <c r="AJ567" s="86"/>
      <c r="AK567" s="86"/>
      <c r="AL567" s="86"/>
      <c r="AM567" s="86"/>
      <c r="AN567" s="86"/>
      <c r="AO567" s="86"/>
      <c r="AP567" s="86"/>
      <c r="AQ567" s="86"/>
    </row>
    <row r="568">
      <c r="A568" s="86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6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6"/>
      <c r="AJ568" s="86"/>
      <c r="AK568" s="86"/>
      <c r="AL568" s="86"/>
      <c r="AM568" s="86"/>
      <c r="AN568" s="86"/>
      <c r="AO568" s="86"/>
      <c r="AP568" s="86"/>
      <c r="AQ568" s="86"/>
    </row>
    <row r="569">
      <c r="A569" s="86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6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6"/>
      <c r="AJ569" s="86"/>
      <c r="AK569" s="86"/>
      <c r="AL569" s="86"/>
      <c r="AM569" s="86"/>
      <c r="AN569" s="86"/>
      <c r="AO569" s="86"/>
      <c r="AP569" s="86"/>
      <c r="AQ569" s="86"/>
    </row>
    <row r="570">
      <c r="A570" s="86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6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6"/>
      <c r="AJ570" s="86"/>
      <c r="AK570" s="86"/>
      <c r="AL570" s="86"/>
      <c r="AM570" s="86"/>
      <c r="AN570" s="86"/>
      <c r="AO570" s="86"/>
      <c r="AP570" s="86"/>
      <c r="AQ570" s="86"/>
    </row>
    <row r="571">
      <c r="A571" s="86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6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6"/>
      <c r="AJ571" s="86"/>
      <c r="AK571" s="86"/>
      <c r="AL571" s="86"/>
      <c r="AM571" s="86"/>
      <c r="AN571" s="86"/>
      <c r="AO571" s="86"/>
      <c r="AP571" s="86"/>
      <c r="AQ571" s="86"/>
    </row>
    <row r="572">
      <c r="A572" s="86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6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6"/>
      <c r="AJ572" s="86"/>
      <c r="AK572" s="86"/>
      <c r="AL572" s="86"/>
      <c r="AM572" s="86"/>
      <c r="AN572" s="86"/>
      <c r="AO572" s="86"/>
      <c r="AP572" s="86"/>
      <c r="AQ572" s="86"/>
    </row>
    <row r="573">
      <c r="A573" s="86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6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6"/>
      <c r="AJ573" s="86"/>
      <c r="AK573" s="86"/>
      <c r="AL573" s="86"/>
      <c r="AM573" s="86"/>
      <c r="AN573" s="86"/>
      <c r="AO573" s="86"/>
      <c r="AP573" s="86"/>
      <c r="AQ573" s="86"/>
    </row>
    <row r="574">
      <c r="A574" s="86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6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6"/>
      <c r="AJ574" s="86"/>
      <c r="AK574" s="86"/>
      <c r="AL574" s="86"/>
      <c r="AM574" s="86"/>
      <c r="AN574" s="86"/>
      <c r="AO574" s="86"/>
      <c r="AP574" s="86"/>
      <c r="AQ574" s="86"/>
    </row>
    <row r="575">
      <c r="A575" s="86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6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6"/>
      <c r="AJ575" s="86"/>
      <c r="AK575" s="86"/>
      <c r="AL575" s="86"/>
      <c r="AM575" s="86"/>
      <c r="AN575" s="86"/>
      <c r="AO575" s="86"/>
      <c r="AP575" s="86"/>
      <c r="AQ575" s="86"/>
    </row>
    <row r="576">
      <c r="A576" s="86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6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6"/>
      <c r="AJ576" s="86"/>
      <c r="AK576" s="86"/>
      <c r="AL576" s="86"/>
      <c r="AM576" s="86"/>
      <c r="AN576" s="86"/>
      <c r="AO576" s="86"/>
      <c r="AP576" s="86"/>
      <c r="AQ576" s="86"/>
    </row>
    <row r="577">
      <c r="A577" s="86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6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6"/>
      <c r="AJ577" s="86"/>
      <c r="AK577" s="86"/>
      <c r="AL577" s="86"/>
      <c r="AM577" s="86"/>
      <c r="AN577" s="86"/>
      <c r="AO577" s="86"/>
      <c r="AP577" s="86"/>
      <c r="AQ577" s="86"/>
    </row>
    <row r="578">
      <c r="A578" s="86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6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6"/>
      <c r="AJ578" s="86"/>
      <c r="AK578" s="86"/>
      <c r="AL578" s="86"/>
      <c r="AM578" s="86"/>
      <c r="AN578" s="86"/>
      <c r="AO578" s="86"/>
      <c r="AP578" s="86"/>
      <c r="AQ578" s="86"/>
    </row>
    <row r="579">
      <c r="A579" s="86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6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6"/>
      <c r="AJ579" s="86"/>
      <c r="AK579" s="86"/>
      <c r="AL579" s="86"/>
      <c r="AM579" s="86"/>
      <c r="AN579" s="86"/>
      <c r="AO579" s="86"/>
      <c r="AP579" s="86"/>
      <c r="AQ579" s="86"/>
    </row>
    <row r="580">
      <c r="A580" s="86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6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6"/>
      <c r="AJ580" s="86"/>
      <c r="AK580" s="86"/>
      <c r="AL580" s="86"/>
      <c r="AM580" s="86"/>
      <c r="AN580" s="86"/>
      <c r="AO580" s="86"/>
      <c r="AP580" s="86"/>
      <c r="AQ580" s="86"/>
    </row>
    <row r="581">
      <c r="A581" s="86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6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6"/>
      <c r="AJ581" s="86"/>
      <c r="AK581" s="86"/>
      <c r="AL581" s="86"/>
      <c r="AM581" s="86"/>
      <c r="AN581" s="86"/>
      <c r="AO581" s="86"/>
      <c r="AP581" s="86"/>
      <c r="AQ581" s="86"/>
    </row>
    <row r="582">
      <c r="A582" s="86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6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6"/>
      <c r="AJ582" s="86"/>
      <c r="AK582" s="86"/>
      <c r="AL582" s="86"/>
      <c r="AM582" s="86"/>
      <c r="AN582" s="86"/>
      <c r="AO582" s="86"/>
      <c r="AP582" s="86"/>
      <c r="AQ582" s="86"/>
    </row>
    <row r="583">
      <c r="A583" s="86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6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6"/>
      <c r="AJ583" s="86"/>
      <c r="AK583" s="86"/>
      <c r="AL583" s="86"/>
      <c r="AM583" s="86"/>
      <c r="AN583" s="86"/>
      <c r="AO583" s="86"/>
      <c r="AP583" s="86"/>
      <c r="AQ583" s="86"/>
    </row>
    <row r="584">
      <c r="A584" s="86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6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6"/>
      <c r="AJ584" s="86"/>
      <c r="AK584" s="86"/>
      <c r="AL584" s="86"/>
      <c r="AM584" s="86"/>
      <c r="AN584" s="86"/>
      <c r="AO584" s="86"/>
      <c r="AP584" s="86"/>
      <c r="AQ584" s="86"/>
    </row>
    <row r="585">
      <c r="A585" s="86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6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6"/>
      <c r="AJ585" s="86"/>
      <c r="AK585" s="86"/>
      <c r="AL585" s="86"/>
      <c r="AM585" s="86"/>
      <c r="AN585" s="86"/>
      <c r="AO585" s="86"/>
      <c r="AP585" s="86"/>
      <c r="AQ585" s="86"/>
    </row>
    <row r="586">
      <c r="A586" s="86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6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6"/>
      <c r="AJ586" s="86"/>
      <c r="AK586" s="86"/>
      <c r="AL586" s="86"/>
      <c r="AM586" s="86"/>
      <c r="AN586" s="86"/>
      <c r="AO586" s="86"/>
      <c r="AP586" s="86"/>
      <c r="AQ586" s="86"/>
    </row>
    <row r="587">
      <c r="A587" s="86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6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6"/>
      <c r="AJ587" s="86"/>
      <c r="AK587" s="86"/>
      <c r="AL587" s="86"/>
      <c r="AM587" s="86"/>
      <c r="AN587" s="86"/>
      <c r="AO587" s="86"/>
      <c r="AP587" s="86"/>
      <c r="AQ587" s="86"/>
    </row>
    <row r="588">
      <c r="A588" s="86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6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6"/>
      <c r="AJ588" s="86"/>
      <c r="AK588" s="86"/>
      <c r="AL588" s="86"/>
      <c r="AM588" s="86"/>
      <c r="AN588" s="86"/>
      <c r="AO588" s="86"/>
      <c r="AP588" s="86"/>
      <c r="AQ588" s="86"/>
    </row>
    <row r="589">
      <c r="A589" s="86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6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6"/>
      <c r="AJ589" s="86"/>
      <c r="AK589" s="86"/>
      <c r="AL589" s="86"/>
      <c r="AM589" s="86"/>
      <c r="AN589" s="86"/>
      <c r="AO589" s="86"/>
      <c r="AP589" s="86"/>
      <c r="AQ589" s="86"/>
    </row>
    <row r="590">
      <c r="A590" s="86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6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6"/>
      <c r="AJ590" s="86"/>
      <c r="AK590" s="86"/>
      <c r="AL590" s="86"/>
      <c r="AM590" s="86"/>
      <c r="AN590" s="86"/>
      <c r="AO590" s="86"/>
      <c r="AP590" s="86"/>
      <c r="AQ590" s="86"/>
    </row>
    <row r="591">
      <c r="A591" s="86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6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6"/>
      <c r="AJ591" s="86"/>
      <c r="AK591" s="86"/>
      <c r="AL591" s="86"/>
      <c r="AM591" s="86"/>
      <c r="AN591" s="86"/>
      <c r="AO591" s="86"/>
      <c r="AP591" s="86"/>
      <c r="AQ591" s="86"/>
    </row>
    <row r="592">
      <c r="A592" s="86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6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6"/>
      <c r="AJ592" s="86"/>
      <c r="AK592" s="86"/>
      <c r="AL592" s="86"/>
      <c r="AM592" s="86"/>
      <c r="AN592" s="86"/>
      <c r="AO592" s="86"/>
      <c r="AP592" s="86"/>
      <c r="AQ592" s="86"/>
    </row>
    <row r="593">
      <c r="A593" s="86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6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6"/>
      <c r="AJ593" s="86"/>
      <c r="AK593" s="86"/>
      <c r="AL593" s="86"/>
      <c r="AM593" s="86"/>
      <c r="AN593" s="86"/>
      <c r="AO593" s="86"/>
      <c r="AP593" s="86"/>
      <c r="AQ593" s="86"/>
    </row>
    <row r="594">
      <c r="A594" s="86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6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6"/>
      <c r="AJ594" s="86"/>
      <c r="AK594" s="86"/>
      <c r="AL594" s="86"/>
      <c r="AM594" s="86"/>
      <c r="AN594" s="86"/>
      <c r="AO594" s="86"/>
      <c r="AP594" s="86"/>
      <c r="AQ594" s="86"/>
    </row>
    <row r="595">
      <c r="A595" s="86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6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6"/>
      <c r="AJ595" s="86"/>
      <c r="AK595" s="86"/>
      <c r="AL595" s="86"/>
      <c r="AM595" s="86"/>
      <c r="AN595" s="86"/>
      <c r="AO595" s="86"/>
      <c r="AP595" s="86"/>
      <c r="AQ595" s="86"/>
    </row>
    <row r="596">
      <c r="A596" s="86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6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6"/>
      <c r="AJ596" s="86"/>
      <c r="AK596" s="86"/>
      <c r="AL596" s="86"/>
      <c r="AM596" s="86"/>
      <c r="AN596" s="86"/>
      <c r="AO596" s="86"/>
      <c r="AP596" s="86"/>
      <c r="AQ596" s="86"/>
    </row>
    <row r="597">
      <c r="A597" s="86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6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6"/>
      <c r="AJ597" s="86"/>
      <c r="AK597" s="86"/>
      <c r="AL597" s="86"/>
      <c r="AM597" s="86"/>
      <c r="AN597" s="86"/>
      <c r="AO597" s="86"/>
      <c r="AP597" s="86"/>
      <c r="AQ597" s="86"/>
    </row>
    <row r="598">
      <c r="A598" s="86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6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6"/>
      <c r="AJ598" s="86"/>
      <c r="AK598" s="86"/>
      <c r="AL598" s="86"/>
      <c r="AM598" s="86"/>
      <c r="AN598" s="86"/>
      <c r="AO598" s="86"/>
      <c r="AP598" s="86"/>
      <c r="AQ598" s="86"/>
    </row>
    <row r="599">
      <c r="A599" s="86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6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6"/>
      <c r="AJ599" s="86"/>
      <c r="AK599" s="86"/>
      <c r="AL599" s="86"/>
      <c r="AM599" s="86"/>
      <c r="AN599" s="86"/>
      <c r="AO599" s="86"/>
      <c r="AP599" s="86"/>
      <c r="AQ599" s="86"/>
    </row>
    <row r="600">
      <c r="A600" s="86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6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6"/>
      <c r="AJ600" s="86"/>
      <c r="AK600" s="86"/>
      <c r="AL600" s="86"/>
      <c r="AM600" s="86"/>
      <c r="AN600" s="86"/>
      <c r="AO600" s="86"/>
      <c r="AP600" s="86"/>
      <c r="AQ600" s="86"/>
    </row>
    <row r="601">
      <c r="A601" s="86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6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6"/>
      <c r="AJ601" s="86"/>
      <c r="AK601" s="86"/>
      <c r="AL601" s="86"/>
      <c r="AM601" s="86"/>
      <c r="AN601" s="86"/>
      <c r="AO601" s="86"/>
      <c r="AP601" s="86"/>
      <c r="AQ601" s="86"/>
    </row>
    <row r="602">
      <c r="A602" s="86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6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6"/>
      <c r="AJ602" s="86"/>
      <c r="AK602" s="86"/>
      <c r="AL602" s="86"/>
      <c r="AM602" s="86"/>
      <c r="AN602" s="86"/>
      <c r="AO602" s="86"/>
      <c r="AP602" s="86"/>
      <c r="AQ602" s="86"/>
    </row>
    <row r="603">
      <c r="A603" s="86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6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6"/>
      <c r="AJ603" s="86"/>
      <c r="AK603" s="86"/>
      <c r="AL603" s="86"/>
      <c r="AM603" s="86"/>
      <c r="AN603" s="86"/>
      <c r="AO603" s="86"/>
      <c r="AP603" s="86"/>
      <c r="AQ603" s="86"/>
    </row>
    <row r="604">
      <c r="A604" s="86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6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6"/>
      <c r="AJ604" s="86"/>
      <c r="AK604" s="86"/>
      <c r="AL604" s="86"/>
      <c r="AM604" s="86"/>
      <c r="AN604" s="86"/>
      <c r="AO604" s="86"/>
      <c r="AP604" s="86"/>
      <c r="AQ604" s="86"/>
    </row>
    <row r="605">
      <c r="A605" s="86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6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6"/>
      <c r="AJ605" s="86"/>
      <c r="AK605" s="86"/>
      <c r="AL605" s="86"/>
      <c r="AM605" s="86"/>
      <c r="AN605" s="86"/>
      <c r="AO605" s="86"/>
      <c r="AP605" s="86"/>
      <c r="AQ605" s="86"/>
    </row>
    <row r="606">
      <c r="A606" s="86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6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6"/>
      <c r="AJ606" s="86"/>
      <c r="AK606" s="86"/>
      <c r="AL606" s="86"/>
      <c r="AM606" s="86"/>
      <c r="AN606" s="86"/>
      <c r="AO606" s="86"/>
      <c r="AP606" s="86"/>
      <c r="AQ606" s="86"/>
    </row>
    <row r="607">
      <c r="A607" s="86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6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6"/>
      <c r="AJ607" s="86"/>
      <c r="AK607" s="86"/>
      <c r="AL607" s="86"/>
      <c r="AM607" s="86"/>
      <c r="AN607" s="86"/>
      <c r="AO607" s="86"/>
      <c r="AP607" s="86"/>
      <c r="AQ607" s="86"/>
    </row>
    <row r="608">
      <c r="A608" s="86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6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6"/>
      <c r="AJ608" s="86"/>
      <c r="AK608" s="86"/>
      <c r="AL608" s="86"/>
      <c r="AM608" s="86"/>
      <c r="AN608" s="86"/>
      <c r="AO608" s="86"/>
      <c r="AP608" s="86"/>
      <c r="AQ608" s="86"/>
    </row>
    <row r="609">
      <c r="A609" s="86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6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6"/>
      <c r="AJ609" s="86"/>
      <c r="AK609" s="86"/>
      <c r="AL609" s="86"/>
      <c r="AM609" s="86"/>
      <c r="AN609" s="86"/>
      <c r="AO609" s="86"/>
      <c r="AP609" s="86"/>
      <c r="AQ609" s="86"/>
    </row>
    <row r="610">
      <c r="A610" s="86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6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6"/>
      <c r="AJ610" s="86"/>
      <c r="AK610" s="86"/>
      <c r="AL610" s="86"/>
      <c r="AM610" s="86"/>
      <c r="AN610" s="86"/>
      <c r="AO610" s="86"/>
      <c r="AP610" s="86"/>
      <c r="AQ610" s="86"/>
    </row>
    <row r="611">
      <c r="A611" s="86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6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6"/>
      <c r="AJ611" s="86"/>
      <c r="AK611" s="86"/>
      <c r="AL611" s="86"/>
      <c r="AM611" s="86"/>
      <c r="AN611" s="86"/>
      <c r="AO611" s="86"/>
      <c r="AP611" s="86"/>
      <c r="AQ611" s="86"/>
    </row>
    <row r="612">
      <c r="A612" s="86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6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6"/>
      <c r="AJ612" s="86"/>
      <c r="AK612" s="86"/>
      <c r="AL612" s="86"/>
      <c r="AM612" s="86"/>
      <c r="AN612" s="86"/>
      <c r="AO612" s="86"/>
      <c r="AP612" s="86"/>
      <c r="AQ612" s="86"/>
    </row>
    <row r="613">
      <c r="A613" s="86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6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6"/>
      <c r="AJ613" s="86"/>
      <c r="AK613" s="86"/>
      <c r="AL613" s="86"/>
      <c r="AM613" s="86"/>
      <c r="AN613" s="86"/>
      <c r="AO613" s="86"/>
      <c r="AP613" s="86"/>
      <c r="AQ613" s="86"/>
    </row>
    <row r="614">
      <c r="A614" s="86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6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6"/>
      <c r="AJ614" s="86"/>
      <c r="AK614" s="86"/>
      <c r="AL614" s="86"/>
      <c r="AM614" s="86"/>
      <c r="AN614" s="86"/>
      <c r="AO614" s="86"/>
      <c r="AP614" s="86"/>
      <c r="AQ614" s="86"/>
    </row>
    <row r="615">
      <c r="A615" s="86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6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6"/>
      <c r="AJ615" s="86"/>
      <c r="AK615" s="86"/>
      <c r="AL615" s="86"/>
      <c r="AM615" s="86"/>
      <c r="AN615" s="86"/>
      <c r="AO615" s="86"/>
      <c r="AP615" s="86"/>
      <c r="AQ615" s="86"/>
    </row>
    <row r="616">
      <c r="A616" s="86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6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6"/>
      <c r="AJ616" s="86"/>
      <c r="AK616" s="86"/>
      <c r="AL616" s="86"/>
      <c r="AM616" s="86"/>
      <c r="AN616" s="86"/>
      <c r="AO616" s="86"/>
      <c r="AP616" s="86"/>
      <c r="AQ616" s="86"/>
    </row>
    <row r="617">
      <c r="A617" s="86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6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6"/>
      <c r="AJ617" s="86"/>
      <c r="AK617" s="86"/>
      <c r="AL617" s="86"/>
      <c r="AM617" s="86"/>
      <c r="AN617" s="86"/>
      <c r="AO617" s="86"/>
      <c r="AP617" s="86"/>
      <c r="AQ617" s="86"/>
    </row>
    <row r="618">
      <c r="A618" s="86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6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6"/>
      <c r="AJ618" s="86"/>
      <c r="AK618" s="86"/>
      <c r="AL618" s="86"/>
      <c r="AM618" s="86"/>
      <c r="AN618" s="86"/>
      <c r="AO618" s="86"/>
      <c r="AP618" s="86"/>
      <c r="AQ618" s="86"/>
    </row>
    <row r="619">
      <c r="A619" s="86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6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6"/>
      <c r="AJ619" s="86"/>
      <c r="AK619" s="86"/>
      <c r="AL619" s="86"/>
      <c r="AM619" s="86"/>
      <c r="AN619" s="86"/>
      <c r="AO619" s="86"/>
      <c r="AP619" s="86"/>
      <c r="AQ619" s="86"/>
    </row>
    <row r="620">
      <c r="A620" s="86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6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6"/>
      <c r="AJ620" s="86"/>
      <c r="AK620" s="86"/>
      <c r="AL620" s="86"/>
      <c r="AM620" s="86"/>
      <c r="AN620" s="86"/>
      <c r="AO620" s="86"/>
      <c r="AP620" s="86"/>
      <c r="AQ620" s="86"/>
    </row>
    <row r="621">
      <c r="A621" s="86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6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6"/>
      <c r="AJ621" s="86"/>
      <c r="AK621" s="86"/>
      <c r="AL621" s="86"/>
      <c r="AM621" s="86"/>
      <c r="AN621" s="86"/>
      <c r="AO621" s="86"/>
      <c r="AP621" s="86"/>
      <c r="AQ621" s="86"/>
    </row>
    <row r="622">
      <c r="A622" s="86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6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6"/>
      <c r="AJ622" s="86"/>
      <c r="AK622" s="86"/>
      <c r="AL622" s="86"/>
      <c r="AM622" s="86"/>
      <c r="AN622" s="86"/>
      <c r="AO622" s="86"/>
      <c r="AP622" s="86"/>
      <c r="AQ622" s="86"/>
    </row>
    <row r="623">
      <c r="A623" s="86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6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6"/>
      <c r="AJ623" s="86"/>
      <c r="AK623" s="86"/>
      <c r="AL623" s="86"/>
      <c r="AM623" s="86"/>
      <c r="AN623" s="86"/>
      <c r="AO623" s="86"/>
      <c r="AP623" s="86"/>
      <c r="AQ623" s="86"/>
    </row>
    <row r="624">
      <c r="A624" s="86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6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6"/>
      <c r="AJ624" s="86"/>
      <c r="AK624" s="86"/>
      <c r="AL624" s="86"/>
      <c r="AM624" s="86"/>
      <c r="AN624" s="86"/>
      <c r="AO624" s="86"/>
      <c r="AP624" s="86"/>
      <c r="AQ624" s="86"/>
    </row>
    <row r="625">
      <c r="A625" s="86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6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6"/>
      <c r="AJ625" s="86"/>
      <c r="AK625" s="86"/>
      <c r="AL625" s="86"/>
      <c r="AM625" s="86"/>
      <c r="AN625" s="86"/>
      <c r="AO625" s="86"/>
      <c r="AP625" s="86"/>
      <c r="AQ625" s="86"/>
    </row>
    <row r="626">
      <c r="A626" s="86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6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6"/>
      <c r="AJ626" s="86"/>
      <c r="AK626" s="86"/>
      <c r="AL626" s="86"/>
      <c r="AM626" s="86"/>
      <c r="AN626" s="86"/>
      <c r="AO626" s="86"/>
      <c r="AP626" s="86"/>
      <c r="AQ626" s="86"/>
    </row>
    <row r="627">
      <c r="A627" s="86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6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6"/>
      <c r="AJ627" s="86"/>
      <c r="AK627" s="86"/>
      <c r="AL627" s="86"/>
      <c r="AM627" s="86"/>
      <c r="AN627" s="86"/>
      <c r="AO627" s="86"/>
      <c r="AP627" s="86"/>
      <c r="AQ627" s="86"/>
    </row>
    <row r="628">
      <c r="A628" s="86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6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6"/>
      <c r="AJ628" s="86"/>
      <c r="AK628" s="86"/>
      <c r="AL628" s="86"/>
      <c r="AM628" s="86"/>
      <c r="AN628" s="86"/>
      <c r="AO628" s="86"/>
      <c r="AP628" s="86"/>
      <c r="AQ628" s="86"/>
    </row>
    <row r="629">
      <c r="A629" s="86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6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6"/>
      <c r="AJ629" s="86"/>
      <c r="AK629" s="86"/>
      <c r="AL629" s="86"/>
      <c r="AM629" s="86"/>
      <c r="AN629" s="86"/>
      <c r="AO629" s="86"/>
      <c r="AP629" s="86"/>
      <c r="AQ629" s="86"/>
    </row>
    <row r="630">
      <c r="A630" s="86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6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6"/>
      <c r="AJ630" s="86"/>
      <c r="AK630" s="86"/>
      <c r="AL630" s="86"/>
      <c r="AM630" s="86"/>
      <c r="AN630" s="86"/>
      <c r="AO630" s="86"/>
      <c r="AP630" s="86"/>
      <c r="AQ630" s="86"/>
    </row>
    <row r="631">
      <c r="A631" s="86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6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6"/>
      <c r="AJ631" s="86"/>
      <c r="AK631" s="86"/>
      <c r="AL631" s="86"/>
      <c r="AM631" s="86"/>
      <c r="AN631" s="86"/>
      <c r="AO631" s="86"/>
      <c r="AP631" s="86"/>
      <c r="AQ631" s="86"/>
    </row>
    <row r="632">
      <c r="A632" s="86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6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6"/>
      <c r="AJ632" s="86"/>
      <c r="AK632" s="86"/>
      <c r="AL632" s="86"/>
      <c r="AM632" s="86"/>
      <c r="AN632" s="86"/>
      <c r="AO632" s="86"/>
      <c r="AP632" s="86"/>
      <c r="AQ632" s="86"/>
    </row>
    <row r="633">
      <c r="A633" s="86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6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6"/>
      <c r="AJ633" s="86"/>
      <c r="AK633" s="86"/>
      <c r="AL633" s="86"/>
      <c r="AM633" s="86"/>
      <c r="AN633" s="86"/>
      <c r="AO633" s="86"/>
      <c r="AP633" s="86"/>
      <c r="AQ633" s="86"/>
    </row>
    <row r="634">
      <c r="A634" s="86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6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6"/>
      <c r="AJ634" s="86"/>
      <c r="AK634" s="86"/>
      <c r="AL634" s="86"/>
      <c r="AM634" s="86"/>
      <c r="AN634" s="86"/>
      <c r="AO634" s="86"/>
      <c r="AP634" s="86"/>
      <c r="AQ634" s="86"/>
    </row>
    <row r="635">
      <c r="A635" s="86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6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6"/>
      <c r="AJ635" s="86"/>
      <c r="AK635" s="86"/>
      <c r="AL635" s="86"/>
      <c r="AM635" s="86"/>
      <c r="AN635" s="86"/>
      <c r="AO635" s="86"/>
      <c r="AP635" s="86"/>
      <c r="AQ635" s="86"/>
    </row>
    <row r="636">
      <c r="A636" s="86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6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6"/>
      <c r="AJ636" s="86"/>
      <c r="AK636" s="86"/>
      <c r="AL636" s="86"/>
      <c r="AM636" s="86"/>
      <c r="AN636" s="86"/>
      <c r="AO636" s="86"/>
      <c r="AP636" s="86"/>
      <c r="AQ636" s="86"/>
    </row>
    <row r="637">
      <c r="A637" s="86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6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6"/>
      <c r="AJ637" s="86"/>
      <c r="AK637" s="86"/>
      <c r="AL637" s="86"/>
      <c r="AM637" s="86"/>
      <c r="AN637" s="86"/>
      <c r="AO637" s="86"/>
      <c r="AP637" s="86"/>
      <c r="AQ637" s="86"/>
    </row>
    <row r="638">
      <c r="A638" s="86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6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6"/>
      <c r="AJ638" s="86"/>
      <c r="AK638" s="86"/>
      <c r="AL638" s="86"/>
      <c r="AM638" s="86"/>
      <c r="AN638" s="86"/>
      <c r="AO638" s="86"/>
      <c r="AP638" s="86"/>
      <c r="AQ638" s="86"/>
    </row>
    <row r="639">
      <c r="A639" s="86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6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6"/>
      <c r="AJ639" s="86"/>
      <c r="AK639" s="86"/>
      <c r="AL639" s="86"/>
      <c r="AM639" s="86"/>
      <c r="AN639" s="86"/>
      <c r="AO639" s="86"/>
      <c r="AP639" s="86"/>
      <c r="AQ639" s="86"/>
    </row>
    <row r="640">
      <c r="A640" s="86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6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6"/>
      <c r="AJ640" s="86"/>
      <c r="AK640" s="86"/>
      <c r="AL640" s="86"/>
      <c r="AM640" s="86"/>
      <c r="AN640" s="86"/>
      <c r="AO640" s="86"/>
      <c r="AP640" s="86"/>
      <c r="AQ640" s="86"/>
    </row>
    <row r="641">
      <c r="A641" s="86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6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6"/>
      <c r="AJ641" s="86"/>
      <c r="AK641" s="86"/>
      <c r="AL641" s="86"/>
      <c r="AM641" s="86"/>
      <c r="AN641" s="86"/>
      <c r="AO641" s="86"/>
      <c r="AP641" s="86"/>
      <c r="AQ641" s="86"/>
    </row>
    <row r="642">
      <c r="A642" s="86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6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6"/>
      <c r="AJ642" s="86"/>
      <c r="AK642" s="86"/>
      <c r="AL642" s="86"/>
      <c r="AM642" s="86"/>
      <c r="AN642" s="86"/>
      <c r="AO642" s="86"/>
      <c r="AP642" s="86"/>
      <c r="AQ642" s="86"/>
    </row>
    <row r="643">
      <c r="A643" s="86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6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6"/>
      <c r="AJ643" s="86"/>
      <c r="AK643" s="86"/>
      <c r="AL643" s="86"/>
      <c r="AM643" s="86"/>
      <c r="AN643" s="86"/>
      <c r="AO643" s="86"/>
      <c r="AP643" s="86"/>
      <c r="AQ643" s="86"/>
    </row>
    <row r="644">
      <c r="A644" s="86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6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6"/>
      <c r="AJ644" s="86"/>
      <c r="AK644" s="86"/>
      <c r="AL644" s="86"/>
      <c r="AM644" s="86"/>
      <c r="AN644" s="86"/>
      <c r="AO644" s="86"/>
      <c r="AP644" s="86"/>
      <c r="AQ644" s="86"/>
    </row>
    <row r="645">
      <c r="A645" s="86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6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6"/>
      <c r="AJ645" s="86"/>
      <c r="AK645" s="86"/>
      <c r="AL645" s="86"/>
      <c r="AM645" s="86"/>
      <c r="AN645" s="86"/>
      <c r="AO645" s="86"/>
      <c r="AP645" s="86"/>
      <c r="AQ645" s="86"/>
    </row>
    <row r="646">
      <c r="A646" s="86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6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6"/>
      <c r="AJ646" s="86"/>
      <c r="AK646" s="86"/>
      <c r="AL646" s="86"/>
      <c r="AM646" s="86"/>
      <c r="AN646" s="86"/>
      <c r="AO646" s="86"/>
      <c r="AP646" s="86"/>
      <c r="AQ646" s="86"/>
    </row>
    <row r="647">
      <c r="A647" s="86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6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6"/>
      <c r="AJ647" s="86"/>
      <c r="AK647" s="86"/>
      <c r="AL647" s="86"/>
      <c r="AM647" s="86"/>
      <c r="AN647" s="86"/>
      <c r="AO647" s="86"/>
      <c r="AP647" s="86"/>
      <c r="AQ647" s="86"/>
    </row>
    <row r="648">
      <c r="A648" s="86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6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6"/>
      <c r="AJ648" s="86"/>
      <c r="AK648" s="86"/>
      <c r="AL648" s="86"/>
      <c r="AM648" s="86"/>
      <c r="AN648" s="86"/>
      <c r="AO648" s="86"/>
      <c r="AP648" s="86"/>
      <c r="AQ648" s="86"/>
    </row>
    <row r="649">
      <c r="A649" s="86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6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6"/>
      <c r="AJ649" s="86"/>
      <c r="AK649" s="86"/>
      <c r="AL649" s="86"/>
      <c r="AM649" s="86"/>
      <c r="AN649" s="86"/>
      <c r="AO649" s="86"/>
      <c r="AP649" s="86"/>
      <c r="AQ649" s="86"/>
    </row>
    <row r="650">
      <c r="A650" s="86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6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6"/>
      <c r="AJ650" s="86"/>
      <c r="AK650" s="86"/>
      <c r="AL650" s="86"/>
      <c r="AM650" s="86"/>
      <c r="AN650" s="86"/>
      <c r="AO650" s="86"/>
      <c r="AP650" s="86"/>
      <c r="AQ650" s="86"/>
    </row>
    <row r="651">
      <c r="A651" s="86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6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6"/>
      <c r="AJ651" s="86"/>
      <c r="AK651" s="86"/>
      <c r="AL651" s="86"/>
      <c r="AM651" s="86"/>
      <c r="AN651" s="86"/>
      <c r="AO651" s="86"/>
      <c r="AP651" s="86"/>
      <c r="AQ651" s="86"/>
    </row>
    <row r="652">
      <c r="A652" s="86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6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6"/>
      <c r="AJ652" s="86"/>
      <c r="AK652" s="86"/>
      <c r="AL652" s="86"/>
      <c r="AM652" s="86"/>
      <c r="AN652" s="86"/>
      <c r="AO652" s="86"/>
      <c r="AP652" s="86"/>
      <c r="AQ652" s="86"/>
    </row>
    <row r="653">
      <c r="A653" s="86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6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6"/>
      <c r="AJ653" s="86"/>
      <c r="AK653" s="86"/>
      <c r="AL653" s="86"/>
      <c r="AM653" s="86"/>
      <c r="AN653" s="86"/>
      <c r="AO653" s="86"/>
      <c r="AP653" s="86"/>
      <c r="AQ653" s="86"/>
    </row>
    <row r="654">
      <c r="A654" s="86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6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6"/>
      <c r="AJ654" s="86"/>
      <c r="AK654" s="86"/>
      <c r="AL654" s="86"/>
      <c r="AM654" s="86"/>
      <c r="AN654" s="86"/>
      <c r="AO654" s="86"/>
      <c r="AP654" s="86"/>
      <c r="AQ654" s="86"/>
    </row>
    <row r="655">
      <c r="A655" s="86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6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6"/>
      <c r="AJ655" s="86"/>
      <c r="AK655" s="86"/>
      <c r="AL655" s="86"/>
      <c r="AM655" s="86"/>
      <c r="AN655" s="86"/>
      <c r="AO655" s="86"/>
      <c r="AP655" s="86"/>
      <c r="AQ655" s="86"/>
    </row>
    <row r="656">
      <c r="A656" s="86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6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6"/>
      <c r="AJ656" s="86"/>
      <c r="AK656" s="86"/>
      <c r="AL656" s="86"/>
      <c r="AM656" s="86"/>
      <c r="AN656" s="86"/>
      <c r="AO656" s="86"/>
      <c r="AP656" s="86"/>
      <c r="AQ656" s="86"/>
    </row>
    <row r="657">
      <c r="A657" s="86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6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6"/>
      <c r="AJ657" s="86"/>
      <c r="AK657" s="86"/>
      <c r="AL657" s="86"/>
      <c r="AM657" s="86"/>
      <c r="AN657" s="86"/>
      <c r="AO657" s="86"/>
      <c r="AP657" s="86"/>
      <c r="AQ657" s="86"/>
    </row>
    <row r="658">
      <c r="A658" s="86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6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6"/>
      <c r="AJ658" s="86"/>
      <c r="AK658" s="86"/>
      <c r="AL658" s="86"/>
      <c r="AM658" s="86"/>
      <c r="AN658" s="86"/>
      <c r="AO658" s="86"/>
      <c r="AP658" s="86"/>
      <c r="AQ658" s="86"/>
    </row>
    <row r="659">
      <c r="A659" s="86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6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6"/>
      <c r="AJ659" s="86"/>
      <c r="AK659" s="86"/>
      <c r="AL659" s="86"/>
      <c r="AM659" s="86"/>
      <c r="AN659" s="86"/>
      <c r="AO659" s="86"/>
      <c r="AP659" s="86"/>
      <c r="AQ659" s="86"/>
    </row>
    <row r="660">
      <c r="A660" s="86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6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6"/>
      <c r="AJ660" s="86"/>
      <c r="AK660" s="86"/>
      <c r="AL660" s="86"/>
      <c r="AM660" s="86"/>
      <c r="AN660" s="86"/>
      <c r="AO660" s="86"/>
      <c r="AP660" s="86"/>
      <c r="AQ660" s="86"/>
    </row>
    <row r="661">
      <c r="A661" s="86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6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6"/>
      <c r="AJ661" s="86"/>
      <c r="AK661" s="86"/>
      <c r="AL661" s="86"/>
      <c r="AM661" s="86"/>
      <c r="AN661" s="86"/>
      <c r="AO661" s="86"/>
      <c r="AP661" s="86"/>
      <c r="AQ661" s="86"/>
    </row>
    <row r="662">
      <c r="A662" s="86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6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6"/>
      <c r="AJ662" s="86"/>
      <c r="AK662" s="86"/>
      <c r="AL662" s="86"/>
      <c r="AM662" s="86"/>
      <c r="AN662" s="86"/>
      <c r="AO662" s="86"/>
      <c r="AP662" s="86"/>
      <c r="AQ662" s="86"/>
    </row>
    <row r="663">
      <c r="A663" s="86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6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6"/>
      <c r="AJ663" s="86"/>
      <c r="AK663" s="86"/>
      <c r="AL663" s="86"/>
      <c r="AM663" s="86"/>
      <c r="AN663" s="86"/>
      <c r="AO663" s="86"/>
      <c r="AP663" s="86"/>
      <c r="AQ663" s="86"/>
    </row>
    <row r="664">
      <c r="A664" s="86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6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6"/>
      <c r="AJ664" s="86"/>
      <c r="AK664" s="86"/>
      <c r="AL664" s="86"/>
      <c r="AM664" s="86"/>
      <c r="AN664" s="86"/>
      <c r="AO664" s="86"/>
      <c r="AP664" s="86"/>
      <c r="AQ664" s="86"/>
    </row>
    <row r="665">
      <c r="A665" s="86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6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6"/>
      <c r="AJ665" s="86"/>
      <c r="AK665" s="86"/>
      <c r="AL665" s="86"/>
      <c r="AM665" s="86"/>
      <c r="AN665" s="86"/>
      <c r="AO665" s="86"/>
      <c r="AP665" s="86"/>
      <c r="AQ665" s="86"/>
    </row>
    <row r="666">
      <c r="A666" s="86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6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6"/>
      <c r="AJ666" s="86"/>
      <c r="AK666" s="86"/>
      <c r="AL666" s="86"/>
      <c r="AM666" s="86"/>
      <c r="AN666" s="86"/>
      <c r="AO666" s="86"/>
      <c r="AP666" s="86"/>
      <c r="AQ666" s="86"/>
    </row>
    <row r="667">
      <c r="A667" s="86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6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6"/>
      <c r="AJ667" s="86"/>
      <c r="AK667" s="86"/>
      <c r="AL667" s="86"/>
      <c r="AM667" s="86"/>
      <c r="AN667" s="86"/>
      <c r="AO667" s="86"/>
      <c r="AP667" s="86"/>
      <c r="AQ667" s="86"/>
    </row>
    <row r="668">
      <c r="A668" s="86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6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6"/>
      <c r="AJ668" s="86"/>
      <c r="AK668" s="86"/>
      <c r="AL668" s="86"/>
      <c r="AM668" s="86"/>
      <c r="AN668" s="86"/>
      <c r="AO668" s="86"/>
      <c r="AP668" s="86"/>
      <c r="AQ668" s="86"/>
    </row>
    <row r="669">
      <c r="A669" s="86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6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6"/>
      <c r="AJ669" s="86"/>
      <c r="AK669" s="86"/>
      <c r="AL669" s="86"/>
      <c r="AM669" s="86"/>
      <c r="AN669" s="86"/>
      <c r="AO669" s="86"/>
      <c r="AP669" s="86"/>
      <c r="AQ669" s="86"/>
    </row>
    <row r="670">
      <c r="A670" s="86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6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6"/>
      <c r="AJ670" s="86"/>
      <c r="AK670" s="86"/>
      <c r="AL670" s="86"/>
      <c r="AM670" s="86"/>
      <c r="AN670" s="86"/>
      <c r="AO670" s="86"/>
      <c r="AP670" s="86"/>
      <c r="AQ670" s="86"/>
    </row>
    <row r="671">
      <c r="A671" s="86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6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6"/>
      <c r="AJ671" s="86"/>
      <c r="AK671" s="86"/>
      <c r="AL671" s="86"/>
      <c r="AM671" s="86"/>
      <c r="AN671" s="86"/>
      <c r="AO671" s="86"/>
      <c r="AP671" s="86"/>
      <c r="AQ671" s="86"/>
    </row>
    <row r="672">
      <c r="A672" s="86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6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6"/>
      <c r="AJ672" s="86"/>
      <c r="AK672" s="86"/>
      <c r="AL672" s="86"/>
      <c r="AM672" s="86"/>
      <c r="AN672" s="86"/>
      <c r="AO672" s="86"/>
      <c r="AP672" s="86"/>
      <c r="AQ672" s="86"/>
    </row>
    <row r="673">
      <c r="A673" s="86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6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6"/>
      <c r="AJ673" s="86"/>
      <c r="AK673" s="86"/>
      <c r="AL673" s="86"/>
      <c r="AM673" s="86"/>
      <c r="AN673" s="86"/>
      <c r="AO673" s="86"/>
      <c r="AP673" s="86"/>
      <c r="AQ673" s="86"/>
    </row>
    <row r="674">
      <c r="A674" s="86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6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6"/>
      <c r="AJ674" s="86"/>
      <c r="AK674" s="86"/>
      <c r="AL674" s="86"/>
      <c r="AM674" s="86"/>
      <c r="AN674" s="86"/>
      <c r="AO674" s="86"/>
      <c r="AP674" s="86"/>
      <c r="AQ674" s="86"/>
    </row>
    <row r="675">
      <c r="A675" s="86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6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6"/>
      <c r="AJ675" s="86"/>
      <c r="AK675" s="86"/>
      <c r="AL675" s="86"/>
      <c r="AM675" s="86"/>
      <c r="AN675" s="86"/>
      <c r="AO675" s="86"/>
      <c r="AP675" s="86"/>
      <c r="AQ675" s="86"/>
    </row>
    <row r="676">
      <c r="A676" s="86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6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6"/>
      <c r="AJ676" s="86"/>
      <c r="AK676" s="86"/>
      <c r="AL676" s="86"/>
      <c r="AM676" s="86"/>
      <c r="AN676" s="86"/>
      <c r="AO676" s="86"/>
      <c r="AP676" s="86"/>
      <c r="AQ676" s="86"/>
    </row>
    <row r="677">
      <c r="A677" s="86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6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6"/>
      <c r="AJ677" s="86"/>
      <c r="AK677" s="86"/>
      <c r="AL677" s="86"/>
      <c r="AM677" s="86"/>
      <c r="AN677" s="86"/>
      <c r="AO677" s="86"/>
      <c r="AP677" s="86"/>
      <c r="AQ677" s="86"/>
    </row>
    <row r="678">
      <c r="A678" s="86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6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6"/>
      <c r="AJ678" s="86"/>
      <c r="AK678" s="86"/>
      <c r="AL678" s="86"/>
      <c r="AM678" s="86"/>
      <c r="AN678" s="86"/>
      <c r="AO678" s="86"/>
      <c r="AP678" s="86"/>
      <c r="AQ678" s="86"/>
    </row>
    <row r="679">
      <c r="A679" s="86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6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6"/>
      <c r="AJ679" s="86"/>
      <c r="AK679" s="86"/>
      <c r="AL679" s="86"/>
      <c r="AM679" s="86"/>
      <c r="AN679" s="86"/>
      <c r="AO679" s="86"/>
      <c r="AP679" s="86"/>
      <c r="AQ679" s="86"/>
    </row>
    <row r="680">
      <c r="A680" s="86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6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6"/>
      <c r="AJ680" s="86"/>
      <c r="AK680" s="86"/>
      <c r="AL680" s="86"/>
      <c r="AM680" s="86"/>
      <c r="AN680" s="86"/>
      <c r="AO680" s="86"/>
      <c r="AP680" s="86"/>
      <c r="AQ680" s="86"/>
    </row>
    <row r="681">
      <c r="A681" s="86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6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6"/>
      <c r="AJ681" s="86"/>
      <c r="AK681" s="86"/>
      <c r="AL681" s="86"/>
      <c r="AM681" s="86"/>
      <c r="AN681" s="86"/>
      <c r="AO681" s="86"/>
      <c r="AP681" s="86"/>
      <c r="AQ681" s="86"/>
    </row>
    <row r="682">
      <c r="A682" s="86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6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6"/>
      <c r="AJ682" s="86"/>
      <c r="AK682" s="86"/>
      <c r="AL682" s="86"/>
      <c r="AM682" s="86"/>
      <c r="AN682" s="86"/>
      <c r="AO682" s="86"/>
      <c r="AP682" s="86"/>
      <c r="AQ682" s="86"/>
    </row>
    <row r="683">
      <c r="A683" s="86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6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6"/>
      <c r="AJ683" s="86"/>
      <c r="AK683" s="86"/>
      <c r="AL683" s="86"/>
      <c r="AM683" s="86"/>
      <c r="AN683" s="86"/>
      <c r="AO683" s="86"/>
      <c r="AP683" s="86"/>
      <c r="AQ683" s="86"/>
    </row>
    <row r="684">
      <c r="A684" s="86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6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6"/>
      <c r="AJ684" s="86"/>
      <c r="AK684" s="86"/>
      <c r="AL684" s="86"/>
      <c r="AM684" s="86"/>
      <c r="AN684" s="86"/>
      <c r="AO684" s="86"/>
      <c r="AP684" s="86"/>
      <c r="AQ684" s="86"/>
    </row>
    <row r="685">
      <c r="A685" s="86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6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6"/>
      <c r="AJ685" s="86"/>
      <c r="AK685" s="86"/>
      <c r="AL685" s="86"/>
      <c r="AM685" s="86"/>
      <c r="AN685" s="86"/>
      <c r="AO685" s="86"/>
      <c r="AP685" s="86"/>
      <c r="AQ685" s="86"/>
    </row>
    <row r="686">
      <c r="A686" s="86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6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6"/>
      <c r="AJ686" s="86"/>
      <c r="AK686" s="86"/>
      <c r="AL686" s="86"/>
      <c r="AM686" s="86"/>
      <c r="AN686" s="86"/>
      <c r="AO686" s="86"/>
      <c r="AP686" s="86"/>
      <c r="AQ686" s="86"/>
    </row>
    <row r="687">
      <c r="A687" s="86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6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6"/>
      <c r="AJ687" s="86"/>
      <c r="AK687" s="86"/>
      <c r="AL687" s="86"/>
      <c r="AM687" s="86"/>
      <c r="AN687" s="86"/>
      <c r="AO687" s="86"/>
      <c r="AP687" s="86"/>
      <c r="AQ687" s="86"/>
    </row>
    <row r="688">
      <c r="A688" s="86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6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6"/>
      <c r="AJ688" s="86"/>
      <c r="AK688" s="86"/>
      <c r="AL688" s="86"/>
      <c r="AM688" s="86"/>
      <c r="AN688" s="86"/>
      <c r="AO688" s="86"/>
      <c r="AP688" s="86"/>
      <c r="AQ688" s="86"/>
    </row>
    <row r="689">
      <c r="A689" s="86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6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6"/>
      <c r="AJ689" s="86"/>
      <c r="AK689" s="86"/>
      <c r="AL689" s="86"/>
      <c r="AM689" s="86"/>
      <c r="AN689" s="86"/>
      <c r="AO689" s="86"/>
      <c r="AP689" s="86"/>
      <c r="AQ689" s="86"/>
    </row>
    <row r="690">
      <c r="A690" s="86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6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6"/>
      <c r="AJ690" s="86"/>
      <c r="AK690" s="86"/>
      <c r="AL690" s="86"/>
      <c r="AM690" s="86"/>
      <c r="AN690" s="86"/>
      <c r="AO690" s="86"/>
      <c r="AP690" s="86"/>
      <c r="AQ690" s="86"/>
    </row>
    <row r="691">
      <c r="A691" s="86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6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6"/>
      <c r="AJ691" s="86"/>
      <c r="AK691" s="86"/>
      <c r="AL691" s="86"/>
      <c r="AM691" s="86"/>
      <c r="AN691" s="86"/>
      <c r="AO691" s="86"/>
      <c r="AP691" s="86"/>
      <c r="AQ691" s="86"/>
    </row>
    <row r="692">
      <c r="A692" s="86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6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6"/>
      <c r="AJ692" s="86"/>
      <c r="AK692" s="86"/>
      <c r="AL692" s="86"/>
      <c r="AM692" s="86"/>
      <c r="AN692" s="86"/>
      <c r="AO692" s="86"/>
      <c r="AP692" s="86"/>
      <c r="AQ692" s="86"/>
    </row>
    <row r="693">
      <c r="A693" s="86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6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6"/>
      <c r="AJ693" s="86"/>
      <c r="AK693" s="86"/>
      <c r="AL693" s="86"/>
      <c r="AM693" s="86"/>
      <c r="AN693" s="86"/>
      <c r="AO693" s="86"/>
      <c r="AP693" s="86"/>
      <c r="AQ693" s="86"/>
    </row>
    <row r="694">
      <c r="A694" s="86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6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6"/>
      <c r="AJ694" s="86"/>
      <c r="AK694" s="86"/>
      <c r="AL694" s="86"/>
      <c r="AM694" s="86"/>
      <c r="AN694" s="86"/>
      <c r="AO694" s="86"/>
      <c r="AP694" s="86"/>
      <c r="AQ694" s="86"/>
    </row>
    <row r="695">
      <c r="A695" s="86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6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6"/>
      <c r="AJ695" s="86"/>
      <c r="AK695" s="86"/>
      <c r="AL695" s="86"/>
      <c r="AM695" s="86"/>
      <c r="AN695" s="86"/>
      <c r="AO695" s="86"/>
      <c r="AP695" s="86"/>
      <c r="AQ695" s="86"/>
    </row>
    <row r="696">
      <c r="A696" s="86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6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6"/>
      <c r="AJ696" s="86"/>
      <c r="AK696" s="86"/>
      <c r="AL696" s="86"/>
      <c r="AM696" s="86"/>
      <c r="AN696" s="86"/>
      <c r="AO696" s="86"/>
      <c r="AP696" s="86"/>
      <c r="AQ696" s="86"/>
    </row>
    <row r="697">
      <c r="A697" s="86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6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6"/>
      <c r="AJ697" s="86"/>
      <c r="AK697" s="86"/>
      <c r="AL697" s="86"/>
      <c r="AM697" s="86"/>
      <c r="AN697" s="86"/>
      <c r="AO697" s="86"/>
      <c r="AP697" s="86"/>
      <c r="AQ697" s="86"/>
    </row>
    <row r="698">
      <c r="A698" s="86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6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6"/>
      <c r="AJ698" s="86"/>
      <c r="AK698" s="86"/>
      <c r="AL698" s="86"/>
      <c r="AM698" s="86"/>
      <c r="AN698" s="86"/>
      <c r="AO698" s="86"/>
      <c r="AP698" s="86"/>
      <c r="AQ698" s="86"/>
    </row>
    <row r="699">
      <c r="A699" s="86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6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6"/>
      <c r="AJ699" s="86"/>
      <c r="AK699" s="86"/>
      <c r="AL699" s="86"/>
      <c r="AM699" s="86"/>
      <c r="AN699" s="86"/>
      <c r="AO699" s="86"/>
      <c r="AP699" s="86"/>
      <c r="AQ699" s="86"/>
    </row>
    <row r="700">
      <c r="A700" s="86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6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6"/>
      <c r="AJ700" s="86"/>
      <c r="AK700" s="86"/>
      <c r="AL700" s="86"/>
      <c r="AM700" s="86"/>
      <c r="AN700" s="86"/>
      <c r="AO700" s="86"/>
      <c r="AP700" s="86"/>
      <c r="AQ700" s="86"/>
    </row>
    <row r="701">
      <c r="A701" s="86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6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6"/>
      <c r="AJ701" s="86"/>
      <c r="AK701" s="86"/>
      <c r="AL701" s="86"/>
      <c r="AM701" s="86"/>
      <c r="AN701" s="86"/>
      <c r="AO701" s="86"/>
      <c r="AP701" s="86"/>
      <c r="AQ701" s="86"/>
    </row>
    <row r="702">
      <c r="A702" s="86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6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6"/>
      <c r="AJ702" s="86"/>
      <c r="AK702" s="86"/>
      <c r="AL702" s="86"/>
      <c r="AM702" s="86"/>
      <c r="AN702" s="86"/>
      <c r="AO702" s="86"/>
      <c r="AP702" s="86"/>
      <c r="AQ702" s="86"/>
    </row>
    <row r="703">
      <c r="A703" s="86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6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6"/>
      <c r="AJ703" s="86"/>
      <c r="AK703" s="86"/>
      <c r="AL703" s="86"/>
      <c r="AM703" s="86"/>
      <c r="AN703" s="86"/>
      <c r="AO703" s="86"/>
      <c r="AP703" s="86"/>
      <c r="AQ703" s="86"/>
    </row>
    <row r="704">
      <c r="A704" s="86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6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6"/>
      <c r="AJ704" s="86"/>
      <c r="AK704" s="86"/>
      <c r="AL704" s="86"/>
      <c r="AM704" s="86"/>
      <c r="AN704" s="86"/>
      <c r="AO704" s="86"/>
      <c r="AP704" s="86"/>
      <c r="AQ704" s="86"/>
    </row>
    <row r="705">
      <c r="A705" s="86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6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6"/>
      <c r="AJ705" s="86"/>
      <c r="AK705" s="86"/>
      <c r="AL705" s="86"/>
      <c r="AM705" s="86"/>
      <c r="AN705" s="86"/>
      <c r="AO705" s="86"/>
      <c r="AP705" s="86"/>
      <c r="AQ705" s="86"/>
    </row>
    <row r="706">
      <c r="A706" s="86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6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6"/>
      <c r="AJ706" s="86"/>
      <c r="AK706" s="86"/>
      <c r="AL706" s="86"/>
      <c r="AM706" s="86"/>
      <c r="AN706" s="86"/>
      <c r="AO706" s="86"/>
      <c r="AP706" s="86"/>
      <c r="AQ706" s="86"/>
    </row>
    <row r="707">
      <c r="A707" s="86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6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6"/>
      <c r="AJ707" s="86"/>
      <c r="AK707" s="86"/>
      <c r="AL707" s="86"/>
      <c r="AM707" s="86"/>
      <c r="AN707" s="86"/>
      <c r="AO707" s="86"/>
      <c r="AP707" s="86"/>
      <c r="AQ707" s="86"/>
    </row>
    <row r="708">
      <c r="A708" s="86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6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6"/>
      <c r="AJ708" s="86"/>
      <c r="AK708" s="86"/>
      <c r="AL708" s="86"/>
      <c r="AM708" s="86"/>
      <c r="AN708" s="86"/>
      <c r="AO708" s="86"/>
      <c r="AP708" s="86"/>
      <c r="AQ708" s="86"/>
    </row>
    <row r="709">
      <c r="A709" s="86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6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6"/>
      <c r="AJ709" s="86"/>
      <c r="AK709" s="86"/>
      <c r="AL709" s="86"/>
      <c r="AM709" s="86"/>
      <c r="AN709" s="86"/>
      <c r="AO709" s="86"/>
      <c r="AP709" s="86"/>
      <c r="AQ709" s="86"/>
    </row>
    <row r="710">
      <c r="A710" s="86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6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6"/>
      <c r="AJ710" s="86"/>
      <c r="AK710" s="86"/>
      <c r="AL710" s="86"/>
      <c r="AM710" s="86"/>
      <c r="AN710" s="86"/>
      <c r="AO710" s="86"/>
      <c r="AP710" s="86"/>
      <c r="AQ710" s="86"/>
    </row>
    <row r="711">
      <c r="A711" s="86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6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6"/>
      <c r="AJ711" s="86"/>
      <c r="AK711" s="86"/>
      <c r="AL711" s="86"/>
      <c r="AM711" s="86"/>
      <c r="AN711" s="86"/>
      <c r="AO711" s="86"/>
      <c r="AP711" s="86"/>
      <c r="AQ711" s="86"/>
    </row>
    <row r="712">
      <c r="A712" s="86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6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6"/>
      <c r="AJ712" s="86"/>
      <c r="AK712" s="86"/>
      <c r="AL712" s="86"/>
      <c r="AM712" s="86"/>
      <c r="AN712" s="86"/>
      <c r="AO712" s="86"/>
      <c r="AP712" s="86"/>
      <c r="AQ712" s="86"/>
    </row>
    <row r="713">
      <c r="A713" s="86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6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6"/>
      <c r="AJ713" s="86"/>
      <c r="AK713" s="86"/>
      <c r="AL713" s="86"/>
      <c r="AM713" s="86"/>
      <c r="AN713" s="86"/>
      <c r="AO713" s="86"/>
      <c r="AP713" s="86"/>
      <c r="AQ713" s="86"/>
    </row>
    <row r="714">
      <c r="A714" s="86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6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6"/>
      <c r="AJ714" s="86"/>
      <c r="AK714" s="86"/>
      <c r="AL714" s="86"/>
      <c r="AM714" s="86"/>
      <c r="AN714" s="86"/>
      <c r="AO714" s="86"/>
      <c r="AP714" s="86"/>
      <c r="AQ714" s="86"/>
    </row>
    <row r="715">
      <c r="A715" s="86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6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6"/>
      <c r="AJ715" s="86"/>
      <c r="AK715" s="86"/>
      <c r="AL715" s="86"/>
      <c r="AM715" s="86"/>
      <c r="AN715" s="86"/>
      <c r="AO715" s="86"/>
      <c r="AP715" s="86"/>
      <c r="AQ715" s="86"/>
    </row>
    <row r="716">
      <c r="A716" s="86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6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6"/>
      <c r="AJ716" s="86"/>
      <c r="AK716" s="86"/>
      <c r="AL716" s="86"/>
      <c r="AM716" s="86"/>
      <c r="AN716" s="86"/>
      <c r="AO716" s="86"/>
      <c r="AP716" s="86"/>
      <c r="AQ716" s="86"/>
    </row>
    <row r="717">
      <c r="A717" s="86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6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6"/>
      <c r="AJ717" s="86"/>
      <c r="AK717" s="86"/>
      <c r="AL717" s="86"/>
      <c r="AM717" s="86"/>
      <c r="AN717" s="86"/>
      <c r="AO717" s="86"/>
      <c r="AP717" s="86"/>
      <c r="AQ717" s="86"/>
    </row>
    <row r="718">
      <c r="A718" s="86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6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6"/>
      <c r="AJ718" s="86"/>
      <c r="AK718" s="86"/>
      <c r="AL718" s="86"/>
      <c r="AM718" s="86"/>
      <c r="AN718" s="86"/>
      <c r="AO718" s="86"/>
      <c r="AP718" s="86"/>
      <c r="AQ718" s="86"/>
    </row>
    <row r="719">
      <c r="A719" s="86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6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6"/>
      <c r="AJ719" s="86"/>
      <c r="AK719" s="86"/>
      <c r="AL719" s="86"/>
      <c r="AM719" s="86"/>
      <c r="AN719" s="86"/>
      <c r="AO719" s="86"/>
      <c r="AP719" s="86"/>
      <c r="AQ719" s="86"/>
    </row>
    <row r="720">
      <c r="A720" s="86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6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6"/>
      <c r="AJ720" s="86"/>
      <c r="AK720" s="86"/>
      <c r="AL720" s="86"/>
      <c r="AM720" s="86"/>
      <c r="AN720" s="86"/>
      <c r="AO720" s="86"/>
      <c r="AP720" s="86"/>
      <c r="AQ720" s="86"/>
    </row>
    <row r="721">
      <c r="A721" s="86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6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6"/>
      <c r="AJ721" s="86"/>
      <c r="AK721" s="86"/>
      <c r="AL721" s="86"/>
      <c r="AM721" s="86"/>
      <c r="AN721" s="86"/>
      <c r="AO721" s="86"/>
      <c r="AP721" s="86"/>
      <c r="AQ721" s="86"/>
    </row>
    <row r="722">
      <c r="A722" s="86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6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6"/>
      <c r="AJ722" s="86"/>
      <c r="AK722" s="86"/>
      <c r="AL722" s="86"/>
      <c r="AM722" s="86"/>
      <c r="AN722" s="86"/>
      <c r="AO722" s="86"/>
      <c r="AP722" s="86"/>
      <c r="AQ722" s="86"/>
    </row>
    <row r="723">
      <c r="A723" s="86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6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6"/>
      <c r="AJ723" s="86"/>
      <c r="AK723" s="86"/>
      <c r="AL723" s="86"/>
      <c r="AM723" s="86"/>
      <c r="AN723" s="86"/>
      <c r="AO723" s="86"/>
      <c r="AP723" s="86"/>
      <c r="AQ723" s="86"/>
    </row>
    <row r="724">
      <c r="A724" s="86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6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6"/>
      <c r="AJ724" s="86"/>
      <c r="AK724" s="86"/>
      <c r="AL724" s="86"/>
      <c r="AM724" s="86"/>
      <c r="AN724" s="86"/>
      <c r="AO724" s="86"/>
      <c r="AP724" s="86"/>
      <c r="AQ724" s="86"/>
    </row>
    <row r="725">
      <c r="A725" s="86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6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6"/>
      <c r="AJ725" s="86"/>
      <c r="AK725" s="86"/>
      <c r="AL725" s="86"/>
      <c r="AM725" s="86"/>
      <c r="AN725" s="86"/>
      <c r="AO725" s="86"/>
      <c r="AP725" s="86"/>
      <c r="AQ725" s="86"/>
    </row>
    <row r="726">
      <c r="A726" s="86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6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6"/>
      <c r="AJ726" s="86"/>
      <c r="AK726" s="86"/>
      <c r="AL726" s="86"/>
      <c r="AM726" s="86"/>
      <c r="AN726" s="86"/>
      <c r="AO726" s="86"/>
      <c r="AP726" s="86"/>
      <c r="AQ726" s="86"/>
    </row>
    <row r="727">
      <c r="A727" s="86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6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6"/>
      <c r="AJ727" s="86"/>
      <c r="AK727" s="86"/>
      <c r="AL727" s="86"/>
      <c r="AM727" s="86"/>
      <c r="AN727" s="86"/>
      <c r="AO727" s="86"/>
      <c r="AP727" s="86"/>
      <c r="AQ727" s="86"/>
    </row>
    <row r="728">
      <c r="A728" s="86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6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6"/>
      <c r="AJ728" s="86"/>
      <c r="AK728" s="86"/>
      <c r="AL728" s="86"/>
      <c r="AM728" s="86"/>
      <c r="AN728" s="86"/>
      <c r="AO728" s="86"/>
      <c r="AP728" s="86"/>
      <c r="AQ728" s="86"/>
    </row>
    <row r="729">
      <c r="A729" s="86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6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6"/>
      <c r="AJ729" s="86"/>
      <c r="AK729" s="86"/>
      <c r="AL729" s="86"/>
      <c r="AM729" s="86"/>
      <c r="AN729" s="86"/>
      <c r="AO729" s="86"/>
      <c r="AP729" s="86"/>
      <c r="AQ729" s="86"/>
    </row>
    <row r="730">
      <c r="A730" s="86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6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6"/>
      <c r="AJ730" s="86"/>
      <c r="AK730" s="86"/>
      <c r="AL730" s="86"/>
      <c r="AM730" s="86"/>
      <c r="AN730" s="86"/>
      <c r="AO730" s="86"/>
      <c r="AP730" s="86"/>
      <c r="AQ730" s="86"/>
    </row>
    <row r="731">
      <c r="A731" s="86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6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6"/>
      <c r="AJ731" s="86"/>
      <c r="AK731" s="86"/>
      <c r="AL731" s="86"/>
      <c r="AM731" s="86"/>
      <c r="AN731" s="86"/>
      <c r="AO731" s="86"/>
      <c r="AP731" s="86"/>
      <c r="AQ731" s="86"/>
    </row>
    <row r="732">
      <c r="A732" s="86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6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6"/>
      <c r="AJ732" s="86"/>
      <c r="AK732" s="86"/>
      <c r="AL732" s="86"/>
      <c r="AM732" s="86"/>
      <c r="AN732" s="86"/>
      <c r="AO732" s="86"/>
      <c r="AP732" s="86"/>
      <c r="AQ732" s="86"/>
    </row>
    <row r="733">
      <c r="A733" s="86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6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6"/>
      <c r="AJ733" s="86"/>
      <c r="AK733" s="86"/>
      <c r="AL733" s="86"/>
      <c r="AM733" s="86"/>
      <c r="AN733" s="86"/>
      <c r="AO733" s="86"/>
      <c r="AP733" s="86"/>
      <c r="AQ733" s="86"/>
    </row>
    <row r="734">
      <c r="A734" s="86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6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6"/>
      <c r="AJ734" s="86"/>
      <c r="AK734" s="86"/>
      <c r="AL734" s="86"/>
      <c r="AM734" s="86"/>
      <c r="AN734" s="86"/>
      <c r="AO734" s="86"/>
      <c r="AP734" s="86"/>
      <c r="AQ734" s="86"/>
    </row>
    <row r="735">
      <c r="A735" s="86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6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6"/>
      <c r="AJ735" s="86"/>
      <c r="AK735" s="86"/>
      <c r="AL735" s="86"/>
      <c r="AM735" s="86"/>
      <c r="AN735" s="86"/>
      <c r="AO735" s="86"/>
      <c r="AP735" s="86"/>
      <c r="AQ735" s="86"/>
    </row>
    <row r="736">
      <c r="A736" s="86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6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6"/>
      <c r="AJ736" s="86"/>
      <c r="AK736" s="86"/>
      <c r="AL736" s="86"/>
      <c r="AM736" s="86"/>
      <c r="AN736" s="86"/>
      <c r="AO736" s="86"/>
      <c r="AP736" s="86"/>
      <c r="AQ736" s="86"/>
    </row>
    <row r="737">
      <c r="A737" s="86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6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6"/>
      <c r="AJ737" s="86"/>
      <c r="AK737" s="86"/>
      <c r="AL737" s="86"/>
      <c r="AM737" s="86"/>
      <c r="AN737" s="86"/>
      <c r="AO737" s="86"/>
      <c r="AP737" s="86"/>
      <c r="AQ737" s="86"/>
    </row>
    <row r="738">
      <c r="A738" s="86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6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6"/>
      <c r="AJ738" s="86"/>
      <c r="AK738" s="86"/>
      <c r="AL738" s="86"/>
      <c r="AM738" s="86"/>
      <c r="AN738" s="86"/>
      <c r="AO738" s="86"/>
      <c r="AP738" s="86"/>
      <c r="AQ738" s="86"/>
    </row>
    <row r="739">
      <c r="A739" s="86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6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6"/>
      <c r="AJ739" s="86"/>
      <c r="AK739" s="86"/>
      <c r="AL739" s="86"/>
      <c r="AM739" s="86"/>
      <c r="AN739" s="86"/>
      <c r="AO739" s="86"/>
      <c r="AP739" s="86"/>
      <c r="AQ739" s="86"/>
    </row>
    <row r="740">
      <c r="A740" s="86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6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6"/>
      <c r="AJ740" s="86"/>
      <c r="AK740" s="86"/>
      <c r="AL740" s="86"/>
      <c r="AM740" s="86"/>
      <c r="AN740" s="86"/>
      <c r="AO740" s="86"/>
      <c r="AP740" s="86"/>
      <c r="AQ740" s="86"/>
    </row>
    <row r="741">
      <c r="A741" s="86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6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6"/>
      <c r="AJ741" s="86"/>
      <c r="AK741" s="86"/>
      <c r="AL741" s="86"/>
      <c r="AM741" s="86"/>
      <c r="AN741" s="86"/>
      <c r="AO741" s="86"/>
      <c r="AP741" s="86"/>
      <c r="AQ741" s="86"/>
    </row>
    <row r="742">
      <c r="A742" s="86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6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6"/>
      <c r="AJ742" s="86"/>
      <c r="AK742" s="86"/>
      <c r="AL742" s="86"/>
      <c r="AM742" s="86"/>
      <c r="AN742" s="86"/>
      <c r="AO742" s="86"/>
      <c r="AP742" s="86"/>
      <c r="AQ742" s="86"/>
    </row>
    <row r="743">
      <c r="A743" s="86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6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6"/>
      <c r="AJ743" s="86"/>
      <c r="AK743" s="86"/>
      <c r="AL743" s="86"/>
      <c r="AM743" s="86"/>
      <c r="AN743" s="86"/>
      <c r="AO743" s="86"/>
      <c r="AP743" s="86"/>
      <c r="AQ743" s="86"/>
    </row>
    <row r="744">
      <c r="A744" s="86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6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6"/>
      <c r="AJ744" s="86"/>
      <c r="AK744" s="86"/>
      <c r="AL744" s="86"/>
      <c r="AM744" s="86"/>
      <c r="AN744" s="86"/>
      <c r="AO744" s="86"/>
      <c r="AP744" s="86"/>
      <c r="AQ744" s="86"/>
    </row>
    <row r="745">
      <c r="A745" s="86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6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6"/>
      <c r="AJ745" s="86"/>
      <c r="AK745" s="86"/>
      <c r="AL745" s="86"/>
      <c r="AM745" s="86"/>
      <c r="AN745" s="86"/>
      <c r="AO745" s="86"/>
      <c r="AP745" s="86"/>
      <c r="AQ745" s="86"/>
    </row>
    <row r="746">
      <c r="A746" s="86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6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6"/>
      <c r="AJ746" s="86"/>
      <c r="AK746" s="86"/>
      <c r="AL746" s="86"/>
      <c r="AM746" s="86"/>
      <c r="AN746" s="86"/>
      <c r="AO746" s="86"/>
      <c r="AP746" s="86"/>
      <c r="AQ746" s="86"/>
    </row>
    <row r="747">
      <c r="A747" s="86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6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6"/>
      <c r="AJ747" s="86"/>
      <c r="AK747" s="86"/>
      <c r="AL747" s="86"/>
      <c r="AM747" s="86"/>
      <c r="AN747" s="86"/>
      <c r="AO747" s="86"/>
      <c r="AP747" s="86"/>
      <c r="AQ747" s="86"/>
    </row>
    <row r="748">
      <c r="A748" s="86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6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6"/>
      <c r="AJ748" s="86"/>
      <c r="AK748" s="86"/>
      <c r="AL748" s="86"/>
      <c r="AM748" s="86"/>
      <c r="AN748" s="86"/>
      <c r="AO748" s="86"/>
      <c r="AP748" s="86"/>
      <c r="AQ748" s="86"/>
    </row>
    <row r="749">
      <c r="A749" s="86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6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6"/>
      <c r="AJ749" s="86"/>
      <c r="AK749" s="86"/>
      <c r="AL749" s="86"/>
      <c r="AM749" s="86"/>
      <c r="AN749" s="86"/>
      <c r="AO749" s="86"/>
      <c r="AP749" s="86"/>
      <c r="AQ749" s="86"/>
    </row>
    <row r="750">
      <c r="A750" s="86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6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6"/>
      <c r="AJ750" s="86"/>
      <c r="AK750" s="86"/>
      <c r="AL750" s="86"/>
      <c r="AM750" s="86"/>
      <c r="AN750" s="86"/>
      <c r="AO750" s="86"/>
      <c r="AP750" s="86"/>
      <c r="AQ750" s="86"/>
    </row>
    <row r="751">
      <c r="A751" s="86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6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6"/>
      <c r="AJ751" s="86"/>
      <c r="AK751" s="86"/>
      <c r="AL751" s="86"/>
      <c r="AM751" s="86"/>
      <c r="AN751" s="86"/>
      <c r="AO751" s="86"/>
      <c r="AP751" s="86"/>
      <c r="AQ751" s="86"/>
    </row>
    <row r="752">
      <c r="A752" s="86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6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6"/>
      <c r="AJ752" s="86"/>
      <c r="AK752" s="86"/>
      <c r="AL752" s="86"/>
      <c r="AM752" s="86"/>
      <c r="AN752" s="86"/>
      <c r="AO752" s="86"/>
      <c r="AP752" s="86"/>
      <c r="AQ752" s="86"/>
    </row>
    <row r="753">
      <c r="A753" s="86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6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6"/>
      <c r="AJ753" s="86"/>
      <c r="AK753" s="86"/>
      <c r="AL753" s="86"/>
      <c r="AM753" s="86"/>
      <c r="AN753" s="86"/>
      <c r="AO753" s="86"/>
      <c r="AP753" s="86"/>
      <c r="AQ753" s="86"/>
    </row>
    <row r="754">
      <c r="A754" s="86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6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6"/>
      <c r="AJ754" s="86"/>
      <c r="AK754" s="86"/>
      <c r="AL754" s="86"/>
      <c r="AM754" s="86"/>
      <c r="AN754" s="86"/>
      <c r="AO754" s="86"/>
      <c r="AP754" s="86"/>
      <c r="AQ754" s="86"/>
    </row>
    <row r="755">
      <c r="A755" s="86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6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6"/>
      <c r="AJ755" s="86"/>
      <c r="AK755" s="86"/>
      <c r="AL755" s="86"/>
      <c r="AM755" s="86"/>
      <c r="AN755" s="86"/>
      <c r="AO755" s="86"/>
      <c r="AP755" s="86"/>
      <c r="AQ755" s="86"/>
    </row>
    <row r="756">
      <c r="A756" s="86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6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6"/>
      <c r="AJ756" s="86"/>
      <c r="AK756" s="86"/>
      <c r="AL756" s="86"/>
      <c r="AM756" s="86"/>
      <c r="AN756" s="86"/>
      <c r="AO756" s="86"/>
      <c r="AP756" s="86"/>
      <c r="AQ756" s="86"/>
    </row>
    <row r="757">
      <c r="A757" s="86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6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6"/>
      <c r="AJ757" s="86"/>
      <c r="AK757" s="86"/>
      <c r="AL757" s="86"/>
      <c r="AM757" s="86"/>
      <c r="AN757" s="86"/>
      <c r="AO757" s="86"/>
      <c r="AP757" s="86"/>
      <c r="AQ757" s="86"/>
    </row>
    <row r="758">
      <c r="A758" s="86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6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6"/>
      <c r="AJ758" s="86"/>
      <c r="AK758" s="86"/>
      <c r="AL758" s="86"/>
      <c r="AM758" s="86"/>
      <c r="AN758" s="86"/>
      <c r="AO758" s="86"/>
      <c r="AP758" s="86"/>
      <c r="AQ758" s="86"/>
    </row>
    <row r="759">
      <c r="A759" s="86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6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6"/>
      <c r="AJ759" s="86"/>
      <c r="AK759" s="86"/>
      <c r="AL759" s="86"/>
      <c r="AM759" s="86"/>
      <c r="AN759" s="86"/>
      <c r="AO759" s="86"/>
      <c r="AP759" s="86"/>
      <c r="AQ759" s="86"/>
    </row>
    <row r="760">
      <c r="A760" s="86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6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6"/>
      <c r="AJ760" s="86"/>
      <c r="AK760" s="86"/>
      <c r="AL760" s="86"/>
      <c r="AM760" s="86"/>
      <c r="AN760" s="86"/>
      <c r="AO760" s="86"/>
      <c r="AP760" s="86"/>
      <c r="AQ760" s="86"/>
    </row>
    <row r="761">
      <c r="A761" s="86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6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6"/>
      <c r="AJ761" s="86"/>
      <c r="AK761" s="86"/>
      <c r="AL761" s="86"/>
      <c r="AM761" s="86"/>
      <c r="AN761" s="86"/>
      <c r="AO761" s="86"/>
      <c r="AP761" s="86"/>
      <c r="AQ761" s="86"/>
    </row>
    <row r="762">
      <c r="A762" s="86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6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6"/>
      <c r="AJ762" s="86"/>
      <c r="AK762" s="86"/>
      <c r="AL762" s="86"/>
      <c r="AM762" s="86"/>
      <c r="AN762" s="86"/>
      <c r="AO762" s="86"/>
      <c r="AP762" s="86"/>
      <c r="AQ762" s="86"/>
    </row>
    <row r="763">
      <c r="A763" s="86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6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6"/>
      <c r="AJ763" s="86"/>
      <c r="AK763" s="86"/>
      <c r="AL763" s="86"/>
      <c r="AM763" s="86"/>
      <c r="AN763" s="86"/>
      <c r="AO763" s="86"/>
      <c r="AP763" s="86"/>
      <c r="AQ763" s="86"/>
    </row>
    <row r="764">
      <c r="A764" s="86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6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6"/>
      <c r="AJ764" s="86"/>
      <c r="AK764" s="86"/>
      <c r="AL764" s="86"/>
      <c r="AM764" s="86"/>
      <c r="AN764" s="86"/>
      <c r="AO764" s="86"/>
      <c r="AP764" s="86"/>
      <c r="AQ764" s="86"/>
    </row>
    <row r="765">
      <c r="A765" s="86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6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6"/>
      <c r="AJ765" s="86"/>
      <c r="AK765" s="86"/>
      <c r="AL765" s="86"/>
      <c r="AM765" s="86"/>
      <c r="AN765" s="86"/>
      <c r="AO765" s="86"/>
      <c r="AP765" s="86"/>
      <c r="AQ765" s="86"/>
    </row>
    <row r="766">
      <c r="A766" s="86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6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6"/>
      <c r="AJ766" s="86"/>
      <c r="AK766" s="86"/>
      <c r="AL766" s="86"/>
      <c r="AM766" s="86"/>
      <c r="AN766" s="86"/>
      <c r="AO766" s="86"/>
      <c r="AP766" s="86"/>
      <c r="AQ766" s="86"/>
    </row>
    <row r="767">
      <c r="A767" s="86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6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6"/>
      <c r="AJ767" s="86"/>
      <c r="AK767" s="86"/>
      <c r="AL767" s="86"/>
      <c r="AM767" s="86"/>
      <c r="AN767" s="86"/>
      <c r="AO767" s="86"/>
      <c r="AP767" s="86"/>
      <c r="AQ767" s="86"/>
    </row>
    <row r="768">
      <c r="A768" s="86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6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6"/>
      <c r="AJ768" s="86"/>
      <c r="AK768" s="86"/>
      <c r="AL768" s="86"/>
      <c r="AM768" s="86"/>
      <c r="AN768" s="86"/>
      <c r="AO768" s="86"/>
      <c r="AP768" s="86"/>
      <c r="AQ768" s="86"/>
    </row>
    <row r="769">
      <c r="A769" s="86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6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6"/>
      <c r="AJ769" s="86"/>
      <c r="AK769" s="86"/>
      <c r="AL769" s="86"/>
      <c r="AM769" s="86"/>
      <c r="AN769" s="86"/>
      <c r="AO769" s="86"/>
      <c r="AP769" s="86"/>
      <c r="AQ769" s="86"/>
    </row>
    <row r="770">
      <c r="A770" s="86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6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6"/>
      <c r="AJ770" s="86"/>
      <c r="AK770" s="86"/>
      <c r="AL770" s="86"/>
      <c r="AM770" s="86"/>
      <c r="AN770" s="86"/>
      <c r="AO770" s="86"/>
      <c r="AP770" s="86"/>
      <c r="AQ770" s="86"/>
    </row>
    <row r="771">
      <c r="A771" s="86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6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6"/>
      <c r="AJ771" s="86"/>
      <c r="AK771" s="86"/>
      <c r="AL771" s="86"/>
      <c r="AM771" s="86"/>
      <c r="AN771" s="86"/>
      <c r="AO771" s="86"/>
      <c r="AP771" s="86"/>
      <c r="AQ771" s="86"/>
    </row>
    <row r="772">
      <c r="A772" s="86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6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6"/>
      <c r="AJ772" s="86"/>
      <c r="AK772" s="86"/>
      <c r="AL772" s="86"/>
      <c r="AM772" s="86"/>
      <c r="AN772" s="86"/>
      <c r="AO772" s="86"/>
      <c r="AP772" s="86"/>
      <c r="AQ772" s="86"/>
    </row>
    <row r="773">
      <c r="A773" s="86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6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6"/>
      <c r="AJ773" s="86"/>
      <c r="AK773" s="86"/>
      <c r="AL773" s="86"/>
      <c r="AM773" s="86"/>
      <c r="AN773" s="86"/>
      <c r="AO773" s="86"/>
      <c r="AP773" s="86"/>
      <c r="AQ773" s="86"/>
    </row>
    <row r="774">
      <c r="A774" s="86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6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6"/>
      <c r="AJ774" s="86"/>
      <c r="AK774" s="86"/>
      <c r="AL774" s="86"/>
      <c r="AM774" s="86"/>
      <c r="AN774" s="86"/>
      <c r="AO774" s="86"/>
      <c r="AP774" s="86"/>
      <c r="AQ774" s="86"/>
    </row>
    <row r="775">
      <c r="A775" s="86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6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6"/>
      <c r="AJ775" s="86"/>
      <c r="AK775" s="86"/>
      <c r="AL775" s="86"/>
      <c r="AM775" s="86"/>
      <c r="AN775" s="86"/>
      <c r="AO775" s="86"/>
      <c r="AP775" s="86"/>
      <c r="AQ775" s="86"/>
    </row>
    <row r="776">
      <c r="A776" s="86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6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6"/>
      <c r="AJ776" s="86"/>
      <c r="AK776" s="86"/>
      <c r="AL776" s="86"/>
      <c r="AM776" s="86"/>
      <c r="AN776" s="86"/>
      <c r="AO776" s="86"/>
      <c r="AP776" s="86"/>
      <c r="AQ776" s="86"/>
    </row>
    <row r="777">
      <c r="A777" s="86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6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6"/>
      <c r="AJ777" s="86"/>
      <c r="AK777" s="86"/>
      <c r="AL777" s="86"/>
      <c r="AM777" s="86"/>
      <c r="AN777" s="86"/>
      <c r="AO777" s="86"/>
      <c r="AP777" s="86"/>
      <c r="AQ777" s="86"/>
    </row>
    <row r="778">
      <c r="A778" s="86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6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6"/>
      <c r="AJ778" s="86"/>
      <c r="AK778" s="86"/>
      <c r="AL778" s="86"/>
      <c r="AM778" s="86"/>
      <c r="AN778" s="86"/>
      <c r="AO778" s="86"/>
      <c r="AP778" s="86"/>
      <c r="AQ778" s="86"/>
    </row>
    <row r="779">
      <c r="A779" s="86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6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6"/>
      <c r="AJ779" s="86"/>
      <c r="AK779" s="86"/>
      <c r="AL779" s="86"/>
      <c r="AM779" s="86"/>
      <c r="AN779" s="86"/>
      <c r="AO779" s="86"/>
      <c r="AP779" s="86"/>
      <c r="AQ779" s="86"/>
    </row>
    <row r="780">
      <c r="A780" s="86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6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6"/>
      <c r="AJ780" s="86"/>
      <c r="AK780" s="86"/>
      <c r="AL780" s="86"/>
      <c r="AM780" s="86"/>
      <c r="AN780" s="86"/>
      <c r="AO780" s="86"/>
      <c r="AP780" s="86"/>
      <c r="AQ780" s="86"/>
    </row>
    <row r="781">
      <c r="A781" s="86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6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6"/>
      <c r="AJ781" s="86"/>
      <c r="AK781" s="86"/>
      <c r="AL781" s="86"/>
      <c r="AM781" s="86"/>
      <c r="AN781" s="86"/>
      <c r="AO781" s="86"/>
      <c r="AP781" s="86"/>
      <c r="AQ781" s="86"/>
    </row>
    <row r="782">
      <c r="A782" s="86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6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6"/>
      <c r="AJ782" s="86"/>
      <c r="AK782" s="86"/>
      <c r="AL782" s="86"/>
      <c r="AM782" s="86"/>
      <c r="AN782" s="86"/>
      <c r="AO782" s="86"/>
      <c r="AP782" s="86"/>
      <c r="AQ782" s="86"/>
    </row>
    <row r="783">
      <c r="A783" s="86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6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6"/>
      <c r="AJ783" s="86"/>
      <c r="AK783" s="86"/>
      <c r="AL783" s="86"/>
      <c r="AM783" s="86"/>
      <c r="AN783" s="86"/>
      <c r="AO783" s="86"/>
      <c r="AP783" s="86"/>
      <c r="AQ783" s="86"/>
    </row>
    <row r="784">
      <c r="A784" s="86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6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6"/>
      <c r="AJ784" s="86"/>
      <c r="AK784" s="86"/>
      <c r="AL784" s="86"/>
      <c r="AM784" s="86"/>
      <c r="AN784" s="86"/>
      <c r="AO784" s="86"/>
      <c r="AP784" s="86"/>
      <c r="AQ784" s="86"/>
    </row>
    <row r="785">
      <c r="A785" s="86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6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6"/>
      <c r="AJ785" s="86"/>
      <c r="AK785" s="86"/>
      <c r="AL785" s="86"/>
      <c r="AM785" s="86"/>
      <c r="AN785" s="86"/>
      <c r="AO785" s="86"/>
      <c r="AP785" s="86"/>
      <c r="AQ785" s="86"/>
    </row>
    <row r="786">
      <c r="A786" s="86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6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6"/>
      <c r="AJ786" s="86"/>
      <c r="AK786" s="86"/>
      <c r="AL786" s="86"/>
      <c r="AM786" s="86"/>
      <c r="AN786" s="86"/>
      <c r="AO786" s="86"/>
      <c r="AP786" s="86"/>
      <c r="AQ786" s="86"/>
    </row>
    <row r="787">
      <c r="A787" s="86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6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6"/>
      <c r="AJ787" s="86"/>
      <c r="AK787" s="86"/>
      <c r="AL787" s="86"/>
      <c r="AM787" s="86"/>
      <c r="AN787" s="86"/>
      <c r="AO787" s="86"/>
      <c r="AP787" s="86"/>
      <c r="AQ787" s="86"/>
    </row>
    <row r="788">
      <c r="A788" s="86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6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6"/>
      <c r="AJ788" s="86"/>
      <c r="AK788" s="86"/>
      <c r="AL788" s="86"/>
      <c r="AM788" s="86"/>
      <c r="AN788" s="86"/>
      <c r="AO788" s="86"/>
      <c r="AP788" s="86"/>
      <c r="AQ788" s="86"/>
    </row>
    <row r="789">
      <c r="A789" s="86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6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6"/>
      <c r="AJ789" s="86"/>
      <c r="AK789" s="86"/>
      <c r="AL789" s="86"/>
      <c r="AM789" s="86"/>
      <c r="AN789" s="86"/>
      <c r="AO789" s="86"/>
      <c r="AP789" s="86"/>
      <c r="AQ789" s="86"/>
    </row>
    <row r="790">
      <c r="A790" s="86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6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6"/>
      <c r="AJ790" s="86"/>
      <c r="AK790" s="86"/>
      <c r="AL790" s="86"/>
      <c r="AM790" s="86"/>
      <c r="AN790" s="86"/>
      <c r="AO790" s="86"/>
      <c r="AP790" s="86"/>
      <c r="AQ790" s="86"/>
    </row>
    <row r="791">
      <c r="A791" s="86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6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6"/>
      <c r="AJ791" s="86"/>
      <c r="AK791" s="86"/>
      <c r="AL791" s="86"/>
      <c r="AM791" s="86"/>
      <c r="AN791" s="86"/>
      <c r="AO791" s="86"/>
      <c r="AP791" s="86"/>
      <c r="AQ791" s="86"/>
    </row>
    <row r="792">
      <c r="A792" s="86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6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6"/>
      <c r="AJ792" s="86"/>
      <c r="AK792" s="86"/>
      <c r="AL792" s="86"/>
      <c r="AM792" s="86"/>
      <c r="AN792" s="86"/>
      <c r="AO792" s="86"/>
      <c r="AP792" s="86"/>
      <c r="AQ792" s="86"/>
    </row>
    <row r="793">
      <c r="A793" s="86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6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6"/>
      <c r="AJ793" s="86"/>
      <c r="AK793" s="86"/>
      <c r="AL793" s="86"/>
      <c r="AM793" s="86"/>
      <c r="AN793" s="86"/>
      <c r="AO793" s="86"/>
      <c r="AP793" s="86"/>
      <c r="AQ793" s="86"/>
    </row>
    <row r="794">
      <c r="A794" s="86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6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6"/>
      <c r="AJ794" s="86"/>
      <c r="AK794" s="86"/>
      <c r="AL794" s="86"/>
      <c r="AM794" s="86"/>
      <c r="AN794" s="86"/>
      <c r="AO794" s="86"/>
      <c r="AP794" s="86"/>
      <c r="AQ794" s="86"/>
    </row>
    <row r="795">
      <c r="A795" s="86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6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6"/>
      <c r="AJ795" s="86"/>
      <c r="AK795" s="86"/>
      <c r="AL795" s="86"/>
      <c r="AM795" s="86"/>
      <c r="AN795" s="86"/>
      <c r="AO795" s="86"/>
      <c r="AP795" s="86"/>
      <c r="AQ795" s="86"/>
    </row>
    <row r="796">
      <c r="A796" s="86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6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6"/>
      <c r="AJ796" s="86"/>
      <c r="AK796" s="86"/>
      <c r="AL796" s="86"/>
      <c r="AM796" s="86"/>
      <c r="AN796" s="86"/>
      <c r="AO796" s="86"/>
      <c r="AP796" s="86"/>
      <c r="AQ796" s="86"/>
    </row>
    <row r="797">
      <c r="A797" s="86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6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6"/>
      <c r="AJ797" s="86"/>
      <c r="AK797" s="86"/>
      <c r="AL797" s="86"/>
      <c r="AM797" s="86"/>
      <c r="AN797" s="86"/>
      <c r="AO797" s="86"/>
      <c r="AP797" s="86"/>
      <c r="AQ797" s="86"/>
    </row>
    <row r="798">
      <c r="A798" s="86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6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6"/>
      <c r="AJ798" s="86"/>
      <c r="AK798" s="86"/>
      <c r="AL798" s="86"/>
      <c r="AM798" s="86"/>
      <c r="AN798" s="86"/>
      <c r="AO798" s="86"/>
      <c r="AP798" s="86"/>
      <c r="AQ798" s="86"/>
    </row>
    <row r="799">
      <c r="A799" s="86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6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6"/>
      <c r="AJ799" s="86"/>
      <c r="AK799" s="86"/>
      <c r="AL799" s="86"/>
      <c r="AM799" s="86"/>
      <c r="AN799" s="86"/>
      <c r="AO799" s="86"/>
      <c r="AP799" s="86"/>
      <c r="AQ799" s="86"/>
    </row>
    <row r="800">
      <c r="A800" s="86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6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6"/>
      <c r="AJ800" s="86"/>
      <c r="AK800" s="86"/>
      <c r="AL800" s="86"/>
      <c r="AM800" s="86"/>
      <c r="AN800" s="86"/>
      <c r="AO800" s="86"/>
      <c r="AP800" s="86"/>
      <c r="AQ800" s="86"/>
    </row>
    <row r="801">
      <c r="A801" s="86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6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6"/>
      <c r="AJ801" s="86"/>
      <c r="AK801" s="86"/>
      <c r="AL801" s="86"/>
      <c r="AM801" s="86"/>
      <c r="AN801" s="86"/>
      <c r="AO801" s="86"/>
      <c r="AP801" s="86"/>
      <c r="AQ801" s="86"/>
    </row>
    <row r="802">
      <c r="A802" s="86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6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6"/>
      <c r="AJ802" s="86"/>
      <c r="AK802" s="86"/>
      <c r="AL802" s="86"/>
      <c r="AM802" s="86"/>
      <c r="AN802" s="86"/>
      <c r="AO802" s="86"/>
      <c r="AP802" s="86"/>
      <c r="AQ802" s="86"/>
    </row>
    <row r="803">
      <c r="A803" s="86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6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6"/>
      <c r="AJ803" s="86"/>
      <c r="AK803" s="86"/>
      <c r="AL803" s="86"/>
      <c r="AM803" s="86"/>
      <c r="AN803" s="86"/>
      <c r="AO803" s="86"/>
      <c r="AP803" s="86"/>
      <c r="AQ803" s="86"/>
    </row>
    <row r="804">
      <c r="A804" s="86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6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6"/>
      <c r="AJ804" s="86"/>
      <c r="AK804" s="86"/>
      <c r="AL804" s="86"/>
      <c r="AM804" s="86"/>
      <c r="AN804" s="86"/>
      <c r="AO804" s="86"/>
      <c r="AP804" s="86"/>
      <c r="AQ804" s="86"/>
    </row>
    <row r="805">
      <c r="A805" s="86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6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6"/>
      <c r="AJ805" s="86"/>
      <c r="AK805" s="86"/>
      <c r="AL805" s="86"/>
      <c r="AM805" s="86"/>
      <c r="AN805" s="86"/>
      <c r="AO805" s="86"/>
      <c r="AP805" s="86"/>
      <c r="AQ805" s="86"/>
    </row>
    <row r="806">
      <c r="A806" s="86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6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6"/>
      <c r="AJ806" s="86"/>
      <c r="AK806" s="86"/>
      <c r="AL806" s="86"/>
      <c r="AM806" s="86"/>
      <c r="AN806" s="86"/>
      <c r="AO806" s="86"/>
      <c r="AP806" s="86"/>
      <c r="AQ806" s="86"/>
    </row>
    <row r="807">
      <c r="A807" s="86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6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6"/>
      <c r="AJ807" s="86"/>
      <c r="AK807" s="86"/>
      <c r="AL807" s="86"/>
      <c r="AM807" s="86"/>
      <c r="AN807" s="86"/>
      <c r="AO807" s="86"/>
      <c r="AP807" s="86"/>
      <c r="AQ807" s="86"/>
    </row>
    <row r="808">
      <c r="A808" s="86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6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6"/>
      <c r="AJ808" s="86"/>
      <c r="AK808" s="86"/>
      <c r="AL808" s="86"/>
      <c r="AM808" s="86"/>
      <c r="AN808" s="86"/>
      <c r="AO808" s="86"/>
      <c r="AP808" s="86"/>
      <c r="AQ808" s="86"/>
    </row>
    <row r="809">
      <c r="A809" s="86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6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6"/>
      <c r="AJ809" s="86"/>
      <c r="AK809" s="86"/>
      <c r="AL809" s="86"/>
      <c r="AM809" s="86"/>
      <c r="AN809" s="86"/>
      <c r="AO809" s="86"/>
      <c r="AP809" s="86"/>
      <c r="AQ809" s="86"/>
    </row>
    <row r="810">
      <c r="A810" s="86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6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6"/>
      <c r="AJ810" s="86"/>
      <c r="AK810" s="86"/>
      <c r="AL810" s="86"/>
      <c r="AM810" s="86"/>
      <c r="AN810" s="86"/>
      <c r="AO810" s="86"/>
      <c r="AP810" s="86"/>
      <c r="AQ810" s="86"/>
    </row>
    <row r="811">
      <c r="A811" s="86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6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6"/>
      <c r="AJ811" s="86"/>
      <c r="AK811" s="86"/>
      <c r="AL811" s="86"/>
      <c r="AM811" s="86"/>
      <c r="AN811" s="86"/>
      <c r="AO811" s="86"/>
      <c r="AP811" s="86"/>
      <c r="AQ811" s="86"/>
    </row>
    <row r="812">
      <c r="A812" s="86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6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6"/>
      <c r="AJ812" s="86"/>
      <c r="AK812" s="86"/>
      <c r="AL812" s="86"/>
      <c r="AM812" s="86"/>
      <c r="AN812" s="86"/>
      <c r="AO812" s="86"/>
      <c r="AP812" s="86"/>
      <c r="AQ812" s="86"/>
    </row>
    <row r="813">
      <c r="A813" s="86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6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6"/>
      <c r="AJ813" s="86"/>
      <c r="AK813" s="86"/>
      <c r="AL813" s="86"/>
      <c r="AM813" s="86"/>
      <c r="AN813" s="86"/>
      <c r="AO813" s="86"/>
      <c r="AP813" s="86"/>
      <c r="AQ813" s="86"/>
    </row>
    <row r="814">
      <c r="A814" s="86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6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6"/>
      <c r="AJ814" s="86"/>
      <c r="AK814" s="86"/>
      <c r="AL814" s="86"/>
      <c r="AM814" s="86"/>
      <c r="AN814" s="86"/>
      <c r="AO814" s="86"/>
      <c r="AP814" s="86"/>
      <c r="AQ814" s="86"/>
    </row>
    <row r="815">
      <c r="A815" s="86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6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6"/>
      <c r="AJ815" s="86"/>
      <c r="AK815" s="86"/>
      <c r="AL815" s="86"/>
      <c r="AM815" s="86"/>
      <c r="AN815" s="86"/>
      <c r="AO815" s="86"/>
      <c r="AP815" s="86"/>
      <c r="AQ815" s="86"/>
    </row>
    <row r="816">
      <c r="A816" s="86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6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6"/>
      <c r="AJ816" s="86"/>
      <c r="AK816" s="86"/>
      <c r="AL816" s="86"/>
      <c r="AM816" s="86"/>
      <c r="AN816" s="86"/>
      <c r="AO816" s="86"/>
      <c r="AP816" s="86"/>
      <c r="AQ816" s="86"/>
    </row>
    <row r="817">
      <c r="A817" s="86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6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6"/>
      <c r="AJ817" s="86"/>
      <c r="AK817" s="86"/>
      <c r="AL817" s="86"/>
      <c r="AM817" s="86"/>
      <c r="AN817" s="86"/>
      <c r="AO817" s="86"/>
      <c r="AP817" s="86"/>
      <c r="AQ817" s="86"/>
    </row>
    <row r="818">
      <c r="A818" s="86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6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6"/>
      <c r="AJ818" s="86"/>
      <c r="AK818" s="86"/>
      <c r="AL818" s="86"/>
      <c r="AM818" s="86"/>
      <c r="AN818" s="86"/>
      <c r="AO818" s="86"/>
      <c r="AP818" s="86"/>
      <c r="AQ818" s="86"/>
    </row>
    <row r="819">
      <c r="A819" s="86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6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6"/>
      <c r="AJ819" s="86"/>
      <c r="AK819" s="86"/>
      <c r="AL819" s="86"/>
      <c r="AM819" s="86"/>
      <c r="AN819" s="86"/>
      <c r="AO819" s="86"/>
      <c r="AP819" s="86"/>
      <c r="AQ819" s="86"/>
    </row>
    <row r="820">
      <c r="A820" s="86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6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6"/>
      <c r="AJ820" s="86"/>
      <c r="AK820" s="86"/>
      <c r="AL820" s="86"/>
      <c r="AM820" s="86"/>
      <c r="AN820" s="86"/>
      <c r="AO820" s="86"/>
      <c r="AP820" s="86"/>
      <c r="AQ820" s="86"/>
    </row>
    <row r="821">
      <c r="A821" s="86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6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6"/>
      <c r="AJ821" s="86"/>
      <c r="AK821" s="86"/>
      <c r="AL821" s="86"/>
      <c r="AM821" s="86"/>
      <c r="AN821" s="86"/>
      <c r="AO821" s="86"/>
      <c r="AP821" s="86"/>
      <c r="AQ821" s="86"/>
    </row>
    <row r="822">
      <c r="A822" s="86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6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6"/>
      <c r="AJ822" s="86"/>
      <c r="AK822" s="86"/>
      <c r="AL822" s="86"/>
      <c r="AM822" s="86"/>
      <c r="AN822" s="86"/>
      <c r="AO822" s="86"/>
      <c r="AP822" s="86"/>
      <c r="AQ822" s="86"/>
    </row>
    <row r="823">
      <c r="A823" s="86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6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6"/>
      <c r="AJ823" s="86"/>
      <c r="AK823" s="86"/>
      <c r="AL823" s="86"/>
      <c r="AM823" s="86"/>
      <c r="AN823" s="86"/>
      <c r="AO823" s="86"/>
      <c r="AP823" s="86"/>
      <c r="AQ823" s="86"/>
    </row>
    <row r="824">
      <c r="A824" s="86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6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6"/>
      <c r="AJ824" s="86"/>
      <c r="AK824" s="86"/>
      <c r="AL824" s="86"/>
      <c r="AM824" s="86"/>
      <c r="AN824" s="86"/>
      <c r="AO824" s="86"/>
      <c r="AP824" s="86"/>
      <c r="AQ824" s="86"/>
    </row>
    <row r="825">
      <c r="A825" s="86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6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6"/>
      <c r="AJ825" s="86"/>
      <c r="AK825" s="86"/>
      <c r="AL825" s="86"/>
      <c r="AM825" s="86"/>
      <c r="AN825" s="86"/>
      <c r="AO825" s="86"/>
      <c r="AP825" s="86"/>
      <c r="AQ825" s="86"/>
    </row>
    <row r="826">
      <c r="A826" s="86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6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6"/>
      <c r="AJ826" s="86"/>
      <c r="AK826" s="86"/>
      <c r="AL826" s="86"/>
      <c r="AM826" s="86"/>
      <c r="AN826" s="86"/>
      <c r="AO826" s="86"/>
      <c r="AP826" s="86"/>
      <c r="AQ826" s="86"/>
    </row>
    <row r="827">
      <c r="A827" s="86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6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6"/>
      <c r="AJ827" s="86"/>
      <c r="AK827" s="86"/>
      <c r="AL827" s="86"/>
      <c r="AM827" s="86"/>
      <c r="AN827" s="86"/>
      <c r="AO827" s="86"/>
      <c r="AP827" s="86"/>
      <c r="AQ827" s="86"/>
    </row>
    <row r="828">
      <c r="A828" s="86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6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6"/>
      <c r="AJ828" s="86"/>
      <c r="AK828" s="86"/>
      <c r="AL828" s="86"/>
      <c r="AM828" s="86"/>
      <c r="AN828" s="86"/>
      <c r="AO828" s="86"/>
      <c r="AP828" s="86"/>
      <c r="AQ828" s="86"/>
    </row>
    <row r="829">
      <c r="A829" s="86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6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6"/>
      <c r="AJ829" s="86"/>
      <c r="AK829" s="86"/>
      <c r="AL829" s="86"/>
      <c r="AM829" s="86"/>
      <c r="AN829" s="86"/>
      <c r="AO829" s="86"/>
      <c r="AP829" s="86"/>
      <c r="AQ829" s="86"/>
    </row>
    <row r="830">
      <c r="A830" s="86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6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6"/>
      <c r="AJ830" s="86"/>
      <c r="AK830" s="86"/>
      <c r="AL830" s="86"/>
      <c r="AM830" s="86"/>
      <c r="AN830" s="86"/>
      <c r="AO830" s="86"/>
      <c r="AP830" s="86"/>
      <c r="AQ830" s="86"/>
    </row>
    <row r="831">
      <c r="A831" s="86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6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6"/>
      <c r="AJ831" s="86"/>
      <c r="AK831" s="86"/>
      <c r="AL831" s="86"/>
      <c r="AM831" s="86"/>
      <c r="AN831" s="86"/>
      <c r="AO831" s="86"/>
      <c r="AP831" s="86"/>
      <c r="AQ831" s="86"/>
    </row>
    <row r="832">
      <c r="A832" s="86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6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6"/>
      <c r="AJ832" s="86"/>
      <c r="AK832" s="86"/>
      <c r="AL832" s="86"/>
      <c r="AM832" s="86"/>
      <c r="AN832" s="86"/>
      <c r="AO832" s="86"/>
      <c r="AP832" s="86"/>
      <c r="AQ832" s="86"/>
    </row>
    <row r="833">
      <c r="A833" s="86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6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6"/>
      <c r="AJ833" s="86"/>
      <c r="AK833" s="86"/>
      <c r="AL833" s="86"/>
      <c r="AM833" s="86"/>
      <c r="AN833" s="86"/>
      <c r="AO833" s="86"/>
      <c r="AP833" s="86"/>
      <c r="AQ833" s="86"/>
    </row>
    <row r="834">
      <c r="A834" s="86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6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6"/>
      <c r="AJ834" s="86"/>
      <c r="AK834" s="86"/>
      <c r="AL834" s="86"/>
      <c r="AM834" s="86"/>
      <c r="AN834" s="86"/>
      <c r="AO834" s="86"/>
      <c r="AP834" s="86"/>
      <c r="AQ834" s="86"/>
    </row>
    <row r="835">
      <c r="A835" s="86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6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6"/>
      <c r="AJ835" s="86"/>
      <c r="AK835" s="86"/>
      <c r="AL835" s="86"/>
      <c r="AM835" s="86"/>
      <c r="AN835" s="86"/>
      <c r="AO835" s="86"/>
      <c r="AP835" s="86"/>
      <c r="AQ835" s="86"/>
    </row>
    <row r="836">
      <c r="A836" s="86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6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6"/>
      <c r="AJ836" s="86"/>
      <c r="AK836" s="86"/>
      <c r="AL836" s="86"/>
      <c r="AM836" s="86"/>
      <c r="AN836" s="86"/>
      <c r="AO836" s="86"/>
      <c r="AP836" s="86"/>
      <c r="AQ836" s="86"/>
    </row>
    <row r="837">
      <c r="A837" s="86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6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6"/>
      <c r="AJ837" s="86"/>
      <c r="AK837" s="86"/>
      <c r="AL837" s="86"/>
      <c r="AM837" s="86"/>
      <c r="AN837" s="86"/>
      <c r="AO837" s="86"/>
      <c r="AP837" s="86"/>
      <c r="AQ837" s="86"/>
    </row>
    <row r="838">
      <c r="A838" s="86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6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6"/>
      <c r="AJ838" s="86"/>
      <c r="AK838" s="86"/>
      <c r="AL838" s="86"/>
      <c r="AM838" s="86"/>
      <c r="AN838" s="86"/>
      <c r="AO838" s="86"/>
      <c r="AP838" s="86"/>
      <c r="AQ838" s="86"/>
    </row>
    <row r="839">
      <c r="A839" s="86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6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6"/>
      <c r="AJ839" s="86"/>
      <c r="AK839" s="86"/>
      <c r="AL839" s="86"/>
      <c r="AM839" s="86"/>
      <c r="AN839" s="86"/>
      <c r="AO839" s="86"/>
      <c r="AP839" s="86"/>
      <c r="AQ839" s="86"/>
    </row>
    <row r="840">
      <c r="A840" s="86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6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6"/>
      <c r="AJ840" s="86"/>
      <c r="AK840" s="86"/>
      <c r="AL840" s="86"/>
      <c r="AM840" s="86"/>
      <c r="AN840" s="86"/>
      <c r="AO840" s="86"/>
      <c r="AP840" s="86"/>
      <c r="AQ840" s="86"/>
    </row>
    <row r="841">
      <c r="A841" s="86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6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6"/>
      <c r="AJ841" s="86"/>
      <c r="AK841" s="86"/>
      <c r="AL841" s="86"/>
      <c r="AM841" s="86"/>
      <c r="AN841" s="86"/>
      <c r="AO841" s="86"/>
      <c r="AP841" s="86"/>
      <c r="AQ841" s="86"/>
    </row>
    <row r="842">
      <c r="A842" s="86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6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6"/>
      <c r="AJ842" s="86"/>
      <c r="AK842" s="86"/>
      <c r="AL842" s="86"/>
      <c r="AM842" s="86"/>
      <c r="AN842" s="86"/>
      <c r="AO842" s="86"/>
      <c r="AP842" s="86"/>
      <c r="AQ842" s="86"/>
    </row>
    <row r="843">
      <c r="A843" s="86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6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6"/>
      <c r="AJ843" s="86"/>
      <c r="AK843" s="86"/>
      <c r="AL843" s="86"/>
      <c r="AM843" s="86"/>
      <c r="AN843" s="86"/>
      <c r="AO843" s="86"/>
      <c r="AP843" s="86"/>
      <c r="AQ843" s="86"/>
    </row>
    <row r="844">
      <c r="A844" s="86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6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6"/>
      <c r="AJ844" s="86"/>
      <c r="AK844" s="86"/>
      <c r="AL844" s="86"/>
      <c r="AM844" s="86"/>
      <c r="AN844" s="86"/>
      <c r="AO844" s="86"/>
      <c r="AP844" s="86"/>
      <c r="AQ844" s="86"/>
    </row>
    <row r="845">
      <c r="A845" s="86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6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6"/>
      <c r="AJ845" s="86"/>
      <c r="AK845" s="86"/>
      <c r="AL845" s="86"/>
      <c r="AM845" s="86"/>
      <c r="AN845" s="86"/>
      <c r="AO845" s="86"/>
      <c r="AP845" s="86"/>
      <c r="AQ845" s="86"/>
    </row>
    <row r="846">
      <c r="A846" s="86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6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6"/>
      <c r="AJ846" s="86"/>
      <c r="AK846" s="86"/>
      <c r="AL846" s="86"/>
      <c r="AM846" s="86"/>
      <c r="AN846" s="86"/>
      <c r="AO846" s="86"/>
      <c r="AP846" s="86"/>
      <c r="AQ846" s="86"/>
    </row>
    <row r="847">
      <c r="A847" s="86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6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6"/>
      <c r="AJ847" s="86"/>
      <c r="AK847" s="86"/>
      <c r="AL847" s="86"/>
      <c r="AM847" s="86"/>
      <c r="AN847" s="86"/>
      <c r="AO847" s="86"/>
      <c r="AP847" s="86"/>
      <c r="AQ847" s="86"/>
    </row>
    <row r="848">
      <c r="A848" s="86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6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6"/>
      <c r="AJ848" s="86"/>
      <c r="AK848" s="86"/>
      <c r="AL848" s="86"/>
      <c r="AM848" s="86"/>
      <c r="AN848" s="86"/>
      <c r="AO848" s="86"/>
      <c r="AP848" s="86"/>
      <c r="AQ848" s="86"/>
    </row>
    <row r="849">
      <c r="A849" s="86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6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6"/>
      <c r="AJ849" s="86"/>
      <c r="AK849" s="86"/>
      <c r="AL849" s="86"/>
      <c r="AM849" s="86"/>
      <c r="AN849" s="86"/>
      <c r="AO849" s="86"/>
      <c r="AP849" s="86"/>
      <c r="AQ849" s="86"/>
    </row>
    <row r="850">
      <c r="A850" s="86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6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6"/>
      <c r="AJ850" s="86"/>
      <c r="AK850" s="86"/>
      <c r="AL850" s="86"/>
      <c r="AM850" s="86"/>
      <c r="AN850" s="86"/>
      <c r="AO850" s="86"/>
      <c r="AP850" s="86"/>
      <c r="AQ850" s="86"/>
    </row>
    <row r="851">
      <c r="A851" s="86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6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6"/>
      <c r="AJ851" s="86"/>
      <c r="AK851" s="86"/>
      <c r="AL851" s="86"/>
      <c r="AM851" s="86"/>
      <c r="AN851" s="86"/>
      <c r="AO851" s="86"/>
      <c r="AP851" s="86"/>
      <c r="AQ851" s="86"/>
    </row>
    <row r="852">
      <c r="A852" s="86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6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6"/>
      <c r="AJ852" s="86"/>
      <c r="AK852" s="86"/>
      <c r="AL852" s="86"/>
      <c r="AM852" s="86"/>
      <c r="AN852" s="86"/>
      <c r="AO852" s="86"/>
      <c r="AP852" s="86"/>
      <c r="AQ852" s="86"/>
    </row>
    <row r="853">
      <c r="A853" s="86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6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6"/>
      <c r="AJ853" s="86"/>
      <c r="AK853" s="86"/>
      <c r="AL853" s="86"/>
      <c r="AM853" s="86"/>
      <c r="AN853" s="86"/>
      <c r="AO853" s="86"/>
      <c r="AP853" s="86"/>
      <c r="AQ853" s="86"/>
    </row>
    <row r="854">
      <c r="A854" s="86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6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6"/>
      <c r="AJ854" s="86"/>
      <c r="AK854" s="86"/>
      <c r="AL854" s="86"/>
      <c r="AM854" s="86"/>
      <c r="AN854" s="86"/>
      <c r="AO854" s="86"/>
      <c r="AP854" s="86"/>
      <c r="AQ854" s="86"/>
    </row>
    <row r="855">
      <c r="A855" s="86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6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6"/>
      <c r="AJ855" s="86"/>
      <c r="AK855" s="86"/>
      <c r="AL855" s="86"/>
      <c r="AM855" s="86"/>
      <c r="AN855" s="86"/>
      <c r="AO855" s="86"/>
      <c r="AP855" s="86"/>
      <c r="AQ855" s="86"/>
    </row>
    <row r="856">
      <c r="A856" s="86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6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6"/>
      <c r="AJ856" s="86"/>
      <c r="AK856" s="86"/>
      <c r="AL856" s="86"/>
      <c r="AM856" s="86"/>
      <c r="AN856" s="86"/>
      <c r="AO856" s="86"/>
      <c r="AP856" s="86"/>
      <c r="AQ856" s="86"/>
    </row>
    <row r="857">
      <c r="A857" s="86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6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6"/>
      <c r="AJ857" s="86"/>
      <c r="AK857" s="86"/>
      <c r="AL857" s="86"/>
      <c r="AM857" s="86"/>
      <c r="AN857" s="86"/>
      <c r="AO857" s="86"/>
      <c r="AP857" s="86"/>
      <c r="AQ857" s="86"/>
    </row>
    <row r="858">
      <c r="A858" s="86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6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6"/>
      <c r="AJ858" s="86"/>
      <c r="AK858" s="86"/>
      <c r="AL858" s="86"/>
      <c r="AM858" s="86"/>
      <c r="AN858" s="86"/>
      <c r="AO858" s="86"/>
      <c r="AP858" s="86"/>
      <c r="AQ858" s="86"/>
    </row>
    <row r="859">
      <c r="A859" s="86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6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6"/>
      <c r="AJ859" s="86"/>
      <c r="AK859" s="86"/>
      <c r="AL859" s="86"/>
      <c r="AM859" s="86"/>
      <c r="AN859" s="86"/>
      <c r="AO859" s="86"/>
      <c r="AP859" s="86"/>
      <c r="AQ859" s="86"/>
    </row>
    <row r="860">
      <c r="A860" s="86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6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6"/>
      <c r="AJ860" s="86"/>
      <c r="AK860" s="86"/>
      <c r="AL860" s="86"/>
      <c r="AM860" s="86"/>
      <c r="AN860" s="86"/>
      <c r="AO860" s="86"/>
      <c r="AP860" s="86"/>
      <c r="AQ860" s="86"/>
    </row>
    <row r="861">
      <c r="A861" s="86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6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6"/>
      <c r="AJ861" s="86"/>
      <c r="AK861" s="86"/>
      <c r="AL861" s="86"/>
      <c r="AM861" s="86"/>
      <c r="AN861" s="86"/>
      <c r="AO861" s="86"/>
      <c r="AP861" s="86"/>
      <c r="AQ861" s="86"/>
    </row>
    <row r="862">
      <c r="A862" s="86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6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6"/>
      <c r="AJ862" s="86"/>
      <c r="AK862" s="86"/>
      <c r="AL862" s="86"/>
      <c r="AM862" s="86"/>
      <c r="AN862" s="86"/>
      <c r="AO862" s="86"/>
      <c r="AP862" s="86"/>
      <c r="AQ862" s="86"/>
    </row>
    <row r="863">
      <c r="A863" s="86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6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6"/>
      <c r="AJ863" s="86"/>
      <c r="AK863" s="86"/>
      <c r="AL863" s="86"/>
      <c r="AM863" s="86"/>
      <c r="AN863" s="86"/>
      <c r="AO863" s="86"/>
      <c r="AP863" s="86"/>
      <c r="AQ863" s="86"/>
    </row>
    <row r="864">
      <c r="A864" s="86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6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6"/>
      <c r="AJ864" s="86"/>
      <c r="AK864" s="86"/>
      <c r="AL864" s="86"/>
      <c r="AM864" s="86"/>
      <c r="AN864" s="86"/>
      <c r="AO864" s="86"/>
      <c r="AP864" s="86"/>
      <c r="AQ864" s="86"/>
    </row>
    <row r="865">
      <c r="A865" s="86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6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6"/>
      <c r="AJ865" s="86"/>
      <c r="AK865" s="86"/>
      <c r="AL865" s="86"/>
      <c r="AM865" s="86"/>
      <c r="AN865" s="86"/>
      <c r="AO865" s="86"/>
      <c r="AP865" s="86"/>
      <c r="AQ865" s="86"/>
    </row>
    <row r="866">
      <c r="A866" s="86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6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6"/>
      <c r="AJ866" s="86"/>
      <c r="AK866" s="86"/>
      <c r="AL866" s="86"/>
      <c r="AM866" s="86"/>
      <c r="AN866" s="86"/>
      <c r="AO866" s="86"/>
      <c r="AP866" s="86"/>
      <c r="AQ866" s="86"/>
    </row>
    <row r="867">
      <c r="A867" s="86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6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6"/>
      <c r="AJ867" s="86"/>
      <c r="AK867" s="86"/>
      <c r="AL867" s="86"/>
      <c r="AM867" s="86"/>
      <c r="AN867" s="86"/>
      <c r="AO867" s="86"/>
      <c r="AP867" s="86"/>
      <c r="AQ867" s="86"/>
    </row>
    <row r="868">
      <c r="A868" s="86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6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6"/>
      <c r="AJ868" s="86"/>
      <c r="AK868" s="86"/>
      <c r="AL868" s="86"/>
      <c r="AM868" s="86"/>
      <c r="AN868" s="86"/>
      <c r="AO868" s="86"/>
      <c r="AP868" s="86"/>
      <c r="AQ868" s="86"/>
    </row>
    <row r="869">
      <c r="A869" s="86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6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6"/>
      <c r="AJ869" s="86"/>
      <c r="AK869" s="86"/>
      <c r="AL869" s="86"/>
      <c r="AM869" s="86"/>
      <c r="AN869" s="86"/>
      <c r="AO869" s="86"/>
      <c r="AP869" s="86"/>
      <c r="AQ869" s="86"/>
    </row>
    <row r="870">
      <c r="A870" s="86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6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6"/>
      <c r="AJ870" s="86"/>
      <c r="AK870" s="86"/>
      <c r="AL870" s="86"/>
      <c r="AM870" s="86"/>
      <c r="AN870" s="86"/>
      <c r="AO870" s="86"/>
      <c r="AP870" s="86"/>
      <c r="AQ870" s="86"/>
    </row>
    <row r="871">
      <c r="A871" s="86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6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6"/>
      <c r="AJ871" s="86"/>
      <c r="AK871" s="86"/>
      <c r="AL871" s="86"/>
      <c r="AM871" s="86"/>
      <c r="AN871" s="86"/>
      <c r="AO871" s="86"/>
      <c r="AP871" s="86"/>
      <c r="AQ871" s="86"/>
    </row>
    <row r="872">
      <c r="A872" s="86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6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6"/>
      <c r="AJ872" s="86"/>
      <c r="AK872" s="86"/>
      <c r="AL872" s="86"/>
      <c r="AM872" s="86"/>
      <c r="AN872" s="86"/>
      <c r="AO872" s="86"/>
      <c r="AP872" s="86"/>
      <c r="AQ872" s="86"/>
    </row>
    <row r="873">
      <c r="A873" s="86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6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6"/>
      <c r="AJ873" s="86"/>
      <c r="AK873" s="86"/>
      <c r="AL873" s="86"/>
      <c r="AM873" s="86"/>
      <c r="AN873" s="86"/>
      <c r="AO873" s="86"/>
      <c r="AP873" s="86"/>
      <c r="AQ873" s="86"/>
    </row>
    <row r="874">
      <c r="A874" s="86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6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6"/>
      <c r="AJ874" s="86"/>
      <c r="AK874" s="86"/>
      <c r="AL874" s="86"/>
      <c r="AM874" s="86"/>
      <c r="AN874" s="86"/>
      <c r="AO874" s="86"/>
      <c r="AP874" s="86"/>
      <c r="AQ874" s="86"/>
    </row>
    <row r="875">
      <c r="A875" s="86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6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6"/>
      <c r="AJ875" s="86"/>
      <c r="AK875" s="86"/>
      <c r="AL875" s="86"/>
      <c r="AM875" s="86"/>
      <c r="AN875" s="86"/>
      <c r="AO875" s="86"/>
      <c r="AP875" s="86"/>
      <c r="AQ875" s="86"/>
    </row>
    <row r="876">
      <c r="A876" s="86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6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6"/>
      <c r="AJ876" s="86"/>
      <c r="AK876" s="86"/>
      <c r="AL876" s="86"/>
      <c r="AM876" s="86"/>
      <c r="AN876" s="86"/>
      <c r="AO876" s="86"/>
      <c r="AP876" s="86"/>
      <c r="AQ876" s="86"/>
    </row>
    <row r="877">
      <c r="A877" s="86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6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6"/>
      <c r="AJ877" s="86"/>
      <c r="AK877" s="86"/>
      <c r="AL877" s="86"/>
      <c r="AM877" s="86"/>
      <c r="AN877" s="86"/>
      <c r="AO877" s="86"/>
      <c r="AP877" s="86"/>
      <c r="AQ877" s="86"/>
    </row>
    <row r="878">
      <c r="A878" s="86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6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6"/>
      <c r="AJ878" s="86"/>
      <c r="AK878" s="86"/>
      <c r="AL878" s="86"/>
      <c r="AM878" s="86"/>
      <c r="AN878" s="86"/>
      <c r="AO878" s="86"/>
      <c r="AP878" s="86"/>
      <c r="AQ878" s="86"/>
    </row>
    <row r="879">
      <c r="A879" s="86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6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6"/>
      <c r="AJ879" s="86"/>
      <c r="AK879" s="86"/>
      <c r="AL879" s="86"/>
      <c r="AM879" s="86"/>
      <c r="AN879" s="86"/>
      <c r="AO879" s="86"/>
      <c r="AP879" s="86"/>
      <c r="AQ879" s="86"/>
    </row>
    <row r="880">
      <c r="A880" s="86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6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6"/>
      <c r="AJ880" s="86"/>
      <c r="AK880" s="86"/>
      <c r="AL880" s="86"/>
      <c r="AM880" s="86"/>
      <c r="AN880" s="86"/>
      <c r="AO880" s="86"/>
      <c r="AP880" s="86"/>
      <c r="AQ880" s="86"/>
    </row>
    <row r="881">
      <c r="A881" s="86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6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6"/>
      <c r="AJ881" s="86"/>
      <c r="AK881" s="86"/>
      <c r="AL881" s="86"/>
      <c r="AM881" s="86"/>
      <c r="AN881" s="86"/>
      <c r="AO881" s="86"/>
      <c r="AP881" s="86"/>
      <c r="AQ881" s="86"/>
    </row>
    <row r="882">
      <c r="A882" s="86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6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6"/>
      <c r="AJ882" s="86"/>
      <c r="AK882" s="86"/>
      <c r="AL882" s="86"/>
      <c r="AM882" s="86"/>
      <c r="AN882" s="86"/>
      <c r="AO882" s="86"/>
      <c r="AP882" s="86"/>
      <c r="AQ882" s="86"/>
    </row>
    <row r="883">
      <c r="A883" s="86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6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6"/>
      <c r="AJ883" s="86"/>
      <c r="AK883" s="86"/>
      <c r="AL883" s="86"/>
      <c r="AM883" s="86"/>
      <c r="AN883" s="86"/>
      <c r="AO883" s="86"/>
      <c r="AP883" s="86"/>
      <c r="AQ883" s="86"/>
    </row>
    <row r="884">
      <c r="A884" s="86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6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6"/>
      <c r="AJ884" s="86"/>
      <c r="AK884" s="86"/>
      <c r="AL884" s="86"/>
      <c r="AM884" s="86"/>
      <c r="AN884" s="86"/>
      <c r="AO884" s="86"/>
      <c r="AP884" s="86"/>
      <c r="AQ884" s="86"/>
    </row>
    <row r="885">
      <c r="A885" s="86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6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6"/>
      <c r="AJ885" s="86"/>
      <c r="AK885" s="86"/>
      <c r="AL885" s="86"/>
      <c r="AM885" s="86"/>
      <c r="AN885" s="86"/>
      <c r="AO885" s="86"/>
      <c r="AP885" s="86"/>
      <c r="AQ885" s="86"/>
    </row>
    <row r="886">
      <c r="A886" s="86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6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6"/>
      <c r="AJ886" s="86"/>
      <c r="AK886" s="86"/>
      <c r="AL886" s="86"/>
      <c r="AM886" s="86"/>
      <c r="AN886" s="86"/>
      <c r="AO886" s="86"/>
      <c r="AP886" s="86"/>
      <c r="AQ886" s="86"/>
    </row>
    <row r="887">
      <c r="A887" s="86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6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6"/>
      <c r="AJ887" s="86"/>
      <c r="AK887" s="86"/>
      <c r="AL887" s="86"/>
      <c r="AM887" s="86"/>
      <c r="AN887" s="86"/>
      <c r="AO887" s="86"/>
      <c r="AP887" s="86"/>
      <c r="AQ887" s="86"/>
    </row>
    <row r="888">
      <c r="A888" s="86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6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6"/>
      <c r="AJ888" s="86"/>
      <c r="AK888" s="86"/>
      <c r="AL888" s="86"/>
      <c r="AM888" s="86"/>
      <c r="AN888" s="86"/>
      <c r="AO888" s="86"/>
      <c r="AP888" s="86"/>
      <c r="AQ888" s="86"/>
    </row>
    <row r="889">
      <c r="A889" s="86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6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6"/>
      <c r="AJ889" s="86"/>
      <c r="AK889" s="86"/>
      <c r="AL889" s="86"/>
      <c r="AM889" s="86"/>
      <c r="AN889" s="86"/>
      <c r="AO889" s="86"/>
      <c r="AP889" s="86"/>
      <c r="AQ889" s="86"/>
    </row>
    <row r="890">
      <c r="A890" s="86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6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6"/>
      <c r="AJ890" s="86"/>
      <c r="AK890" s="86"/>
      <c r="AL890" s="86"/>
      <c r="AM890" s="86"/>
      <c r="AN890" s="86"/>
      <c r="AO890" s="86"/>
      <c r="AP890" s="86"/>
      <c r="AQ890" s="86"/>
    </row>
    <row r="891">
      <c r="A891" s="86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6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6"/>
      <c r="AJ891" s="86"/>
      <c r="AK891" s="86"/>
      <c r="AL891" s="86"/>
      <c r="AM891" s="86"/>
      <c r="AN891" s="86"/>
      <c r="AO891" s="86"/>
      <c r="AP891" s="86"/>
      <c r="AQ891" s="86"/>
    </row>
    <row r="892">
      <c r="A892" s="86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6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6"/>
      <c r="AJ892" s="86"/>
      <c r="AK892" s="86"/>
      <c r="AL892" s="86"/>
      <c r="AM892" s="86"/>
      <c r="AN892" s="86"/>
      <c r="AO892" s="86"/>
      <c r="AP892" s="86"/>
      <c r="AQ892" s="86"/>
    </row>
    <row r="893">
      <c r="A893" s="86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6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6"/>
      <c r="AJ893" s="86"/>
      <c r="AK893" s="86"/>
      <c r="AL893" s="86"/>
      <c r="AM893" s="86"/>
      <c r="AN893" s="86"/>
      <c r="AO893" s="86"/>
      <c r="AP893" s="86"/>
      <c r="AQ893" s="86"/>
    </row>
    <row r="894">
      <c r="A894" s="86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6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6"/>
      <c r="AJ894" s="86"/>
      <c r="AK894" s="86"/>
      <c r="AL894" s="86"/>
      <c r="AM894" s="86"/>
      <c r="AN894" s="86"/>
      <c r="AO894" s="86"/>
      <c r="AP894" s="86"/>
      <c r="AQ894" s="86"/>
    </row>
    <row r="895">
      <c r="A895" s="86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6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6"/>
      <c r="AJ895" s="86"/>
      <c r="AK895" s="86"/>
      <c r="AL895" s="86"/>
      <c r="AM895" s="86"/>
      <c r="AN895" s="86"/>
      <c r="AO895" s="86"/>
      <c r="AP895" s="86"/>
      <c r="AQ895" s="86"/>
    </row>
    <row r="896">
      <c r="A896" s="86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6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6"/>
      <c r="AJ896" s="86"/>
      <c r="AK896" s="86"/>
      <c r="AL896" s="86"/>
      <c r="AM896" s="86"/>
      <c r="AN896" s="86"/>
      <c r="AO896" s="86"/>
      <c r="AP896" s="86"/>
      <c r="AQ896" s="86"/>
    </row>
    <row r="897">
      <c r="A897" s="86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6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6"/>
      <c r="AJ897" s="86"/>
      <c r="AK897" s="86"/>
      <c r="AL897" s="86"/>
      <c r="AM897" s="86"/>
      <c r="AN897" s="86"/>
      <c r="AO897" s="86"/>
      <c r="AP897" s="86"/>
      <c r="AQ897" s="86"/>
    </row>
    <row r="898">
      <c r="A898" s="86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6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6"/>
      <c r="AJ898" s="86"/>
      <c r="AK898" s="86"/>
      <c r="AL898" s="86"/>
      <c r="AM898" s="86"/>
      <c r="AN898" s="86"/>
      <c r="AO898" s="86"/>
      <c r="AP898" s="86"/>
      <c r="AQ898" s="86"/>
    </row>
    <row r="899">
      <c r="A899" s="86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6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6"/>
      <c r="AJ899" s="86"/>
      <c r="AK899" s="86"/>
      <c r="AL899" s="86"/>
      <c r="AM899" s="86"/>
      <c r="AN899" s="86"/>
      <c r="AO899" s="86"/>
      <c r="AP899" s="86"/>
      <c r="AQ899" s="86"/>
    </row>
    <row r="900">
      <c r="A900" s="86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6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6"/>
      <c r="AJ900" s="86"/>
      <c r="AK900" s="86"/>
      <c r="AL900" s="86"/>
      <c r="AM900" s="86"/>
      <c r="AN900" s="86"/>
      <c r="AO900" s="86"/>
      <c r="AP900" s="86"/>
      <c r="AQ900" s="86"/>
    </row>
    <row r="901">
      <c r="A901" s="86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6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6"/>
      <c r="AJ901" s="86"/>
      <c r="AK901" s="86"/>
      <c r="AL901" s="86"/>
      <c r="AM901" s="86"/>
      <c r="AN901" s="86"/>
      <c r="AO901" s="86"/>
      <c r="AP901" s="86"/>
      <c r="AQ901" s="86"/>
    </row>
    <row r="902">
      <c r="A902" s="86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6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6"/>
      <c r="AJ902" s="86"/>
      <c r="AK902" s="86"/>
      <c r="AL902" s="86"/>
      <c r="AM902" s="86"/>
      <c r="AN902" s="86"/>
      <c r="AO902" s="86"/>
      <c r="AP902" s="86"/>
      <c r="AQ902" s="86"/>
    </row>
    <row r="903">
      <c r="A903" s="86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6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6"/>
      <c r="AJ903" s="86"/>
      <c r="AK903" s="86"/>
      <c r="AL903" s="86"/>
      <c r="AM903" s="86"/>
      <c r="AN903" s="86"/>
      <c r="AO903" s="86"/>
      <c r="AP903" s="86"/>
      <c r="AQ903" s="86"/>
    </row>
    <row r="904">
      <c r="A904" s="86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6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6"/>
      <c r="AJ904" s="86"/>
      <c r="AK904" s="86"/>
      <c r="AL904" s="86"/>
      <c r="AM904" s="86"/>
      <c r="AN904" s="86"/>
      <c r="AO904" s="86"/>
      <c r="AP904" s="86"/>
      <c r="AQ904" s="86"/>
    </row>
    <row r="905">
      <c r="A905" s="86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6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6"/>
      <c r="AJ905" s="86"/>
      <c r="AK905" s="86"/>
      <c r="AL905" s="86"/>
      <c r="AM905" s="86"/>
      <c r="AN905" s="86"/>
      <c r="AO905" s="86"/>
      <c r="AP905" s="86"/>
      <c r="AQ905" s="86"/>
    </row>
    <row r="906">
      <c r="A906" s="86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6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6"/>
      <c r="AJ906" s="86"/>
      <c r="AK906" s="86"/>
      <c r="AL906" s="86"/>
      <c r="AM906" s="86"/>
      <c r="AN906" s="86"/>
      <c r="AO906" s="86"/>
      <c r="AP906" s="86"/>
      <c r="AQ906" s="86"/>
    </row>
    <row r="907">
      <c r="A907" s="86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6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6"/>
      <c r="AJ907" s="86"/>
      <c r="AK907" s="86"/>
      <c r="AL907" s="86"/>
      <c r="AM907" s="86"/>
      <c r="AN907" s="86"/>
      <c r="AO907" s="86"/>
      <c r="AP907" s="86"/>
      <c r="AQ907" s="86"/>
    </row>
    <row r="908">
      <c r="A908" s="86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6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6"/>
      <c r="AJ908" s="86"/>
      <c r="AK908" s="86"/>
      <c r="AL908" s="86"/>
      <c r="AM908" s="86"/>
      <c r="AN908" s="86"/>
      <c r="AO908" s="86"/>
      <c r="AP908" s="86"/>
      <c r="AQ908" s="86"/>
    </row>
    <row r="909">
      <c r="A909" s="86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6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6"/>
      <c r="AJ909" s="86"/>
      <c r="AK909" s="86"/>
      <c r="AL909" s="86"/>
      <c r="AM909" s="86"/>
      <c r="AN909" s="86"/>
      <c r="AO909" s="86"/>
      <c r="AP909" s="86"/>
      <c r="AQ909" s="86"/>
    </row>
    <row r="910">
      <c r="A910" s="86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6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6"/>
      <c r="AJ910" s="86"/>
      <c r="AK910" s="86"/>
      <c r="AL910" s="86"/>
      <c r="AM910" s="86"/>
      <c r="AN910" s="86"/>
      <c r="AO910" s="86"/>
      <c r="AP910" s="86"/>
      <c r="AQ910" s="86"/>
    </row>
    <row r="911">
      <c r="A911" s="86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6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6"/>
      <c r="AJ911" s="86"/>
      <c r="AK911" s="86"/>
      <c r="AL911" s="86"/>
      <c r="AM911" s="86"/>
      <c r="AN911" s="86"/>
      <c r="AO911" s="86"/>
      <c r="AP911" s="86"/>
      <c r="AQ911" s="86"/>
    </row>
    <row r="912">
      <c r="A912" s="86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6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6"/>
      <c r="AJ912" s="86"/>
      <c r="AK912" s="86"/>
      <c r="AL912" s="86"/>
      <c r="AM912" s="86"/>
      <c r="AN912" s="86"/>
      <c r="AO912" s="86"/>
      <c r="AP912" s="86"/>
      <c r="AQ912" s="86"/>
    </row>
    <row r="913">
      <c r="A913" s="86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6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6"/>
      <c r="AJ913" s="86"/>
      <c r="AK913" s="86"/>
      <c r="AL913" s="86"/>
      <c r="AM913" s="86"/>
      <c r="AN913" s="86"/>
      <c r="AO913" s="86"/>
      <c r="AP913" s="86"/>
      <c r="AQ913" s="86"/>
    </row>
    <row r="914">
      <c r="A914" s="86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6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6"/>
      <c r="AJ914" s="86"/>
      <c r="AK914" s="86"/>
      <c r="AL914" s="86"/>
      <c r="AM914" s="86"/>
      <c r="AN914" s="86"/>
      <c r="AO914" s="86"/>
      <c r="AP914" s="86"/>
      <c r="AQ914" s="86"/>
    </row>
    <row r="915">
      <c r="A915" s="86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6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6"/>
      <c r="AJ915" s="86"/>
      <c r="AK915" s="86"/>
      <c r="AL915" s="86"/>
      <c r="AM915" s="86"/>
      <c r="AN915" s="86"/>
      <c r="AO915" s="86"/>
      <c r="AP915" s="86"/>
      <c r="AQ915" s="86"/>
    </row>
    <row r="916">
      <c r="A916" s="86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6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6"/>
      <c r="AJ916" s="86"/>
      <c r="AK916" s="86"/>
      <c r="AL916" s="86"/>
      <c r="AM916" s="86"/>
      <c r="AN916" s="86"/>
      <c r="AO916" s="86"/>
      <c r="AP916" s="86"/>
      <c r="AQ916" s="86"/>
    </row>
    <row r="917">
      <c r="A917" s="86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6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6"/>
      <c r="AJ917" s="86"/>
      <c r="AK917" s="86"/>
      <c r="AL917" s="86"/>
      <c r="AM917" s="86"/>
      <c r="AN917" s="86"/>
      <c r="AO917" s="86"/>
      <c r="AP917" s="86"/>
      <c r="AQ917" s="86"/>
    </row>
    <row r="918">
      <c r="A918" s="86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6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6"/>
      <c r="AJ918" s="86"/>
      <c r="AK918" s="86"/>
      <c r="AL918" s="86"/>
      <c r="AM918" s="86"/>
      <c r="AN918" s="86"/>
      <c r="AO918" s="86"/>
      <c r="AP918" s="86"/>
      <c r="AQ918" s="86"/>
    </row>
    <row r="919">
      <c r="A919" s="86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6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6"/>
      <c r="AJ919" s="86"/>
      <c r="AK919" s="86"/>
      <c r="AL919" s="86"/>
      <c r="AM919" s="86"/>
      <c r="AN919" s="86"/>
      <c r="AO919" s="86"/>
      <c r="AP919" s="86"/>
      <c r="AQ919" s="86"/>
    </row>
    <row r="920">
      <c r="A920" s="86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6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6"/>
      <c r="AJ920" s="86"/>
      <c r="AK920" s="86"/>
      <c r="AL920" s="86"/>
      <c r="AM920" s="86"/>
      <c r="AN920" s="86"/>
      <c r="AO920" s="86"/>
      <c r="AP920" s="86"/>
      <c r="AQ920" s="86"/>
    </row>
    <row r="921">
      <c r="A921" s="86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6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6"/>
      <c r="AJ921" s="86"/>
      <c r="AK921" s="86"/>
      <c r="AL921" s="86"/>
      <c r="AM921" s="86"/>
      <c r="AN921" s="86"/>
      <c r="AO921" s="86"/>
      <c r="AP921" s="86"/>
      <c r="AQ921" s="86"/>
    </row>
    <row r="922">
      <c r="A922" s="86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6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6"/>
      <c r="AJ922" s="86"/>
      <c r="AK922" s="86"/>
      <c r="AL922" s="86"/>
      <c r="AM922" s="86"/>
      <c r="AN922" s="86"/>
      <c r="AO922" s="86"/>
      <c r="AP922" s="86"/>
      <c r="AQ922" s="86"/>
    </row>
    <row r="923">
      <c r="A923" s="86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6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6"/>
      <c r="AJ923" s="86"/>
      <c r="AK923" s="86"/>
      <c r="AL923" s="86"/>
      <c r="AM923" s="86"/>
      <c r="AN923" s="86"/>
      <c r="AO923" s="86"/>
      <c r="AP923" s="86"/>
      <c r="AQ923" s="86"/>
    </row>
    <row r="924">
      <c r="A924" s="86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6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6"/>
      <c r="AJ924" s="86"/>
      <c r="AK924" s="86"/>
      <c r="AL924" s="86"/>
      <c r="AM924" s="86"/>
      <c r="AN924" s="86"/>
      <c r="AO924" s="86"/>
      <c r="AP924" s="86"/>
      <c r="AQ924" s="86"/>
    </row>
    <row r="925">
      <c r="A925" s="86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6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6"/>
      <c r="AJ925" s="86"/>
      <c r="AK925" s="86"/>
      <c r="AL925" s="86"/>
      <c r="AM925" s="86"/>
      <c r="AN925" s="86"/>
      <c r="AO925" s="86"/>
      <c r="AP925" s="86"/>
      <c r="AQ925" s="86"/>
    </row>
    <row r="926">
      <c r="A926" s="86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6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6"/>
      <c r="AJ926" s="86"/>
      <c r="AK926" s="86"/>
      <c r="AL926" s="86"/>
      <c r="AM926" s="86"/>
      <c r="AN926" s="86"/>
      <c r="AO926" s="86"/>
      <c r="AP926" s="86"/>
      <c r="AQ926" s="86"/>
    </row>
    <row r="927">
      <c r="A927" s="86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6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6"/>
      <c r="AJ927" s="86"/>
      <c r="AK927" s="86"/>
      <c r="AL927" s="86"/>
      <c r="AM927" s="86"/>
      <c r="AN927" s="86"/>
      <c r="AO927" s="86"/>
      <c r="AP927" s="86"/>
      <c r="AQ927" s="86"/>
    </row>
    <row r="928">
      <c r="A928" s="86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6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6"/>
      <c r="AJ928" s="86"/>
      <c r="AK928" s="86"/>
      <c r="AL928" s="86"/>
      <c r="AM928" s="86"/>
      <c r="AN928" s="86"/>
      <c r="AO928" s="86"/>
      <c r="AP928" s="86"/>
      <c r="AQ928" s="86"/>
    </row>
    <row r="929">
      <c r="A929" s="86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6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6"/>
      <c r="AJ929" s="86"/>
      <c r="AK929" s="86"/>
      <c r="AL929" s="86"/>
      <c r="AM929" s="86"/>
      <c r="AN929" s="86"/>
      <c r="AO929" s="86"/>
      <c r="AP929" s="86"/>
      <c r="AQ929" s="86"/>
    </row>
    <row r="930">
      <c r="A930" s="86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6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6"/>
      <c r="AJ930" s="86"/>
      <c r="AK930" s="86"/>
      <c r="AL930" s="86"/>
      <c r="AM930" s="86"/>
      <c r="AN930" s="86"/>
      <c r="AO930" s="86"/>
      <c r="AP930" s="86"/>
      <c r="AQ930" s="86"/>
    </row>
    <row r="931">
      <c r="A931" s="86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6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6"/>
      <c r="AJ931" s="86"/>
      <c r="AK931" s="86"/>
      <c r="AL931" s="86"/>
      <c r="AM931" s="86"/>
      <c r="AN931" s="86"/>
      <c r="AO931" s="86"/>
      <c r="AP931" s="86"/>
      <c r="AQ931" s="86"/>
    </row>
    <row r="932">
      <c r="A932" s="86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6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6"/>
      <c r="AJ932" s="86"/>
      <c r="AK932" s="86"/>
      <c r="AL932" s="86"/>
      <c r="AM932" s="86"/>
      <c r="AN932" s="86"/>
      <c r="AO932" s="86"/>
      <c r="AP932" s="86"/>
      <c r="AQ932" s="86"/>
    </row>
    <row r="933">
      <c r="A933" s="86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6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6"/>
      <c r="AJ933" s="86"/>
      <c r="AK933" s="86"/>
      <c r="AL933" s="86"/>
      <c r="AM933" s="86"/>
      <c r="AN933" s="86"/>
      <c r="AO933" s="86"/>
      <c r="AP933" s="86"/>
      <c r="AQ933" s="86"/>
    </row>
    <row r="934">
      <c r="A934" s="86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6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6"/>
      <c r="AJ934" s="86"/>
      <c r="AK934" s="86"/>
      <c r="AL934" s="86"/>
      <c r="AM934" s="86"/>
      <c r="AN934" s="86"/>
      <c r="AO934" s="86"/>
      <c r="AP934" s="86"/>
      <c r="AQ934" s="86"/>
    </row>
    <row r="935">
      <c r="A935" s="86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6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6"/>
      <c r="AJ935" s="86"/>
      <c r="AK935" s="86"/>
      <c r="AL935" s="86"/>
      <c r="AM935" s="86"/>
      <c r="AN935" s="86"/>
      <c r="AO935" s="86"/>
      <c r="AP935" s="86"/>
      <c r="AQ935" s="86"/>
    </row>
    <row r="936">
      <c r="A936" s="86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6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6"/>
      <c r="AJ936" s="86"/>
      <c r="AK936" s="86"/>
      <c r="AL936" s="86"/>
      <c r="AM936" s="86"/>
      <c r="AN936" s="86"/>
      <c r="AO936" s="86"/>
      <c r="AP936" s="86"/>
      <c r="AQ936" s="86"/>
    </row>
    <row r="937">
      <c r="A937" s="86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6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6"/>
      <c r="AJ937" s="86"/>
      <c r="AK937" s="86"/>
      <c r="AL937" s="86"/>
      <c r="AM937" s="86"/>
      <c r="AN937" s="86"/>
      <c r="AO937" s="86"/>
      <c r="AP937" s="86"/>
      <c r="AQ937" s="86"/>
    </row>
    <row r="938">
      <c r="A938" s="86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6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6"/>
      <c r="AJ938" s="86"/>
      <c r="AK938" s="86"/>
      <c r="AL938" s="86"/>
      <c r="AM938" s="86"/>
      <c r="AN938" s="86"/>
      <c r="AO938" s="86"/>
      <c r="AP938" s="86"/>
      <c r="AQ938" s="86"/>
    </row>
    <row r="939">
      <c r="A939" s="86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6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6"/>
      <c r="AJ939" s="86"/>
      <c r="AK939" s="86"/>
      <c r="AL939" s="86"/>
      <c r="AM939" s="86"/>
      <c r="AN939" s="86"/>
      <c r="AO939" s="86"/>
      <c r="AP939" s="86"/>
      <c r="AQ939" s="86"/>
    </row>
    <row r="940">
      <c r="A940" s="86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6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6"/>
      <c r="AJ940" s="86"/>
      <c r="AK940" s="86"/>
      <c r="AL940" s="86"/>
      <c r="AM940" s="86"/>
      <c r="AN940" s="86"/>
      <c r="AO940" s="86"/>
      <c r="AP940" s="86"/>
      <c r="AQ940" s="86"/>
    </row>
    <row r="941">
      <c r="A941" s="86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6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6"/>
      <c r="AJ941" s="86"/>
      <c r="AK941" s="86"/>
      <c r="AL941" s="86"/>
      <c r="AM941" s="86"/>
      <c r="AN941" s="86"/>
      <c r="AO941" s="86"/>
      <c r="AP941" s="86"/>
      <c r="AQ941" s="86"/>
    </row>
    <row r="942">
      <c r="A942" s="86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6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6"/>
      <c r="AJ942" s="86"/>
      <c r="AK942" s="86"/>
      <c r="AL942" s="86"/>
      <c r="AM942" s="86"/>
      <c r="AN942" s="86"/>
      <c r="AO942" s="86"/>
      <c r="AP942" s="86"/>
      <c r="AQ942" s="86"/>
    </row>
    <row r="943">
      <c r="A943" s="86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6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6"/>
      <c r="AJ943" s="86"/>
      <c r="AK943" s="86"/>
      <c r="AL943" s="86"/>
      <c r="AM943" s="86"/>
      <c r="AN943" s="86"/>
      <c r="AO943" s="86"/>
      <c r="AP943" s="86"/>
      <c r="AQ943" s="86"/>
    </row>
    <row r="944">
      <c r="A944" s="86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6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6"/>
      <c r="AJ944" s="86"/>
      <c r="AK944" s="86"/>
      <c r="AL944" s="86"/>
      <c r="AM944" s="86"/>
      <c r="AN944" s="86"/>
      <c r="AO944" s="86"/>
      <c r="AP944" s="86"/>
      <c r="AQ944" s="86"/>
    </row>
    <row r="945">
      <c r="A945" s="86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6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6"/>
      <c r="AJ945" s="86"/>
      <c r="AK945" s="86"/>
      <c r="AL945" s="86"/>
      <c r="AM945" s="86"/>
      <c r="AN945" s="86"/>
      <c r="AO945" s="86"/>
      <c r="AP945" s="86"/>
      <c r="AQ945" s="86"/>
    </row>
    <row r="946">
      <c r="A946" s="86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6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6"/>
      <c r="AJ946" s="86"/>
      <c r="AK946" s="86"/>
      <c r="AL946" s="86"/>
      <c r="AM946" s="86"/>
      <c r="AN946" s="86"/>
      <c r="AO946" s="86"/>
      <c r="AP946" s="86"/>
      <c r="AQ946" s="86"/>
    </row>
    <row r="947">
      <c r="A947" s="86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6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6"/>
      <c r="AJ947" s="86"/>
      <c r="AK947" s="86"/>
      <c r="AL947" s="86"/>
      <c r="AM947" s="86"/>
      <c r="AN947" s="86"/>
      <c r="AO947" s="86"/>
      <c r="AP947" s="86"/>
      <c r="AQ947" s="86"/>
    </row>
    <row r="948">
      <c r="A948" s="86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6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6"/>
      <c r="AJ948" s="86"/>
      <c r="AK948" s="86"/>
      <c r="AL948" s="86"/>
      <c r="AM948" s="86"/>
      <c r="AN948" s="86"/>
      <c r="AO948" s="86"/>
      <c r="AP948" s="86"/>
      <c r="AQ948" s="86"/>
    </row>
    <row r="949">
      <c r="A949" s="86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6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6"/>
      <c r="AJ949" s="86"/>
      <c r="AK949" s="86"/>
      <c r="AL949" s="86"/>
      <c r="AM949" s="86"/>
      <c r="AN949" s="86"/>
      <c r="AO949" s="86"/>
      <c r="AP949" s="86"/>
      <c r="AQ949" s="86"/>
    </row>
    <row r="950">
      <c r="A950" s="86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6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6"/>
      <c r="AJ950" s="86"/>
      <c r="AK950" s="86"/>
      <c r="AL950" s="86"/>
      <c r="AM950" s="86"/>
      <c r="AN950" s="86"/>
      <c r="AO950" s="86"/>
      <c r="AP950" s="86"/>
      <c r="AQ950" s="86"/>
    </row>
    <row r="951">
      <c r="A951" s="86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6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6"/>
      <c r="AJ951" s="86"/>
      <c r="AK951" s="86"/>
      <c r="AL951" s="86"/>
      <c r="AM951" s="86"/>
      <c r="AN951" s="86"/>
      <c r="AO951" s="86"/>
      <c r="AP951" s="86"/>
      <c r="AQ951" s="86"/>
    </row>
    <row r="952">
      <c r="A952" s="86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6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6"/>
      <c r="AJ952" s="86"/>
      <c r="AK952" s="86"/>
      <c r="AL952" s="86"/>
      <c r="AM952" s="86"/>
      <c r="AN952" s="86"/>
      <c r="AO952" s="86"/>
      <c r="AP952" s="86"/>
      <c r="AQ952" s="86"/>
    </row>
    <row r="953">
      <c r="A953" s="86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6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6"/>
      <c r="AJ953" s="86"/>
      <c r="AK953" s="86"/>
      <c r="AL953" s="86"/>
      <c r="AM953" s="86"/>
      <c r="AN953" s="86"/>
      <c r="AO953" s="86"/>
      <c r="AP953" s="86"/>
      <c r="AQ953" s="86"/>
    </row>
    <row r="954">
      <c r="A954" s="86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6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6"/>
      <c r="AJ954" s="86"/>
      <c r="AK954" s="86"/>
      <c r="AL954" s="86"/>
      <c r="AM954" s="86"/>
      <c r="AN954" s="86"/>
      <c r="AO954" s="86"/>
      <c r="AP954" s="86"/>
      <c r="AQ954" s="86"/>
    </row>
    <row r="955">
      <c r="A955" s="86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6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6"/>
      <c r="AJ955" s="86"/>
      <c r="AK955" s="86"/>
      <c r="AL955" s="86"/>
      <c r="AM955" s="86"/>
      <c r="AN955" s="86"/>
      <c r="AO955" s="86"/>
      <c r="AP955" s="86"/>
      <c r="AQ955" s="86"/>
    </row>
    <row r="956">
      <c r="A956" s="86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6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6"/>
      <c r="AJ956" s="86"/>
      <c r="AK956" s="86"/>
      <c r="AL956" s="86"/>
      <c r="AM956" s="86"/>
      <c r="AN956" s="86"/>
      <c r="AO956" s="86"/>
      <c r="AP956" s="86"/>
      <c r="AQ956" s="86"/>
    </row>
    <row r="957">
      <c r="A957" s="86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6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6"/>
      <c r="AJ957" s="86"/>
      <c r="AK957" s="86"/>
      <c r="AL957" s="86"/>
      <c r="AM957" s="86"/>
      <c r="AN957" s="86"/>
      <c r="AO957" s="86"/>
      <c r="AP957" s="86"/>
      <c r="AQ957" s="86"/>
    </row>
    <row r="958">
      <c r="A958" s="86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6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6"/>
      <c r="AJ958" s="86"/>
      <c r="AK958" s="86"/>
      <c r="AL958" s="86"/>
      <c r="AM958" s="86"/>
      <c r="AN958" s="86"/>
      <c r="AO958" s="86"/>
      <c r="AP958" s="86"/>
      <c r="AQ958" s="86"/>
    </row>
    <row r="959">
      <c r="A959" s="86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6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6"/>
      <c r="AJ959" s="86"/>
      <c r="AK959" s="86"/>
      <c r="AL959" s="86"/>
      <c r="AM959" s="86"/>
      <c r="AN959" s="86"/>
      <c r="AO959" s="86"/>
      <c r="AP959" s="86"/>
      <c r="AQ959" s="86"/>
    </row>
    <row r="960">
      <c r="A960" s="86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6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6"/>
      <c r="AJ960" s="86"/>
      <c r="AK960" s="86"/>
      <c r="AL960" s="86"/>
      <c r="AM960" s="86"/>
      <c r="AN960" s="86"/>
      <c r="AO960" s="86"/>
      <c r="AP960" s="86"/>
      <c r="AQ960" s="86"/>
    </row>
    <row r="961">
      <c r="A961" s="86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6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6"/>
      <c r="AJ961" s="86"/>
      <c r="AK961" s="86"/>
      <c r="AL961" s="86"/>
      <c r="AM961" s="86"/>
      <c r="AN961" s="86"/>
      <c r="AO961" s="86"/>
      <c r="AP961" s="86"/>
      <c r="AQ961" s="86"/>
    </row>
    <row r="962">
      <c r="A962" s="86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6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6"/>
      <c r="AJ962" s="86"/>
      <c r="AK962" s="86"/>
      <c r="AL962" s="86"/>
      <c r="AM962" s="86"/>
      <c r="AN962" s="86"/>
      <c r="AO962" s="86"/>
      <c r="AP962" s="86"/>
      <c r="AQ962" s="86"/>
    </row>
    <row r="963">
      <c r="A963" s="86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6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6"/>
      <c r="AJ963" s="86"/>
      <c r="AK963" s="86"/>
      <c r="AL963" s="86"/>
      <c r="AM963" s="86"/>
      <c r="AN963" s="86"/>
      <c r="AO963" s="86"/>
      <c r="AP963" s="86"/>
      <c r="AQ963" s="86"/>
    </row>
    <row r="964">
      <c r="A964" s="86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6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6"/>
      <c r="AJ964" s="86"/>
      <c r="AK964" s="86"/>
      <c r="AL964" s="86"/>
      <c r="AM964" s="86"/>
      <c r="AN964" s="86"/>
      <c r="AO964" s="86"/>
      <c r="AP964" s="86"/>
      <c r="AQ964" s="86"/>
    </row>
    <row r="965">
      <c r="A965" s="86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6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6"/>
      <c r="AJ965" s="86"/>
      <c r="AK965" s="86"/>
      <c r="AL965" s="86"/>
      <c r="AM965" s="86"/>
      <c r="AN965" s="86"/>
      <c r="AO965" s="86"/>
      <c r="AP965" s="86"/>
      <c r="AQ965" s="86"/>
    </row>
    <row r="966">
      <c r="A966" s="86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6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6"/>
      <c r="AJ966" s="86"/>
      <c r="AK966" s="86"/>
      <c r="AL966" s="86"/>
      <c r="AM966" s="86"/>
      <c r="AN966" s="86"/>
      <c r="AO966" s="86"/>
      <c r="AP966" s="86"/>
      <c r="AQ966" s="86"/>
    </row>
    <row r="967">
      <c r="A967" s="86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6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6"/>
      <c r="AJ967" s="86"/>
      <c r="AK967" s="86"/>
      <c r="AL967" s="86"/>
      <c r="AM967" s="86"/>
      <c r="AN967" s="86"/>
      <c r="AO967" s="86"/>
      <c r="AP967" s="86"/>
      <c r="AQ967" s="86"/>
    </row>
    <row r="968">
      <c r="A968" s="86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6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6"/>
      <c r="AJ968" s="86"/>
      <c r="AK968" s="86"/>
      <c r="AL968" s="86"/>
      <c r="AM968" s="86"/>
      <c r="AN968" s="86"/>
      <c r="AO968" s="86"/>
      <c r="AP968" s="86"/>
      <c r="AQ968" s="86"/>
    </row>
    <row r="969">
      <c r="A969" s="86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6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6"/>
      <c r="AJ969" s="86"/>
      <c r="AK969" s="86"/>
      <c r="AL969" s="86"/>
      <c r="AM969" s="86"/>
      <c r="AN969" s="86"/>
      <c r="AO969" s="86"/>
      <c r="AP969" s="86"/>
      <c r="AQ969" s="86"/>
    </row>
    <row r="970">
      <c r="A970" s="86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6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6"/>
      <c r="AJ970" s="86"/>
      <c r="AK970" s="86"/>
      <c r="AL970" s="86"/>
      <c r="AM970" s="86"/>
      <c r="AN970" s="86"/>
      <c r="AO970" s="86"/>
      <c r="AP970" s="86"/>
      <c r="AQ970" s="86"/>
    </row>
    <row r="971">
      <c r="A971" s="86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6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6"/>
      <c r="AJ971" s="86"/>
      <c r="AK971" s="86"/>
      <c r="AL971" s="86"/>
      <c r="AM971" s="86"/>
      <c r="AN971" s="86"/>
      <c r="AO971" s="86"/>
      <c r="AP971" s="86"/>
      <c r="AQ971" s="86"/>
    </row>
    <row r="972">
      <c r="A972" s="86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6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6"/>
      <c r="AJ972" s="86"/>
      <c r="AK972" s="86"/>
      <c r="AL972" s="86"/>
      <c r="AM972" s="86"/>
      <c r="AN972" s="86"/>
      <c r="AO972" s="86"/>
      <c r="AP972" s="86"/>
      <c r="AQ972" s="86"/>
    </row>
    <row r="973">
      <c r="A973" s="86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6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6"/>
      <c r="AJ973" s="86"/>
      <c r="AK973" s="86"/>
      <c r="AL973" s="86"/>
      <c r="AM973" s="86"/>
      <c r="AN973" s="86"/>
      <c r="AO973" s="86"/>
      <c r="AP973" s="86"/>
      <c r="AQ973" s="86"/>
    </row>
    <row r="974">
      <c r="A974" s="86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6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6"/>
      <c r="AJ974" s="86"/>
      <c r="AK974" s="86"/>
      <c r="AL974" s="86"/>
      <c r="AM974" s="86"/>
      <c r="AN974" s="86"/>
      <c r="AO974" s="86"/>
      <c r="AP974" s="86"/>
      <c r="AQ974" s="86"/>
    </row>
    <row r="975">
      <c r="A975" s="86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6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6"/>
      <c r="AJ975" s="86"/>
      <c r="AK975" s="86"/>
      <c r="AL975" s="86"/>
      <c r="AM975" s="86"/>
      <c r="AN975" s="86"/>
      <c r="AO975" s="86"/>
      <c r="AP975" s="86"/>
      <c r="AQ975" s="86"/>
    </row>
    <row r="976">
      <c r="A976" s="86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6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6"/>
      <c r="AJ976" s="86"/>
      <c r="AK976" s="86"/>
      <c r="AL976" s="86"/>
      <c r="AM976" s="86"/>
      <c r="AN976" s="86"/>
      <c r="AO976" s="86"/>
      <c r="AP976" s="86"/>
      <c r="AQ976" s="86"/>
    </row>
    <row r="977">
      <c r="A977" s="86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6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6"/>
      <c r="AJ977" s="86"/>
      <c r="AK977" s="86"/>
      <c r="AL977" s="86"/>
      <c r="AM977" s="86"/>
      <c r="AN977" s="86"/>
      <c r="AO977" s="86"/>
      <c r="AP977" s="86"/>
      <c r="AQ977" s="86"/>
    </row>
    <row r="978">
      <c r="A978" s="86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6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6"/>
      <c r="AJ978" s="86"/>
      <c r="AK978" s="86"/>
      <c r="AL978" s="86"/>
      <c r="AM978" s="86"/>
      <c r="AN978" s="86"/>
      <c r="AO978" s="86"/>
      <c r="AP978" s="86"/>
      <c r="AQ978" s="86"/>
    </row>
    <row r="979">
      <c r="A979" s="86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6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6"/>
      <c r="AJ979" s="86"/>
      <c r="AK979" s="86"/>
      <c r="AL979" s="86"/>
      <c r="AM979" s="86"/>
      <c r="AN979" s="86"/>
      <c r="AO979" s="86"/>
      <c r="AP979" s="86"/>
      <c r="AQ979" s="86"/>
    </row>
    <row r="980">
      <c r="A980" s="86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6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6"/>
      <c r="AJ980" s="86"/>
      <c r="AK980" s="86"/>
      <c r="AL980" s="86"/>
      <c r="AM980" s="86"/>
      <c r="AN980" s="86"/>
      <c r="AO980" s="86"/>
      <c r="AP980" s="86"/>
      <c r="AQ980" s="86"/>
    </row>
    <row r="981">
      <c r="A981" s="86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6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6"/>
      <c r="AJ981" s="86"/>
      <c r="AK981" s="86"/>
      <c r="AL981" s="86"/>
      <c r="AM981" s="86"/>
      <c r="AN981" s="86"/>
      <c r="AO981" s="86"/>
      <c r="AP981" s="86"/>
      <c r="AQ981" s="86"/>
    </row>
    <row r="982">
      <c r="A982" s="86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6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6"/>
      <c r="AJ982" s="86"/>
      <c r="AK982" s="86"/>
      <c r="AL982" s="86"/>
      <c r="AM982" s="86"/>
      <c r="AN982" s="86"/>
      <c r="AO982" s="86"/>
      <c r="AP982" s="86"/>
      <c r="AQ982" s="86"/>
    </row>
    <row r="983">
      <c r="A983" s="86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6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6"/>
      <c r="AJ983" s="86"/>
      <c r="AK983" s="86"/>
      <c r="AL983" s="86"/>
      <c r="AM983" s="86"/>
      <c r="AN983" s="86"/>
      <c r="AO983" s="86"/>
      <c r="AP983" s="86"/>
      <c r="AQ983" s="86"/>
    </row>
    <row r="984">
      <c r="A984" s="86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6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6"/>
      <c r="AJ984" s="86"/>
      <c r="AK984" s="86"/>
      <c r="AL984" s="86"/>
      <c r="AM984" s="86"/>
      <c r="AN984" s="86"/>
      <c r="AO984" s="86"/>
      <c r="AP984" s="86"/>
      <c r="AQ984" s="86"/>
    </row>
    <row r="985">
      <c r="A985" s="86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6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6"/>
      <c r="AJ985" s="86"/>
      <c r="AK985" s="86"/>
      <c r="AL985" s="86"/>
      <c r="AM985" s="86"/>
      <c r="AN985" s="86"/>
      <c r="AO985" s="86"/>
      <c r="AP985" s="86"/>
      <c r="AQ985" s="86"/>
    </row>
    <row r="986">
      <c r="A986" s="86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6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6"/>
      <c r="AJ986" s="86"/>
      <c r="AK986" s="86"/>
      <c r="AL986" s="86"/>
      <c r="AM986" s="86"/>
      <c r="AN986" s="86"/>
      <c r="AO986" s="86"/>
      <c r="AP986" s="86"/>
      <c r="AQ986" s="86"/>
    </row>
    <row r="987">
      <c r="A987" s="86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6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6"/>
      <c r="AJ987" s="86"/>
      <c r="AK987" s="86"/>
      <c r="AL987" s="86"/>
      <c r="AM987" s="86"/>
      <c r="AN987" s="86"/>
      <c r="AO987" s="86"/>
      <c r="AP987" s="86"/>
      <c r="AQ987" s="86"/>
    </row>
    <row r="988">
      <c r="A988" s="86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6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6"/>
      <c r="AJ988" s="86"/>
      <c r="AK988" s="86"/>
      <c r="AL988" s="86"/>
      <c r="AM988" s="86"/>
      <c r="AN988" s="86"/>
      <c r="AO988" s="86"/>
      <c r="AP988" s="86"/>
      <c r="AQ988" s="86"/>
    </row>
    <row r="989">
      <c r="A989" s="86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6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6"/>
      <c r="AJ989" s="86"/>
      <c r="AK989" s="86"/>
      <c r="AL989" s="86"/>
      <c r="AM989" s="86"/>
      <c r="AN989" s="86"/>
      <c r="AO989" s="86"/>
      <c r="AP989" s="86"/>
      <c r="AQ989" s="86"/>
    </row>
    <row r="990">
      <c r="A990" s="86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6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6"/>
      <c r="AJ990" s="86"/>
      <c r="AK990" s="86"/>
      <c r="AL990" s="86"/>
      <c r="AM990" s="86"/>
      <c r="AN990" s="86"/>
      <c r="AO990" s="86"/>
      <c r="AP990" s="86"/>
      <c r="AQ990" s="86"/>
    </row>
    <row r="991">
      <c r="A991" s="86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6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6"/>
      <c r="AJ991" s="86"/>
      <c r="AK991" s="86"/>
      <c r="AL991" s="86"/>
      <c r="AM991" s="86"/>
      <c r="AN991" s="86"/>
      <c r="AO991" s="86"/>
      <c r="AP991" s="86"/>
      <c r="AQ991" s="86"/>
    </row>
    <row r="992">
      <c r="A992" s="86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6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6"/>
      <c r="AJ992" s="86"/>
      <c r="AK992" s="86"/>
      <c r="AL992" s="86"/>
      <c r="AM992" s="86"/>
      <c r="AN992" s="86"/>
      <c r="AO992" s="86"/>
      <c r="AP992" s="86"/>
      <c r="AQ992" s="86"/>
    </row>
    <row r="993">
      <c r="A993" s="86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6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6"/>
      <c r="AJ993" s="86"/>
      <c r="AK993" s="86"/>
      <c r="AL993" s="86"/>
      <c r="AM993" s="86"/>
      <c r="AN993" s="86"/>
      <c r="AO993" s="86"/>
      <c r="AP993" s="86"/>
      <c r="AQ993" s="86"/>
    </row>
  </sheetData>
  <autoFilter ref="$A$2:$AQ$109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42.88"/>
    <col customWidth="1" min="3" max="3" width="16.63"/>
    <col customWidth="1" min="4" max="4" width="6.5"/>
    <col customWidth="1" min="5" max="5" width="6.25"/>
    <col customWidth="1" min="6" max="6" width="8.38"/>
    <col customWidth="1" min="7" max="7" width="9.75"/>
    <col customWidth="1" min="8" max="8" width="8.75"/>
    <col customWidth="1" min="9" max="9" width="10.5"/>
    <col customWidth="1" min="10" max="10" width="30.75"/>
    <col customWidth="1" min="11" max="11" width="42.88"/>
    <col customWidth="1" min="12" max="12" width="21.75"/>
    <col customWidth="1" min="13" max="13" width="9.25"/>
    <col customWidth="1" min="14" max="14" width="16.63"/>
    <col customWidth="1" min="15" max="15" width="10.75"/>
    <col customWidth="1" min="16" max="17" width="9.25"/>
    <col customWidth="1" min="18" max="18" width="30.13"/>
    <col customWidth="1" min="19" max="19" width="9.25"/>
    <col customWidth="1" min="20" max="20" width="10.13"/>
    <col customWidth="1" min="21" max="21" width="9.25"/>
    <col customWidth="1" min="22" max="22" width="16.63"/>
    <col customWidth="1" min="23" max="23" width="15.38"/>
    <col customWidth="1" min="24" max="24" width="8.0"/>
    <col customWidth="1" min="25" max="25" width="11.0"/>
    <col customWidth="1" min="26" max="26" width="19.38"/>
    <col customWidth="1" min="27" max="27" width="22.75"/>
    <col customWidth="1" min="28" max="28" width="25.63"/>
    <col customWidth="1" min="29" max="29" width="16.25"/>
    <col customWidth="1" min="30" max="30" width="70.25"/>
    <col customWidth="1" min="31" max="31" width="10.63"/>
    <col customWidth="1" min="32" max="32" width="18.25"/>
    <col customWidth="1" min="33" max="33" width="23.13"/>
    <col customWidth="1" min="34" max="34" width="44.88"/>
    <col customWidth="1" min="35" max="35" width="13.88"/>
    <col customWidth="1" min="36" max="36" width="11.88"/>
    <col customWidth="1" min="37" max="37" width="13.0"/>
    <col customWidth="1" min="38" max="38" width="9.5"/>
    <col customWidth="1" min="39" max="39" width="12.5"/>
    <col customWidth="1" min="40" max="40" width="14.75"/>
    <col customWidth="1" min="41" max="41" width="18.75"/>
    <col customWidth="1" min="42" max="42" width="11.63"/>
    <col customWidth="1" min="43" max="43" width="11.38"/>
  </cols>
  <sheetData>
    <row r="1" ht="12.75" customHeight="1">
      <c r="A1" s="75" t="s">
        <v>0</v>
      </c>
      <c r="B1" s="75" t="s">
        <v>0</v>
      </c>
      <c r="C1" s="75" t="s">
        <v>0</v>
      </c>
      <c r="D1" s="75" t="s">
        <v>0</v>
      </c>
      <c r="E1" s="75" t="s">
        <v>0</v>
      </c>
      <c r="F1" s="75" t="s">
        <v>0</v>
      </c>
      <c r="G1" s="75" t="s">
        <v>0</v>
      </c>
      <c r="H1" s="75" t="s">
        <v>0</v>
      </c>
      <c r="I1" s="75" t="s">
        <v>0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4" t="s">
        <v>2</v>
      </c>
      <c r="X1" s="4" t="s">
        <v>2</v>
      </c>
      <c r="Y1" s="4" t="s">
        <v>2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4" t="s">
        <v>2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4" t="s">
        <v>2</v>
      </c>
      <c r="AM1" s="4" t="s">
        <v>2</v>
      </c>
      <c r="AN1" s="4" t="s">
        <v>2</v>
      </c>
      <c r="AO1" s="4" t="s">
        <v>2</v>
      </c>
      <c r="AP1" s="4" t="s">
        <v>2</v>
      </c>
      <c r="AQ1" s="4" t="s">
        <v>2</v>
      </c>
    </row>
    <row r="2" ht="12.75" customHeight="1">
      <c r="A2" s="92" t="s">
        <v>3</v>
      </c>
      <c r="B2" s="76" t="s">
        <v>4</v>
      </c>
      <c r="C2" s="76" t="s">
        <v>5</v>
      </c>
      <c r="D2" s="76" t="s">
        <v>6</v>
      </c>
      <c r="E2" s="76" t="s">
        <v>7</v>
      </c>
      <c r="F2" s="76" t="s">
        <v>8</v>
      </c>
      <c r="G2" s="76" t="s">
        <v>9</v>
      </c>
      <c r="H2" s="76" t="s">
        <v>10</v>
      </c>
      <c r="I2" s="76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5" t="s">
        <v>45</v>
      </c>
    </row>
    <row r="3" ht="12.75" customHeight="1">
      <c r="A3" s="93">
        <v>1.0</v>
      </c>
      <c r="B3" s="93" t="s">
        <v>4632</v>
      </c>
      <c r="C3" s="93" t="s">
        <v>4633</v>
      </c>
      <c r="D3" s="93" t="s">
        <v>4634</v>
      </c>
      <c r="E3" s="94" t="s">
        <v>48</v>
      </c>
      <c r="F3" s="93" t="s">
        <v>4635</v>
      </c>
      <c r="G3" s="94" t="s">
        <v>315</v>
      </c>
      <c r="H3" s="93">
        <v>7.0</v>
      </c>
      <c r="I3" s="93">
        <v>310.0</v>
      </c>
      <c r="J3" s="93" t="s">
        <v>4636</v>
      </c>
      <c r="K3" s="93" t="s">
        <v>4632</v>
      </c>
      <c r="L3" s="95" t="s">
        <v>4637</v>
      </c>
      <c r="M3" s="93" t="s">
        <v>4638</v>
      </c>
      <c r="N3" s="93" t="s">
        <v>4633</v>
      </c>
      <c r="O3" s="95" t="s">
        <v>4639</v>
      </c>
      <c r="P3" s="93">
        <v>2021.0</v>
      </c>
      <c r="Q3" s="93" t="s">
        <v>4640</v>
      </c>
      <c r="R3" s="93" t="s">
        <v>4641</v>
      </c>
      <c r="S3" s="93" t="s">
        <v>57</v>
      </c>
      <c r="T3" s="93" t="s">
        <v>4642</v>
      </c>
      <c r="U3" s="93" t="s">
        <v>59</v>
      </c>
      <c r="V3" s="93">
        <v>7.0</v>
      </c>
      <c r="W3" s="93"/>
      <c r="X3" s="93"/>
      <c r="Y3" s="93"/>
      <c r="Z3" s="96" t="s">
        <v>420</v>
      </c>
      <c r="AA3" s="96" t="s">
        <v>61</v>
      </c>
      <c r="AB3" s="96" t="s">
        <v>2918</v>
      </c>
      <c r="AC3" s="96" t="s">
        <v>63</v>
      </c>
      <c r="AD3" s="96" t="s">
        <v>423</v>
      </c>
      <c r="AE3" s="93"/>
      <c r="AF3" s="96" t="s">
        <v>64</v>
      </c>
      <c r="AG3" s="96" t="s">
        <v>2677</v>
      </c>
      <c r="AH3" s="93" t="s">
        <v>4643</v>
      </c>
      <c r="AI3" s="97" t="s">
        <v>4644</v>
      </c>
      <c r="AJ3" s="97" t="s">
        <v>4644</v>
      </c>
      <c r="AK3" s="93" t="s">
        <v>70</v>
      </c>
      <c r="AL3" s="93"/>
      <c r="AM3" s="93"/>
      <c r="AN3" s="93"/>
      <c r="AO3" s="93"/>
      <c r="AP3" s="93"/>
      <c r="AQ3" s="93"/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45.75"/>
    <col customWidth="1" min="3" max="6" width="12.63"/>
  </cols>
  <sheetData>
    <row r="1" ht="15.75" customHeight="1">
      <c r="A1" s="98" t="s">
        <v>3</v>
      </c>
      <c r="B1" s="5" t="s">
        <v>4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</row>
    <row r="2" ht="15.75" customHeight="1">
      <c r="A2" s="9">
        <v>1.0</v>
      </c>
      <c r="B2" s="10" t="s">
        <v>4645</v>
      </c>
      <c r="C2" s="11" t="str">
        <f>IFERROR(__xludf.DUMMYFUNCTION("REGEXEXTRACT(B2,""[A-Z]{2,}"")"),"NFPA")</f>
        <v>NFPA</v>
      </c>
      <c r="D2" s="11" t="s">
        <v>48</v>
      </c>
      <c r="E2" s="11" t="s">
        <v>49</v>
      </c>
      <c r="F2" s="11" t="s">
        <v>50</v>
      </c>
      <c r="G2" s="11">
        <v>14.4</v>
      </c>
      <c r="H2" s="11">
        <v>222.0</v>
      </c>
    </row>
    <row r="3" ht="15.75" customHeight="1">
      <c r="A3" s="9">
        <v>2.0</v>
      </c>
      <c r="B3" s="10" t="s">
        <v>4646</v>
      </c>
      <c r="C3" s="11" t="str">
        <f>IFERROR(__xludf.DUMMYFUNCTION("REGEXEXTRACT(B3,""[A-Z]{2,}"")"),"NFPA")</f>
        <v>NFPA</v>
      </c>
      <c r="D3" s="11" t="s">
        <v>48</v>
      </c>
      <c r="E3" s="11" t="s">
        <v>73</v>
      </c>
      <c r="F3" s="11" t="s">
        <v>50</v>
      </c>
      <c r="G3" s="11">
        <v>286.6</v>
      </c>
      <c r="H3" s="11">
        <v>641.0</v>
      </c>
    </row>
    <row r="4" ht="15.75" customHeight="1">
      <c r="A4" s="9">
        <v>3.0</v>
      </c>
      <c r="B4" s="10" t="s">
        <v>4647</v>
      </c>
      <c r="C4" s="11" t="s">
        <v>55</v>
      </c>
      <c r="D4" s="11" t="s">
        <v>48</v>
      </c>
      <c r="E4" s="11" t="s">
        <v>49</v>
      </c>
      <c r="F4" s="11" t="s">
        <v>50</v>
      </c>
      <c r="G4" s="11">
        <v>12.8</v>
      </c>
      <c r="H4" s="11">
        <v>120.0</v>
      </c>
    </row>
    <row r="5" ht="15.75" customHeight="1">
      <c r="A5" s="9">
        <v>4.0</v>
      </c>
      <c r="B5" s="10" t="s">
        <v>4648</v>
      </c>
      <c r="C5" s="11" t="str">
        <f>IFERROR(__xludf.DUMMYFUNCTION("REGEXEXTRACT(B5,""[A-Z]{2,}"")"),"NFPA")</f>
        <v>NFPA</v>
      </c>
      <c r="D5" s="11" t="s">
        <v>48</v>
      </c>
      <c r="E5" s="11" t="s">
        <v>49</v>
      </c>
      <c r="F5" s="11" t="s">
        <v>50</v>
      </c>
      <c r="G5" s="11">
        <v>12.3</v>
      </c>
      <c r="H5" s="11">
        <v>106.0</v>
      </c>
    </row>
    <row r="6" ht="15.75" customHeight="1">
      <c r="A6" s="9">
        <v>5.0</v>
      </c>
      <c r="B6" s="10" t="s">
        <v>4649</v>
      </c>
      <c r="C6" s="11" t="str">
        <f>IFERROR(__xludf.DUMMYFUNCTION("REGEXEXTRACT(B6,""[A-Z]{2,}"")"),"NFPA")</f>
        <v>NFPA</v>
      </c>
      <c r="D6" s="11" t="s">
        <v>48</v>
      </c>
      <c r="E6" s="11" t="s">
        <v>73</v>
      </c>
      <c r="F6" s="11" t="s">
        <v>50</v>
      </c>
      <c r="G6" s="11">
        <v>165.7</v>
      </c>
      <c r="H6" s="11">
        <v>207.0</v>
      </c>
    </row>
    <row r="7" ht="15.75" customHeight="1">
      <c r="A7" s="9">
        <v>6.0</v>
      </c>
      <c r="B7" s="10" t="s">
        <v>4650</v>
      </c>
      <c r="C7" s="11" t="s">
        <v>55</v>
      </c>
      <c r="D7" s="11" t="s">
        <v>48</v>
      </c>
      <c r="E7" s="11" t="s">
        <v>49</v>
      </c>
      <c r="F7" s="11" t="s">
        <v>50</v>
      </c>
      <c r="G7" s="11">
        <v>3.6</v>
      </c>
      <c r="H7" s="11">
        <v>88.0</v>
      </c>
    </row>
    <row r="8" ht="15.75" customHeight="1">
      <c r="A8" s="9">
        <v>7.0</v>
      </c>
      <c r="B8" s="10" t="s">
        <v>4651</v>
      </c>
      <c r="C8" s="11" t="str">
        <f>IFERROR(__xludf.DUMMYFUNCTION("REGEXEXTRACT(B8,""[A-Z]{2,}"")"),"NFPA")</f>
        <v>NFPA</v>
      </c>
      <c r="D8" s="11" t="s">
        <v>48</v>
      </c>
      <c r="E8" s="11" t="s">
        <v>49</v>
      </c>
      <c r="F8" s="11" t="s">
        <v>50</v>
      </c>
      <c r="G8" s="11">
        <v>200.3</v>
      </c>
      <c r="H8" s="11">
        <v>1029.0</v>
      </c>
    </row>
    <row r="9" ht="15.75" customHeight="1">
      <c r="A9" s="9">
        <v>8.0</v>
      </c>
      <c r="B9" s="10" t="s">
        <v>4652</v>
      </c>
      <c r="C9" s="11" t="str">
        <f>IFERROR(__xludf.DUMMYFUNCTION("REGEXEXTRACT(B9,""[A-Z]{2,}"")"),"NFPA")</f>
        <v>NFPA</v>
      </c>
      <c r="D9" s="11" t="s">
        <v>48</v>
      </c>
      <c r="E9" s="11" t="s">
        <v>49</v>
      </c>
      <c r="F9" s="11" t="s">
        <v>50</v>
      </c>
      <c r="G9" s="11">
        <v>6.8</v>
      </c>
      <c r="H9" s="11">
        <v>298.0</v>
      </c>
    </row>
    <row r="10" ht="15.75" customHeight="1">
      <c r="A10" s="9">
        <v>9.0</v>
      </c>
      <c r="B10" s="10" t="s">
        <v>138</v>
      </c>
      <c r="C10" s="11" t="str">
        <f>IFERROR(__xludf.DUMMYFUNCTION("REGEXEXTRACT(B10,""[A-Z]{2,}"")"),"NFPA")</f>
        <v>NFPA</v>
      </c>
      <c r="D10" s="11" t="s">
        <v>48</v>
      </c>
      <c r="E10" s="11" t="s">
        <v>49</v>
      </c>
      <c r="F10" s="11" t="s">
        <v>50</v>
      </c>
      <c r="G10" s="11">
        <v>157.0</v>
      </c>
      <c r="H10" s="11">
        <v>1022.0</v>
      </c>
    </row>
    <row r="11" ht="15.75" customHeight="1">
      <c r="A11" s="9">
        <v>10.0</v>
      </c>
      <c r="B11" s="10" t="s">
        <v>4653</v>
      </c>
      <c r="C11" s="11" t="s">
        <v>55</v>
      </c>
      <c r="D11" s="11" t="s">
        <v>48</v>
      </c>
      <c r="E11" s="11" t="s">
        <v>49</v>
      </c>
      <c r="F11" s="11" t="s">
        <v>50</v>
      </c>
      <c r="G11" s="11">
        <v>3.7</v>
      </c>
      <c r="H11" s="11">
        <v>148.0</v>
      </c>
    </row>
    <row r="12" ht="15.75" customHeight="1">
      <c r="A12" s="9">
        <v>11.0</v>
      </c>
      <c r="B12" s="10" t="s">
        <v>4654</v>
      </c>
      <c r="C12" s="11" t="str">
        <f>IFERROR(__xludf.DUMMYFUNCTION("REGEXEXTRACT(B12,""[A-Z]{2,}"")"),"NFPA")</f>
        <v>NFPA</v>
      </c>
      <c r="D12" s="11" t="s">
        <v>48</v>
      </c>
      <c r="E12" s="11" t="s">
        <v>49</v>
      </c>
      <c r="F12" s="11" t="s">
        <v>50</v>
      </c>
      <c r="G12" s="11">
        <v>108.4</v>
      </c>
      <c r="H12" s="11">
        <v>1333.0</v>
      </c>
    </row>
    <row r="13" ht="15.75" customHeight="1">
      <c r="A13" s="9">
        <v>12.0</v>
      </c>
      <c r="B13" s="10" t="s">
        <v>162</v>
      </c>
      <c r="C13" s="11" t="str">
        <f>IFERROR(__xludf.DUMMYFUNCTION("REGEXEXTRACT(B13,""[A-Z]{2,}"")"),"NFPA")</f>
        <v>NFPA</v>
      </c>
      <c r="D13" s="11" t="s">
        <v>48</v>
      </c>
      <c r="E13" s="11" t="s">
        <v>49</v>
      </c>
      <c r="F13" s="11" t="s">
        <v>50</v>
      </c>
      <c r="G13" s="11">
        <v>151.2</v>
      </c>
      <c r="H13" s="11">
        <v>1981.0</v>
      </c>
    </row>
    <row r="14" ht="15.75" customHeight="1">
      <c r="A14" s="9">
        <v>13.0</v>
      </c>
      <c r="B14" s="10" t="s">
        <v>4655</v>
      </c>
      <c r="C14" s="11" t="str">
        <f>IFERROR(__xludf.DUMMYFUNCTION("REGEXEXTRACT(B14,""[A-Z]{2,}"")"),"NFPA")</f>
        <v>NFPA</v>
      </c>
      <c r="D14" s="11" t="s">
        <v>48</v>
      </c>
      <c r="E14" s="11" t="s">
        <v>49</v>
      </c>
      <c r="F14" s="11" t="s">
        <v>50</v>
      </c>
      <c r="G14" s="11">
        <v>8.0</v>
      </c>
      <c r="H14" s="11">
        <v>1451.0</v>
      </c>
    </row>
    <row r="15" ht="15.75" customHeight="1">
      <c r="A15" s="9">
        <v>14.0</v>
      </c>
      <c r="B15" s="40" t="s">
        <v>1798</v>
      </c>
      <c r="C15" s="11" t="str">
        <f>IFERROR(__xludf.DUMMYFUNCTION("REGEXEXTRACT(B15,""[A-Z]{2,}"")"),"RNE")</f>
        <v>RNE</v>
      </c>
      <c r="D15" s="11" t="s">
        <v>298</v>
      </c>
      <c r="E15" s="11" t="s">
        <v>73</v>
      </c>
      <c r="F15" s="11" t="s">
        <v>50</v>
      </c>
      <c r="G15" s="11">
        <v>7.55</v>
      </c>
      <c r="H15" s="11">
        <v>22.0</v>
      </c>
    </row>
    <row r="16" ht="15.75" customHeight="1">
      <c r="A16" s="9">
        <v>15.0</v>
      </c>
      <c r="B16" s="40" t="s">
        <v>1813</v>
      </c>
      <c r="C16" s="11" t="str">
        <f>IFERROR(__xludf.DUMMYFUNCTION("REGEXEXTRACT(B16,""[A-Z]{2,}"")"),"RNE")</f>
        <v>RNE</v>
      </c>
      <c r="D16" s="11" t="s">
        <v>298</v>
      </c>
      <c r="E16" s="11" t="s">
        <v>73</v>
      </c>
      <c r="F16" s="11" t="s">
        <v>50</v>
      </c>
      <c r="G16" s="11">
        <v>0.92</v>
      </c>
      <c r="H16" s="11">
        <v>50.0</v>
      </c>
    </row>
    <row r="17" ht="15.75" customHeight="1">
      <c r="A17" s="9">
        <v>16.0</v>
      </c>
      <c r="B17" s="40" t="s">
        <v>1821</v>
      </c>
      <c r="C17" s="11" t="str">
        <f>IFERROR(__xludf.DUMMYFUNCTION("REGEXEXTRACT(B17,""[A-Z]{2,}"")"),"RNE")</f>
        <v>RNE</v>
      </c>
      <c r="D17" s="11" t="s">
        <v>298</v>
      </c>
      <c r="E17" s="11" t="s">
        <v>73</v>
      </c>
      <c r="F17" s="11" t="s">
        <v>50</v>
      </c>
      <c r="G17" s="11">
        <v>0.7</v>
      </c>
      <c r="H17" s="11">
        <v>19.0</v>
      </c>
    </row>
    <row r="18" ht="15.75" customHeight="1">
      <c r="A18" s="9">
        <v>17.0</v>
      </c>
      <c r="B18" s="40" t="s">
        <v>1829</v>
      </c>
      <c r="C18" s="11" t="str">
        <f>IFERROR(__xludf.DUMMYFUNCTION("REGEXEXTRACT(B18,""[A-Z]{2,}"")"),"RNE")</f>
        <v>RNE</v>
      </c>
      <c r="D18" s="11" t="s">
        <v>298</v>
      </c>
      <c r="E18" s="11" t="s">
        <v>73</v>
      </c>
      <c r="F18" s="11" t="s">
        <v>50</v>
      </c>
      <c r="G18" s="11">
        <v>6.87</v>
      </c>
      <c r="H18" s="11">
        <v>10.0</v>
      </c>
    </row>
    <row r="19" ht="15.75" customHeight="1">
      <c r="A19" s="9">
        <v>18.0</v>
      </c>
      <c r="B19" s="40" t="s">
        <v>1835</v>
      </c>
      <c r="C19" s="11" t="str">
        <f>IFERROR(__xludf.DUMMYFUNCTION("REGEXEXTRACT(B19,""[A-Z]{2,}"")"),"RNE")</f>
        <v>RNE</v>
      </c>
      <c r="D19" s="11" t="s">
        <v>298</v>
      </c>
      <c r="E19" s="11" t="s">
        <v>73</v>
      </c>
      <c r="F19" s="11" t="s">
        <v>50</v>
      </c>
      <c r="G19" s="11">
        <v>0.52</v>
      </c>
      <c r="H19" s="11">
        <v>32.0</v>
      </c>
    </row>
    <row r="20" ht="15.75" customHeight="1">
      <c r="A20" s="9">
        <v>19.0</v>
      </c>
      <c r="B20" s="40" t="s">
        <v>1841</v>
      </c>
      <c r="C20" s="11" t="str">
        <f>IFERROR(__xludf.DUMMYFUNCTION("REGEXEXTRACT(B20,""[A-Z]{2,}"")"),"RNE")</f>
        <v>RNE</v>
      </c>
      <c r="D20" s="11" t="s">
        <v>298</v>
      </c>
      <c r="E20" s="11" t="s">
        <v>73</v>
      </c>
      <c r="F20" s="11" t="s">
        <v>50</v>
      </c>
      <c r="G20" s="11">
        <v>0.77</v>
      </c>
      <c r="H20" s="11">
        <v>29.0</v>
      </c>
    </row>
    <row r="21" ht="15.75" customHeight="1">
      <c r="A21" s="9">
        <v>20.0</v>
      </c>
      <c r="B21" s="40" t="s">
        <v>1847</v>
      </c>
      <c r="C21" s="11" t="str">
        <f>IFERROR(__xludf.DUMMYFUNCTION("REGEXEXTRACT(B21,""[A-Z]{2,}"")"),"RNE")</f>
        <v>RNE</v>
      </c>
      <c r="D21" s="11" t="s">
        <v>298</v>
      </c>
      <c r="E21" s="11" t="s">
        <v>73</v>
      </c>
      <c r="F21" s="11" t="s">
        <v>50</v>
      </c>
      <c r="G21" s="11">
        <v>1.82</v>
      </c>
      <c r="H21" s="11">
        <v>14.0</v>
      </c>
    </row>
    <row r="22" ht="15.75" customHeight="1">
      <c r="A22" s="9">
        <v>21.0</v>
      </c>
      <c r="B22" s="40" t="s">
        <v>1854</v>
      </c>
      <c r="C22" s="11" t="str">
        <f>IFERROR(__xludf.DUMMYFUNCTION("REGEXEXTRACT(B22,""[A-Z]{2,}"")"),"RNE")</f>
        <v>RNE</v>
      </c>
      <c r="D22" s="11" t="s">
        <v>298</v>
      </c>
      <c r="E22" s="11" t="s">
        <v>73</v>
      </c>
      <c r="F22" s="11" t="s">
        <v>50</v>
      </c>
      <c r="G22" s="11">
        <v>3.27</v>
      </c>
      <c r="H22" s="11">
        <v>5.0</v>
      </c>
    </row>
    <row r="23" ht="15.75" customHeight="1">
      <c r="A23" s="9">
        <v>22.0</v>
      </c>
      <c r="B23" s="40" t="s">
        <v>1860</v>
      </c>
      <c r="C23" s="11" t="str">
        <f>IFERROR(__xludf.DUMMYFUNCTION("REGEXEXTRACT(B23,""[A-Z]{2,}"")"),"RNE")</f>
        <v>RNE</v>
      </c>
      <c r="D23" s="11" t="s">
        <v>298</v>
      </c>
      <c r="E23" s="11" t="s">
        <v>73</v>
      </c>
      <c r="F23" s="11" t="s">
        <v>50</v>
      </c>
      <c r="G23" s="11">
        <v>0.76</v>
      </c>
      <c r="H23" s="11">
        <v>32.0</v>
      </c>
    </row>
    <row r="24" ht="15.75" customHeight="1">
      <c r="A24" s="9">
        <v>23.0</v>
      </c>
      <c r="B24" s="40" t="s">
        <v>1866</v>
      </c>
      <c r="C24" s="11" t="str">
        <f>IFERROR(__xludf.DUMMYFUNCTION("REGEXEXTRACT(B24,""[A-Z]{2,}"")"),"RNE")</f>
        <v>RNE</v>
      </c>
      <c r="D24" s="11" t="s">
        <v>298</v>
      </c>
      <c r="E24" s="11" t="s">
        <v>73</v>
      </c>
      <c r="F24" s="11" t="s">
        <v>50</v>
      </c>
      <c r="G24" s="11">
        <v>0.75</v>
      </c>
      <c r="H24" s="11">
        <v>34.0</v>
      </c>
    </row>
    <row r="25" ht="15.75" customHeight="1">
      <c r="A25" s="9">
        <v>24.0</v>
      </c>
      <c r="B25" s="40" t="s">
        <v>1872</v>
      </c>
      <c r="C25" s="11" t="str">
        <f>IFERROR(__xludf.DUMMYFUNCTION("REGEXEXTRACT(B25,""[A-Z]{2,}"")"),"RNE")</f>
        <v>RNE</v>
      </c>
      <c r="D25" s="11" t="s">
        <v>298</v>
      </c>
      <c r="E25" s="11" t="s">
        <v>73</v>
      </c>
      <c r="F25" s="11" t="s">
        <v>50</v>
      </c>
      <c r="G25" s="11">
        <v>7.3</v>
      </c>
      <c r="H25" s="11">
        <v>16.0</v>
      </c>
    </row>
    <row r="26" ht="15.75" customHeight="1">
      <c r="A26" s="9">
        <v>25.0</v>
      </c>
      <c r="B26" s="40" t="s">
        <v>1878</v>
      </c>
      <c r="C26" s="11" t="str">
        <f>IFERROR(__xludf.DUMMYFUNCTION("REGEXEXTRACT(B26,""[A-Z]{2,}"")"),"RNE")</f>
        <v>RNE</v>
      </c>
      <c r="D26" s="11" t="s">
        <v>298</v>
      </c>
      <c r="E26" s="11" t="s">
        <v>73</v>
      </c>
      <c r="F26" s="11" t="s">
        <v>50</v>
      </c>
      <c r="G26" s="11">
        <v>0.44</v>
      </c>
      <c r="H26" s="11">
        <v>16.0</v>
      </c>
    </row>
    <row r="27" ht="15.75" customHeight="1">
      <c r="A27" s="9">
        <v>26.0</v>
      </c>
      <c r="B27" s="40" t="s">
        <v>1886</v>
      </c>
      <c r="C27" s="11" t="str">
        <f>IFERROR(__xludf.DUMMYFUNCTION("REGEXEXTRACT(B27,""[A-Z]{2,}"")"),"RNE")</f>
        <v>RNE</v>
      </c>
      <c r="D27" s="11" t="s">
        <v>298</v>
      </c>
      <c r="E27" s="11" t="s">
        <v>73</v>
      </c>
      <c r="F27" s="11" t="s">
        <v>50</v>
      </c>
      <c r="G27" s="11">
        <v>0.93</v>
      </c>
      <c r="H27" s="11">
        <v>40.0</v>
      </c>
    </row>
    <row r="28" ht="15.75" customHeight="1">
      <c r="A28" s="9">
        <v>27.0</v>
      </c>
      <c r="B28" s="40" t="s">
        <v>1892</v>
      </c>
      <c r="C28" s="11" t="str">
        <f>IFERROR(__xludf.DUMMYFUNCTION("REGEXEXTRACT(B28,""[A-Z]{2,}"")"),"RNE")</f>
        <v>RNE</v>
      </c>
      <c r="D28" s="11" t="s">
        <v>298</v>
      </c>
      <c r="E28" s="11" t="s">
        <v>73</v>
      </c>
      <c r="F28" s="11" t="s">
        <v>50</v>
      </c>
      <c r="G28" s="11">
        <v>4.15</v>
      </c>
      <c r="H28" s="11">
        <v>30.0</v>
      </c>
    </row>
    <row r="29" ht="15.75" customHeight="1">
      <c r="A29" s="9">
        <v>28.0</v>
      </c>
      <c r="B29" s="40" t="s">
        <v>1898</v>
      </c>
      <c r="C29" s="11" t="str">
        <f>IFERROR(__xludf.DUMMYFUNCTION("REGEXEXTRACT(B29,""[A-Z]{2,}"")"),"RNE")</f>
        <v>RNE</v>
      </c>
      <c r="D29" s="11" t="s">
        <v>298</v>
      </c>
      <c r="E29" s="11" t="s">
        <v>73</v>
      </c>
      <c r="F29" s="11" t="s">
        <v>50</v>
      </c>
      <c r="G29" s="11">
        <v>0.82</v>
      </c>
      <c r="H29" s="11">
        <v>20.0</v>
      </c>
    </row>
    <row r="30" ht="15.75" customHeight="1">
      <c r="A30" s="9">
        <v>29.0</v>
      </c>
      <c r="B30" s="40" t="s">
        <v>1903</v>
      </c>
      <c r="C30" s="11" t="str">
        <f>IFERROR(__xludf.DUMMYFUNCTION("REGEXEXTRACT(B30,""[A-Z]{2,}"")"),"RNE")</f>
        <v>RNE</v>
      </c>
      <c r="D30" s="11" t="s">
        <v>298</v>
      </c>
      <c r="E30" s="11" t="s">
        <v>73</v>
      </c>
      <c r="F30" s="11" t="s">
        <v>50</v>
      </c>
      <c r="G30" s="11">
        <v>0.28</v>
      </c>
      <c r="H30" s="11">
        <v>15.0</v>
      </c>
    </row>
    <row r="31" ht="15.75" customHeight="1">
      <c r="A31" s="9">
        <v>30.0</v>
      </c>
      <c r="B31" s="40" t="s">
        <v>1907</v>
      </c>
      <c r="C31" s="11" t="str">
        <f>IFERROR(__xludf.DUMMYFUNCTION("REGEXEXTRACT(B31,""[A-Z]{2,}"")"),"RNE")</f>
        <v>RNE</v>
      </c>
      <c r="D31" s="11" t="s">
        <v>298</v>
      </c>
      <c r="E31" s="11" t="s">
        <v>73</v>
      </c>
      <c r="F31" s="11" t="s">
        <v>50</v>
      </c>
      <c r="G31" s="11">
        <v>14.45</v>
      </c>
      <c r="H31" s="11">
        <v>25.0</v>
      </c>
    </row>
    <row r="32" ht="15.75" customHeight="1">
      <c r="A32" s="9">
        <v>31.0</v>
      </c>
      <c r="B32" s="40" t="s">
        <v>1913</v>
      </c>
      <c r="C32" s="11" t="str">
        <f>IFERROR(__xludf.DUMMYFUNCTION("REGEXEXTRACT(B32,""[A-Z]{2,}"")"),"RNE")</f>
        <v>RNE</v>
      </c>
      <c r="D32" s="11" t="s">
        <v>298</v>
      </c>
      <c r="E32" s="11" t="s">
        <v>73</v>
      </c>
      <c r="F32" s="11" t="s">
        <v>50</v>
      </c>
      <c r="G32" s="11">
        <v>0.66</v>
      </c>
      <c r="H32" s="11">
        <v>22.0</v>
      </c>
    </row>
    <row r="33" ht="15.75" customHeight="1">
      <c r="A33" s="9">
        <v>32.0</v>
      </c>
      <c r="B33" s="40" t="s">
        <v>1919</v>
      </c>
      <c r="C33" s="11" t="str">
        <f>IFERROR(__xludf.DUMMYFUNCTION("REGEXEXTRACT(B33,""[A-Z]{2,}"")"),"RNE")</f>
        <v>RNE</v>
      </c>
      <c r="D33" s="11" t="s">
        <v>298</v>
      </c>
      <c r="E33" s="11" t="s">
        <v>73</v>
      </c>
      <c r="F33" s="11" t="s">
        <v>50</v>
      </c>
      <c r="G33" s="11">
        <v>0.89</v>
      </c>
      <c r="H33" s="11">
        <v>60.0</v>
      </c>
    </row>
    <row r="34" ht="15.75" customHeight="1">
      <c r="A34" s="9">
        <v>33.0</v>
      </c>
      <c r="B34" s="40" t="s">
        <v>1925</v>
      </c>
      <c r="C34" s="11" t="str">
        <f>IFERROR(__xludf.DUMMYFUNCTION("REGEXEXTRACT(B34,""[A-Z]{2,}"")"),"RNE")</f>
        <v>RNE</v>
      </c>
      <c r="D34" s="11" t="s">
        <v>298</v>
      </c>
      <c r="E34" s="11" t="s">
        <v>73</v>
      </c>
      <c r="F34" s="11" t="s">
        <v>50</v>
      </c>
      <c r="G34" s="11">
        <v>0.87</v>
      </c>
      <c r="H34" s="11">
        <v>20.0</v>
      </c>
    </row>
    <row r="35" ht="15.75" customHeight="1">
      <c r="A35" s="9">
        <v>34.0</v>
      </c>
      <c r="B35" s="40" t="s">
        <v>1930</v>
      </c>
      <c r="C35" s="11" t="str">
        <f>IFERROR(__xludf.DUMMYFUNCTION("REGEXEXTRACT(B35,""[A-Z]{2,}"")"),"RNE")</f>
        <v>RNE</v>
      </c>
      <c r="D35" s="11" t="s">
        <v>298</v>
      </c>
      <c r="E35" s="11" t="s">
        <v>73</v>
      </c>
      <c r="F35" s="11" t="s">
        <v>50</v>
      </c>
      <c r="G35" s="11">
        <v>0.53</v>
      </c>
      <c r="H35" s="11">
        <v>16.0</v>
      </c>
    </row>
    <row r="36" ht="15.75" customHeight="1">
      <c r="A36" s="9">
        <v>35.0</v>
      </c>
      <c r="B36" s="40" t="s">
        <v>1934</v>
      </c>
      <c r="C36" s="11" t="str">
        <f>IFERROR(__xludf.DUMMYFUNCTION("REGEXEXTRACT(B36,""[A-Z]{2,}"")"),"RNE")</f>
        <v>RNE</v>
      </c>
      <c r="D36" s="11" t="s">
        <v>298</v>
      </c>
      <c r="E36" s="11" t="s">
        <v>73</v>
      </c>
      <c r="F36" s="11" t="s">
        <v>50</v>
      </c>
      <c r="G36" s="11">
        <v>0.55</v>
      </c>
      <c r="H36" s="11">
        <v>28.0</v>
      </c>
    </row>
    <row r="37" ht="15.75" customHeight="1">
      <c r="A37" s="9">
        <v>36.0</v>
      </c>
      <c r="B37" s="40" t="s">
        <v>1940</v>
      </c>
      <c r="C37" s="11" t="str">
        <f>IFERROR(__xludf.DUMMYFUNCTION("REGEXEXTRACT(B37,""[A-Z]{2,}"")"),"RNE")</f>
        <v>RNE</v>
      </c>
      <c r="D37" s="11" t="s">
        <v>298</v>
      </c>
      <c r="E37" s="11" t="s">
        <v>73</v>
      </c>
      <c r="F37" s="11" t="s">
        <v>50</v>
      </c>
      <c r="G37" s="11">
        <v>0.41</v>
      </c>
      <c r="H37" s="11">
        <v>27.0</v>
      </c>
    </row>
    <row r="38" ht="15.75" customHeight="1">
      <c r="A38" s="9">
        <v>37.0</v>
      </c>
      <c r="B38" s="40" t="s">
        <v>1946</v>
      </c>
      <c r="C38" s="11" t="str">
        <f>IFERROR(__xludf.DUMMYFUNCTION("REGEXEXTRACT(B38,""[A-Z]{2,}"")"),"RNE")</f>
        <v>RNE</v>
      </c>
      <c r="D38" s="11" t="s">
        <v>298</v>
      </c>
      <c r="E38" s="11" t="s">
        <v>73</v>
      </c>
      <c r="F38" s="11" t="s">
        <v>50</v>
      </c>
      <c r="G38" s="11">
        <v>0.87</v>
      </c>
      <c r="H38" s="11">
        <v>20.0</v>
      </c>
    </row>
    <row r="39" ht="15.75" customHeight="1">
      <c r="A39" s="9">
        <v>38.0</v>
      </c>
      <c r="B39" s="40" t="s">
        <v>1952</v>
      </c>
      <c r="C39" s="11" t="str">
        <f>IFERROR(__xludf.DUMMYFUNCTION("REGEXEXTRACT(B39,""[A-Z]{2,}"")"),"RNE")</f>
        <v>RNE</v>
      </c>
      <c r="D39" s="11" t="s">
        <v>298</v>
      </c>
      <c r="E39" s="11" t="s">
        <v>73</v>
      </c>
      <c r="F39" s="11" t="s">
        <v>50</v>
      </c>
      <c r="G39" s="11">
        <v>0.39</v>
      </c>
      <c r="H39" s="11">
        <v>12.0</v>
      </c>
    </row>
    <row r="40" ht="15.75" customHeight="1">
      <c r="A40" s="9">
        <v>39.0</v>
      </c>
      <c r="B40" s="40" t="s">
        <v>1958</v>
      </c>
      <c r="C40" s="11" t="str">
        <f>IFERROR(__xludf.DUMMYFUNCTION("REGEXEXTRACT(B40,""[A-Z]{2,}"")"),"RNE")</f>
        <v>RNE</v>
      </c>
      <c r="D40" s="11" t="s">
        <v>298</v>
      </c>
      <c r="E40" s="11" t="s">
        <v>73</v>
      </c>
      <c r="F40" s="11" t="s">
        <v>50</v>
      </c>
      <c r="G40" s="11">
        <v>0.53</v>
      </c>
      <c r="H40" s="11">
        <v>12.0</v>
      </c>
    </row>
    <row r="41" ht="15.75" customHeight="1">
      <c r="A41" s="9">
        <v>40.0</v>
      </c>
      <c r="B41" s="40" t="s">
        <v>1966</v>
      </c>
      <c r="C41" s="11" t="str">
        <f>IFERROR(__xludf.DUMMYFUNCTION("REGEXEXTRACT(B41,""[A-Z]{2,}"")"),"RNE")</f>
        <v>RNE</v>
      </c>
      <c r="D41" s="11" t="s">
        <v>298</v>
      </c>
      <c r="E41" s="11" t="s">
        <v>73</v>
      </c>
      <c r="F41" s="11" t="s">
        <v>50</v>
      </c>
      <c r="G41" s="11">
        <v>0.89</v>
      </c>
      <c r="H41" s="11">
        <v>40.0</v>
      </c>
    </row>
    <row r="42" ht="15.75" customHeight="1">
      <c r="A42" s="9">
        <v>41.0</v>
      </c>
      <c r="B42" s="40" t="s">
        <v>1971</v>
      </c>
      <c r="C42" s="11" t="str">
        <f>IFERROR(__xludf.DUMMYFUNCTION("REGEXEXTRACT(B42,""[A-Z]{2,}"")"),"RNE")</f>
        <v>RNE</v>
      </c>
      <c r="D42" s="11" t="s">
        <v>298</v>
      </c>
      <c r="E42" s="11" t="s">
        <v>73</v>
      </c>
      <c r="F42" s="11" t="s">
        <v>50</v>
      </c>
      <c r="G42" s="11">
        <v>7.95</v>
      </c>
      <c r="H42" s="11">
        <v>36.0</v>
      </c>
    </row>
    <row r="43" ht="15.75" customHeight="1">
      <c r="A43" s="9">
        <v>42.0</v>
      </c>
      <c r="B43" s="40" t="s">
        <v>1977</v>
      </c>
      <c r="C43" s="11" t="str">
        <f>IFERROR(__xludf.DUMMYFUNCTION("REGEXEXTRACT(B43,""[A-Z]{2,}"")"),"RNE")</f>
        <v>RNE</v>
      </c>
      <c r="D43" s="11" t="s">
        <v>298</v>
      </c>
      <c r="E43" s="11" t="s">
        <v>73</v>
      </c>
      <c r="F43" s="11" t="s">
        <v>50</v>
      </c>
      <c r="G43" s="11">
        <v>1.11</v>
      </c>
      <c r="H43" s="11">
        <v>24.0</v>
      </c>
    </row>
    <row r="44" ht="15.75" customHeight="1">
      <c r="A44" s="99">
        <v>43.0</v>
      </c>
      <c r="B44" s="40" t="s">
        <v>416</v>
      </c>
      <c r="C44" s="11" t="str">
        <f>IFERROR(__xludf.DUMMYFUNCTION("REGEXEXTRACT(B44,""[A-Z]{2,}"")"),"FMDS")</f>
        <v>FMDS</v>
      </c>
      <c r="D44" s="11" t="s">
        <v>48</v>
      </c>
      <c r="E44" s="11" t="s">
        <v>73</v>
      </c>
      <c r="F44" s="11" t="s">
        <v>50</v>
      </c>
      <c r="G44" s="11">
        <v>0.31</v>
      </c>
      <c r="H44" s="11">
        <v>20.0</v>
      </c>
    </row>
    <row r="45" ht="15.75" customHeight="1">
      <c r="A45" s="9">
        <v>44.0</v>
      </c>
      <c r="B45" s="40" t="s">
        <v>429</v>
      </c>
      <c r="C45" s="11" t="str">
        <f>IFERROR(__xludf.DUMMYFUNCTION("REGEXEXTRACT(B45,""[A-Z]{2,}"")"),"FMDS")</f>
        <v>FMDS</v>
      </c>
      <c r="D45" s="11" t="s">
        <v>48</v>
      </c>
      <c r="E45" s="11" t="s">
        <v>73</v>
      </c>
      <c r="F45" s="11" t="s">
        <v>50</v>
      </c>
      <c r="G45" s="11">
        <v>3.87</v>
      </c>
      <c r="H45" s="11">
        <v>68.0</v>
      </c>
    </row>
    <row r="46" ht="15.75" customHeight="1">
      <c r="A46" s="9">
        <v>45.0</v>
      </c>
      <c r="B46" s="40" t="s">
        <v>440</v>
      </c>
      <c r="C46" s="11" t="str">
        <f>IFERROR(__xludf.DUMMYFUNCTION("REGEXEXTRACT(B46,""[A-Z]{2,}"")"),"FMDS")</f>
        <v>FMDS</v>
      </c>
      <c r="D46" s="11" t="s">
        <v>48</v>
      </c>
      <c r="E46" s="11" t="s">
        <v>73</v>
      </c>
      <c r="F46" s="11" t="s">
        <v>50</v>
      </c>
      <c r="G46" s="11">
        <v>0.51</v>
      </c>
      <c r="H46" s="11">
        <v>19.0</v>
      </c>
    </row>
    <row r="47" ht="15.75" customHeight="1">
      <c r="A47" s="9">
        <v>46.0</v>
      </c>
      <c r="B47" s="40" t="s">
        <v>446</v>
      </c>
      <c r="C47" s="11" t="str">
        <f>IFERROR(__xludf.DUMMYFUNCTION("REGEXEXTRACT(B47,""[A-Z]{2,}"")"),"FMDS")</f>
        <v>FMDS</v>
      </c>
      <c r="D47" s="11" t="s">
        <v>48</v>
      </c>
      <c r="E47" s="11" t="s">
        <v>73</v>
      </c>
      <c r="F47" s="11" t="s">
        <v>50</v>
      </c>
      <c r="G47" s="11">
        <v>1.29</v>
      </c>
      <c r="H47" s="11">
        <v>29.0</v>
      </c>
    </row>
    <row r="48" ht="15.75" customHeight="1">
      <c r="A48" s="9">
        <v>47.0</v>
      </c>
      <c r="B48" s="40" t="s">
        <v>453</v>
      </c>
      <c r="C48" s="11" t="str">
        <f>IFERROR(__xludf.DUMMYFUNCTION("REGEXEXTRACT(B48,""[A-Z]{2,}"")"),"FMDS")</f>
        <v>FMDS</v>
      </c>
      <c r="D48" s="11" t="s">
        <v>48</v>
      </c>
      <c r="E48" s="11" t="s">
        <v>73</v>
      </c>
      <c r="F48" s="11" t="s">
        <v>50</v>
      </c>
      <c r="G48" s="11">
        <v>1.32</v>
      </c>
      <c r="H48" s="11">
        <v>31.0</v>
      </c>
    </row>
    <row r="49" ht="15.75" customHeight="1">
      <c r="A49" s="9">
        <v>48.0</v>
      </c>
      <c r="B49" s="40" t="s">
        <v>459</v>
      </c>
      <c r="C49" s="11" t="str">
        <f>IFERROR(__xludf.DUMMYFUNCTION("REGEXEXTRACT(B49,""[A-Z]{2,}"")"),"FMDS")</f>
        <v>FMDS</v>
      </c>
      <c r="D49" s="11" t="s">
        <v>48</v>
      </c>
      <c r="E49" s="11" t="s">
        <v>73</v>
      </c>
      <c r="F49" s="11" t="s">
        <v>50</v>
      </c>
      <c r="G49" s="11">
        <v>0.84</v>
      </c>
      <c r="H49" s="11">
        <v>14.0</v>
      </c>
    </row>
    <row r="50" ht="15.75" customHeight="1">
      <c r="A50" s="9">
        <v>49.0</v>
      </c>
      <c r="B50" s="40" t="s">
        <v>465</v>
      </c>
      <c r="C50" s="11" t="str">
        <f>IFERROR(__xludf.DUMMYFUNCTION("REGEXEXTRACT(B50,""[A-Z]{2,}"")"),"FMDS")</f>
        <v>FMDS</v>
      </c>
      <c r="D50" s="11" t="s">
        <v>48</v>
      </c>
      <c r="E50" s="11" t="s">
        <v>73</v>
      </c>
      <c r="F50" s="11" t="s">
        <v>50</v>
      </c>
      <c r="G50" s="11">
        <v>0.14</v>
      </c>
      <c r="H50" s="11">
        <v>13.0</v>
      </c>
    </row>
    <row r="51" ht="15.75" customHeight="1">
      <c r="A51" s="9">
        <v>50.0</v>
      </c>
      <c r="B51" s="40" t="s">
        <v>472</v>
      </c>
      <c r="C51" s="11" t="str">
        <f>IFERROR(__xludf.DUMMYFUNCTION("REGEXEXTRACT(B51,""[A-Z]{2,}"")"),"FMDS")</f>
        <v>FMDS</v>
      </c>
      <c r="D51" s="11" t="s">
        <v>48</v>
      </c>
      <c r="E51" s="11" t="s">
        <v>73</v>
      </c>
      <c r="F51" s="11" t="s">
        <v>50</v>
      </c>
      <c r="G51" s="11">
        <v>0.84</v>
      </c>
      <c r="H51" s="11">
        <v>38.0</v>
      </c>
    </row>
    <row r="52" ht="15.75" customHeight="1">
      <c r="A52" s="9">
        <v>51.0</v>
      </c>
      <c r="B52" s="40" t="s">
        <v>478</v>
      </c>
      <c r="C52" s="11" t="str">
        <f>IFERROR(__xludf.DUMMYFUNCTION("REGEXEXTRACT(B52,""[A-Z]{2,}"")"),"FMDS")</f>
        <v>FMDS</v>
      </c>
      <c r="D52" s="11" t="s">
        <v>48</v>
      </c>
      <c r="E52" s="11" t="s">
        <v>73</v>
      </c>
      <c r="F52" s="11" t="s">
        <v>50</v>
      </c>
      <c r="G52" s="11">
        <v>0.53</v>
      </c>
      <c r="H52" s="11">
        <v>11.0</v>
      </c>
    </row>
    <row r="53" ht="15.75" customHeight="1">
      <c r="A53" s="9">
        <v>52.0</v>
      </c>
      <c r="B53" s="40" t="s">
        <v>4656</v>
      </c>
      <c r="C53" s="11" t="str">
        <f>IFERROR(__xludf.DUMMYFUNCTION("REGEXEXTRACT(B53,""[A-Z]{2,}"")"),"FMDS")</f>
        <v>FMDS</v>
      </c>
      <c r="D53" s="11" t="s">
        <v>48</v>
      </c>
      <c r="E53" s="11" t="s">
        <v>73</v>
      </c>
      <c r="F53" s="11" t="s">
        <v>50</v>
      </c>
      <c r="G53" s="11">
        <v>0.18</v>
      </c>
      <c r="H53" s="11">
        <v>12.0</v>
      </c>
    </row>
    <row r="54" ht="15.75" customHeight="1">
      <c r="A54" s="9">
        <v>53.0</v>
      </c>
      <c r="B54" s="40" t="s">
        <v>484</v>
      </c>
      <c r="C54" s="11" t="str">
        <f>IFERROR(__xludf.DUMMYFUNCTION("REGEXEXTRACT(B54,""[A-Z]{2,}"")"),"FMDS")</f>
        <v>FMDS</v>
      </c>
      <c r="D54" s="11" t="s">
        <v>48</v>
      </c>
      <c r="E54" s="11" t="s">
        <v>73</v>
      </c>
      <c r="F54" s="11" t="s">
        <v>50</v>
      </c>
      <c r="G54" s="11">
        <v>0.81</v>
      </c>
      <c r="H54" s="11">
        <v>33.0</v>
      </c>
    </row>
    <row r="55" ht="15.75" customHeight="1">
      <c r="A55" s="9">
        <v>54.0</v>
      </c>
      <c r="B55" s="40" t="s">
        <v>490</v>
      </c>
      <c r="C55" s="11" t="str">
        <f>IFERROR(__xludf.DUMMYFUNCTION("REGEXEXTRACT(B55,""[A-Z]{2,}"")"),"FMDS")</f>
        <v>FMDS</v>
      </c>
      <c r="D55" s="11" t="s">
        <v>48</v>
      </c>
      <c r="E55" s="11" t="s">
        <v>73</v>
      </c>
      <c r="F55" s="11" t="s">
        <v>50</v>
      </c>
      <c r="G55" s="11">
        <v>0.44</v>
      </c>
      <c r="H55" s="11">
        <v>9.0</v>
      </c>
    </row>
    <row r="56" ht="15.75" customHeight="1">
      <c r="A56" s="9">
        <v>55.0</v>
      </c>
      <c r="B56" s="40" t="s">
        <v>496</v>
      </c>
      <c r="C56" s="11" t="str">
        <f>IFERROR(__xludf.DUMMYFUNCTION("REGEXEXTRACT(B56,""[A-Z]{2,}"")"),"FMDS")</f>
        <v>FMDS</v>
      </c>
      <c r="D56" s="11" t="s">
        <v>48</v>
      </c>
      <c r="E56" s="11" t="s">
        <v>73</v>
      </c>
      <c r="F56" s="11" t="s">
        <v>50</v>
      </c>
      <c r="G56" s="11">
        <v>0.07</v>
      </c>
      <c r="H56" s="11">
        <v>12.0</v>
      </c>
    </row>
    <row r="57" ht="15.75" customHeight="1">
      <c r="A57" s="9">
        <v>56.0</v>
      </c>
      <c r="B57" s="40" t="s">
        <v>520</v>
      </c>
      <c r="C57" s="11" t="str">
        <f>IFERROR(__xludf.DUMMYFUNCTION("REGEXEXTRACT(B57,""[A-Z]{2,}"")"),"FMDS")</f>
        <v>FMDS</v>
      </c>
      <c r="D57" s="11" t="s">
        <v>48</v>
      </c>
      <c r="E57" s="11" t="s">
        <v>73</v>
      </c>
      <c r="F57" s="11" t="s">
        <v>50</v>
      </c>
      <c r="G57" s="11">
        <v>11.35</v>
      </c>
      <c r="H57" s="11">
        <v>100.0</v>
      </c>
    </row>
    <row r="58" ht="15.75" customHeight="1">
      <c r="A58" s="9">
        <v>57.0</v>
      </c>
      <c r="B58" s="40" t="s">
        <v>532</v>
      </c>
      <c r="C58" s="11" t="str">
        <f>IFERROR(__xludf.DUMMYFUNCTION("REGEXEXTRACT(B58,""[A-Z]{2,}"")"),"FMDS")</f>
        <v>FMDS</v>
      </c>
      <c r="D58" s="11" t="s">
        <v>48</v>
      </c>
      <c r="E58" s="11" t="s">
        <v>73</v>
      </c>
      <c r="F58" s="11" t="s">
        <v>50</v>
      </c>
      <c r="G58" s="11">
        <v>0.2</v>
      </c>
      <c r="H58" s="11">
        <v>20.0</v>
      </c>
    </row>
    <row r="59" ht="15.75" customHeight="1">
      <c r="A59" s="9">
        <v>58.0</v>
      </c>
      <c r="B59" s="40" t="s">
        <v>538</v>
      </c>
      <c r="C59" s="11" t="str">
        <f>IFERROR(__xludf.DUMMYFUNCTION("REGEXEXTRACT(B59,""[A-Z]{2,}"")"),"FMDS")</f>
        <v>FMDS</v>
      </c>
      <c r="D59" s="11" t="s">
        <v>48</v>
      </c>
      <c r="E59" s="11" t="s">
        <v>73</v>
      </c>
      <c r="F59" s="11" t="s">
        <v>50</v>
      </c>
      <c r="G59" s="11">
        <v>0.1</v>
      </c>
      <c r="H59" s="11">
        <v>7.0</v>
      </c>
    </row>
    <row r="60" ht="15.75" customHeight="1">
      <c r="A60" s="9">
        <v>59.0</v>
      </c>
      <c r="B60" s="40" t="s">
        <v>544</v>
      </c>
      <c r="C60" s="11" t="str">
        <f>IFERROR(__xludf.DUMMYFUNCTION("REGEXEXTRACT(B60,""[A-Z]{2,}"")"),"FMDS")</f>
        <v>FMDS</v>
      </c>
      <c r="D60" s="11" t="s">
        <v>48</v>
      </c>
      <c r="E60" s="11" t="s">
        <v>73</v>
      </c>
      <c r="F60" s="11" t="s">
        <v>50</v>
      </c>
      <c r="G60" s="11">
        <v>7.04</v>
      </c>
      <c r="H60" s="11">
        <v>24.0</v>
      </c>
    </row>
    <row r="61" ht="15.75" customHeight="1">
      <c r="A61" s="9">
        <v>60.0</v>
      </c>
      <c r="B61" s="40" t="s">
        <v>550</v>
      </c>
      <c r="C61" s="11" t="str">
        <f>IFERROR(__xludf.DUMMYFUNCTION("REGEXEXTRACT(B61,""[A-Z]{2,}"")"),"FMDS")</f>
        <v>FMDS</v>
      </c>
      <c r="D61" s="11" t="s">
        <v>48</v>
      </c>
      <c r="E61" s="11" t="s">
        <v>73</v>
      </c>
      <c r="F61" s="11" t="s">
        <v>50</v>
      </c>
      <c r="G61" s="11">
        <v>4.45</v>
      </c>
      <c r="H61" s="11">
        <v>45.0</v>
      </c>
    </row>
    <row r="62" ht="15.75" customHeight="1">
      <c r="A62" s="9">
        <v>61.0</v>
      </c>
      <c r="B62" s="40" t="s">
        <v>556</v>
      </c>
      <c r="C62" s="11" t="str">
        <f>IFERROR(__xludf.DUMMYFUNCTION("REGEXEXTRACT(B62,""[A-Z]{2,}"")"),"FMDS")</f>
        <v>FMDS</v>
      </c>
      <c r="D62" s="11" t="s">
        <v>48</v>
      </c>
      <c r="E62" s="11" t="s">
        <v>73</v>
      </c>
      <c r="F62" s="11" t="s">
        <v>50</v>
      </c>
      <c r="G62" s="11">
        <v>0.08</v>
      </c>
      <c r="H62" s="11">
        <v>11.0</v>
      </c>
    </row>
    <row r="63" ht="15.75" customHeight="1">
      <c r="A63" s="9">
        <v>62.0</v>
      </c>
      <c r="B63" s="40" t="s">
        <v>584</v>
      </c>
      <c r="C63" s="11" t="str">
        <f>IFERROR(__xludf.DUMMYFUNCTION("REGEXEXTRACT(B63,""[A-Z]{2,}"")"),"FMDS")</f>
        <v>FMDS</v>
      </c>
      <c r="D63" s="11" t="s">
        <v>48</v>
      </c>
      <c r="E63" s="11" t="s">
        <v>73</v>
      </c>
      <c r="F63" s="11" t="s">
        <v>50</v>
      </c>
      <c r="G63" s="11">
        <v>0.69</v>
      </c>
      <c r="H63" s="11">
        <v>34.0</v>
      </c>
    </row>
    <row r="64" ht="15.75" customHeight="1">
      <c r="A64" s="9">
        <v>63.0</v>
      </c>
      <c r="B64" s="40" t="s">
        <v>590</v>
      </c>
      <c r="C64" s="11" t="str">
        <f>IFERROR(__xludf.DUMMYFUNCTION("REGEXEXTRACT(B64,""[A-Z]{2,}"")"),"FMDS")</f>
        <v>FMDS</v>
      </c>
      <c r="D64" s="11" t="s">
        <v>48</v>
      </c>
      <c r="E64" s="11" t="s">
        <v>73</v>
      </c>
      <c r="F64" s="11" t="s">
        <v>50</v>
      </c>
      <c r="G64" s="11">
        <v>0.64</v>
      </c>
      <c r="H64" s="11">
        <v>29.0</v>
      </c>
    </row>
    <row r="65" ht="15.75" customHeight="1">
      <c r="A65" s="9">
        <v>64.0</v>
      </c>
      <c r="B65" s="40" t="s">
        <v>596</v>
      </c>
      <c r="C65" s="11" t="str">
        <f>IFERROR(__xludf.DUMMYFUNCTION("REGEXEXTRACT(B65,""[A-Z]{2,}"")"),"FMDS")</f>
        <v>FMDS</v>
      </c>
      <c r="D65" s="11" t="s">
        <v>48</v>
      </c>
      <c r="E65" s="11" t="s">
        <v>73</v>
      </c>
      <c r="F65" s="11" t="s">
        <v>50</v>
      </c>
      <c r="G65" s="11">
        <v>0.4</v>
      </c>
      <c r="H65" s="11">
        <v>26.0</v>
      </c>
    </row>
    <row r="66" ht="15.75" customHeight="1">
      <c r="A66" s="9">
        <v>65.0</v>
      </c>
      <c r="B66" s="40" t="s">
        <v>604</v>
      </c>
      <c r="C66" s="11" t="str">
        <f>IFERROR(__xludf.DUMMYFUNCTION("REGEXEXTRACT(B66,""[A-Z]{2,}"")"),"FMDS")</f>
        <v>FMDS</v>
      </c>
      <c r="D66" s="11" t="s">
        <v>48</v>
      </c>
      <c r="E66" s="11" t="s">
        <v>73</v>
      </c>
      <c r="F66" s="11" t="s">
        <v>50</v>
      </c>
      <c r="G66" s="11">
        <v>10.15</v>
      </c>
      <c r="H66" s="11">
        <v>115.0</v>
      </c>
    </row>
    <row r="67" ht="15.75" customHeight="1">
      <c r="A67" s="9">
        <v>66.0</v>
      </c>
      <c r="B67" s="40" t="s">
        <v>610</v>
      </c>
      <c r="C67" s="11" t="str">
        <f>IFERROR(__xludf.DUMMYFUNCTION("REGEXEXTRACT(B67,""[A-Z]{2,}"")"),"FMDS")</f>
        <v>FMDS</v>
      </c>
      <c r="D67" s="11" t="s">
        <v>48</v>
      </c>
      <c r="E67" s="11" t="s">
        <v>73</v>
      </c>
      <c r="F67" s="11" t="s">
        <v>50</v>
      </c>
      <c r="G67" s="11">
        <v>0.47</v>
      </c>
      <c r="H67" s="11">
        <v>25.0</v>
      </c>
    </row>
    <row r="68" ht="15.75" customHeight="1">
      <c r="A68" s="9">
        <v>67.0</v>
      </c>
      <c r="B68" s="40" t="s">
        <v>616</v>
      </c>
      <c r="C68" s="11" t="str">
        <f>IFERROR(__xludf.DUMMYFUNCTION("REGEXEXTRACT(B68,""[A-Z]{2,}"")"),"FMDS")</f>
        <v>FMDS</v>
      </c>
      <c r="D68" s="11" t="s">
        <v>48</v>
      </c>
      <c r="E68" s="11" t="s">
        <v>73</v>
      </c>
      <c r="F68" s="11" t="s">
        <v>50</v>
      </c>
      <c r="G68" s="11">
        <v>1.3</v>
      </c>
      <c r="H68" s="11">
        <v>35.0</v>
      </c>
    </row>
    <row r="69" ht="15.75" customHeight="1">
      <c r="A69" s="9">
        <v>68.0</v>
      </c>
      <c r="B69" s="40" t="s">
        <v>628</v>
      </c>
      <c r="C69" s="11" t="str">
        <f>IFERROR(__xludf.DUMMYFUNCTION("REGEXEXTRACT(B69,""[A-Z]{2,}"")"),"FMDS")</f>
        <v>FMDS</v>
      </c>
      <c r="D69" s="11" t="s">
        <v>48</v>
      </c>
      <c r="E69" s="11" t="s">
        <v>73</v>
      </c>
      <c r="F69" s="11" t="s">
        <v>50</v>
      </c>
      <c r="G69" s="11">
        <v>0.49</v>
      </c>
      <c r="H69" s="11">
        <v>35.0</v>
      </c>
    </row>
    <row r="70" ht="15.75" customHeight="1">
      <c r="A70" s="9">
        <v>69.0</v>
      </c>
      <c r="B70" s="40" t="s">
        <v>635</v>
      </c>
      <c r="C70" s="11" t="str">
        <f>IFERROR(__xludf.DUMMYFUNCTION("REGEXEXTRACT(B70,""[A-Z]{2,}"")"),"FMDS")</f>
        <v>FMDS</v>
      </c>
      <c r="D70" s="11" t="s">
        <v>48</v>
      </c>
      <c r="E70" s="11" t="s">
        <v>73</v>
      </c>
      <c r="F70" s="11" t="s">
        <v>50</v>
      </c>
      <c r="G70" s="11">
        <v>18.23</v>
      </c>
      <c r="H70" s="11">
        <v>187.0</v>
      </c>
    </row>
    <row r="71" ht="15.75" customHeight="1">
      <c r="A71" s="9">
        <v>70.0</v>
      </c>
      <c r="B71" s="40" t="s">
        <v>642</v>
      </c>
      <c r="C71" s="11" t="str">
        <f>IFERROR(__xludf.DUMMYFUNCTION("REGEXEXTRACT(B71,""[A-Z]{2,}"")"),"FMDS")</f>
        <v>FMDS</v>
      </c>
      <c r="D71" s="11" t="s">
        <v>48</v>
      </c>
      <c r="E71" s="11" t="s">
        <v>73</v>
      </c>
      <c r="F71" s="11" t="s">
        <v>50</v>
      </c>
      <c r="G71" s="11">
        <v>0.93</v>
      </c>
      <c r="H71" s="11">
        <v>21.0</v>
      </c>
    </row>
    <row r="72" ht="15.75" customHeight="1">
      <c r="A72" s="9">
        <v>71.0</v>
      </c>
      <c r="B72" s="40" t="s">
        <v>655</v>
      </c>
      <c r="C72" s="11" t="str">
        <f>IFERROR(__xludf.DUMMYFUNCTION("REGEXEXTRACT(B72,""[A-Z]{2,}"")"),"FMDS")</f>
        <v>FMDS</v>
      </c>
      <c r="D72" s="11" t="s">
        <v>48</v>
      </c>
      <c r="E72" s="11" t="s">
        <v>73</v>
      </c>
      <c r="F72" s="11" t="s">
        <v>50</v>
      </c>
      <c r="G72" s="11">
        <v>2.56</v>
      </c>
      <c r="H72" s="11">
        <v>74.0</v>
      </c>
    </row>
    <row r="73" ht="15.75" customHeight="1">
      <c r="A73" s="9">
        <v>72.0</v>
      </c>
      <c r="B73" s="40" t="s">
        <v>662</v>
      </c>
      <c r="C73" s="11" t="str">
        <f>IFERROR(__xludf.DUMMYFUNCTION("REGEXEXTRACT(B73,""[A-Z]{2,}"")"),"FMDS")</f>
        <v>FMDS</v>
      </c>
      <c r="D73" s="11" t="s">
        <v>48</v>
      </c>
      <c r="E73" s="11" t="s">
        <v>73</v>
      </c>
      <c r="F73" s="11" t="s">
        <v>50</v>
      </c>
      <c r="G73" s="11">
        <v>2.26</v>
      </c>
      <c r="H73" s="11">
        <v>64.0</v>
      </c>
    </row>
    <row r="74" ht="15.75" customHeight="1">
      <c r="A74" s="9">
        <v>73.0</v>
      </c>
      <c r="B74" s="40" t="s">
        <v>675</v>
      </c>
      <c r="C74" s="11" t="str">
        <f>IFERROR(__xludf.DUMMYFUNCTION("REGEXEXTRACT(B74,""[A-Z]{2,}"")"),"FMDS")</f>
        <v>FMDS</v>
      </c>
      <c r="D74" s="11" t="s">
        <v>48</v>
      </c>
      <c r="E74" s="11" t="s">
        <v>73</v>
      </c>
      <c r="F74" s="11" t="s">
        <v>50</v>
      </c>
      <c r="G74" s="11">
        <v>1.39</v>
      </c>
      <c r="H74" s="11">
        <v>4.0</v>
      </c>
    </row>
    <row r="75" ht="15.75" customHeight="1">
      <c r="A75" s="9">
        <v>74.0</v>
      </c>
      <c r="B75" s="40" t="s">
        <v>681</v>
      </c>
      <c r="C75" s="11" t="str">
        <f>IFERROR(__xludf.DUMMYFUNCTION("REGEXEXTRACT(B75,""[A-Z]{2,}"")"),"FMDS")</f>
        <v>FMDS</v>
      </c>
      <c r="D75" s="11" t="s">
        <v>48</v>
      </c>
      <c r="E75" s="11" t="s">
        <v>73</v>
      </c>
      <c r="F75" s="11" t="s">
        <v>50</v>
      </c>
      <c r="G75" s="11">
        <v>2.63</v>
      </c>
      <c r="H75" s="11">
        <v>106.0</v>
      </c>
    </row>
    <row r="76" ht="15.75" customHeight="1">
      <c r="A76" s="9">
        <v>75.0</v>
      </c>
      <c r="B76" s="40" t="s">
        <v>693</v>
      </c>
      <c r="C76" s="11" t="str">
        <f>IFERROR(__xludf.DUMMYFUNCTION("REGEXEXTRACT(B76,""[A-Z]{2,}"")"),"FMDS")</f>
        <v>FMDS</v>
      </c>
      <c r="D76" s="11" t="s">
        <v>48</v>
      </c>
      <c r="E76" s="11" t="s">
        <v>73</v>
      </c>
      <c r="F76" s="11" t="s">
        <v>50</v>
      </c>
      <c r="G76" s="11">
        <v>0.05</v>
      </c>
      <c r="H76" s="11">
        <v>4.0</v>
      </c>
    </row>
    <row r="77" ht="15.75" customHeight="1">
      <c r="A77" s="9">
        <v>76.0</v>
      </c>
      <c r="B77" s="40" t="s">
        <v>705</v>
      </c>
      <c r="C77" s="11" t="str">
        <f>IFERROR(__xludf.DUMMYFUNCTION("REGEXEXTRACT(B77,""[A-Z]{2,}"")"),"FMDS")</f>
        <v>FMDS</v>
      </c>
      <c r="D77" s="11" t="s">
        <v>48</v>
      </c>
      <c r="E77" s="11" t="s">
        <v>73</v>
      </c>
      <c r="F77" s="11" t="s">
        <v>50</v>
      </c>
      <c r="G77" s="11">
        <v>1.58</v>
      </c>
      <c r="H77" s="11">
        <v>36.0</v>
      </c>
    </row>
    <row r="78" ht="15.75" customHeight="1">
      <c r="A78" s="9">
        <v>77.0</v>
      </c>
      <c r="B78" s="40" t="s">
        <v>711</v>
      </c>
      <c r="C78" s="11" t="str">
        <f>IFERROR(__xludf.DUMMYFUNCTION("REGEXEXTRACT(B78,""[A-Z]{2,}"")"),"FMDS")</f>
        <v>FMDS</v>
      </c>
      <c r="D78" s="11" t="s">
        <v>48</v>
      </c>
      <c r="E78" s="11" t="s">
        <v>73</v>
      </c>
      <c r="F78" s="11" t="s">
        <v>50</v>
      </c>
      <c r="G78" s="11">
        <v>0.5</v>
      </c>
      <c r="H78" s="11">
        <v>15.0</v>
      </c>
    </row>
    <row r="79" ht="15.75" customHeight="1">
      <c r="A79" s="9">
        <v>78.0</v>
      </c>
      <c r="B79" s="40" t="s">
        <v>737</v>
      </c>
      <c r="C79" s="11" t="str">
        <f>IFERROR(__xludf.DUMMYFUNCTION("REGEXEXTRACT(B79,""[A-Z]{2,}"")"),"FMDS")</f>
        <v>FMDS</v>
      </c>
      <c r="D79" s="11" t="s">
        <v>48</v>
      </c>
      <c r="E79" s="11" t="s">
        <v>73</v>
      </c>
      <c r="F79" s="11" t="s">
        <v>50</v>
      </c>
      <c r="G79" s="11">
        <v>0.15</v>
      </c>
      <c r="H79" s="11">
        <v>12.0</v>
      </c>
    </row>
    <row r="80" ht="15.75" customHeight="1">
      <c r="A80" s="9">
        <v>79.0</v>
      </c>
      <c r="B80" s="40" t="s">
        <v>743</v>
      </c>
      <c r="C80" s="11" t="str">
        <f>IFERROR(__xludf.DUMMYFUNCTION("REGEXEXTRACT(B80,""[A-Z]{2,}"")"),"FMDS")</f>
        <v>FMDS</v>
      </c>
      <c r="D80" s="11" t="s">
        <v>48</v>
      </c>
      <c r="E80" s="11" t="s">
        <v>73</v>
      </c>
      <c r="F80" s="11" t="s">
        <v>50</v>
      </c>
      <c r="G80" s="11">
        <v>0.35</v>
      </c>
      <c r="H80" s="11">
        <v>42.0</v>
      </c>
    </row>
    <row r="81" ht="15.75" customHeight="1">
      <c r="A81" s="9">
        <v>80.0</v>
      </c>
      <c r="B81" s="40" t="s">
        <v>756</v>
      </c>
      <c r="C81" s="11" t="str">
        <f>IFERROR(__xludf.DUMMYFUNCTION("REGEXEXTRACT(B81,""[A-Z]{2,}"")"),"FMDS")</f>
        <v>FMDS</v>
      </c>
      <c r="D81" s="11" t="s">
        <v>48</v>
      </c>
      <c r="E81" s="11" t="s">
        <v>73</v>
      </c>
      <c r="F81" s="11" t="s">
        <v>50</v>
      </c>
      <c r="G81" s="11">
        <v>0.3</v>
      </c>
      <c r="H81" s="11">
        <v>35.0</v>
      </c>
    </row>
    <row r="82" ht="15.75" customHeight="1">
      <c r="A82" s="9">
        <v>81.0</v>
      </c>
      <c r="B82" s="40" t="s">
        <v>762</v>
      </c>
      <c r="C82" s="11" t="str">
        <f>IFERROR(__xludf.DUMMYFUNCTION("REGEXEXTRACT(B82,""[A-Z]{2,}"")"),"FMDS")</f>
        <v>FMDS</v>
      </c>
      <c r="D82" s="11" t="s">
        <v>48</v>
      </c>
      <c r="E82" s="11" t="s">
        <v>73</v>
      </c>
      <c r="F82" s="11" t="s">
        <v>50</v>
      </c>
      <c r="G82" s="11">
        <v>0.38</v>
      </c>
      <c r="H82" s="11">
        <v>26.0</v>
      </c>
    </row>
    <row r="83" ht="15.75" customHeight="1">
      <c r="A83" s="9">
        <v>82.0</v>
      </c>
      <c r="B83" s="40" t="s">
        <v>768</v>
      </c>
      <c r="C83" s="11" t="str">
        <f>IFERROR(__xludf.DUMMYFUNCTION("REGEXEXTRACT(B83,""[A-Z]{2,}"")"),"FMDS")</f>
        <v>FMDS</v>
      </c>
      <c r="D83" s="11" t="s">
        <v>48</v>
      </c>
      <c r="E83" s="11" t="s">
        <v>73</v>
      </c>
      <c r="F83" s="11" t="s">
        <v>50</v>
      </c>
      <c r="G83" s="11">
        <v>0.12</v>
      </c>
      <c r="H83" s="11">
        <v>10.0</v>
      </c>
    </row>
    <row r="84" ht="15.75" customHeight="1">
      <c r="A84" s="9">
        <v>83.0</v>
      </c>
      <c r="B84" s="40" t="s">
        <v>774</v>
      </c>
      <c r="C84" s="11" t="str">
        <f>IFERROR(__xludf.DUMMYFUNCTION("REGEXEXTRACT(B84,""[A-Z]{2,}"")"),"FMDS")</f>
        <v>FMDS</v>
      </c>
      <c r="D84" s="11" t="s">
        <v>48</v>
      </c>
      <c r="E84" s="11" t="s">
        <v>73</v>
      </c>
      <c r="F84" s="11" t="s">
        <v>50</v>
      </c>
      <c r="G84" s="11">
        <v>0.23</v>
      </c>
      <c r="H84" s="11">
        <v>12.0</v>
      </c>
    </row>
    <row r="85" ht="15.75" customHeight="1">
      <c r="A85" s="9">
        <v>84.0</v>
      </c>
      <c r="B85" s="40" t="s">
        <v>786</v>
      </c>
      <c r="C85" s="11" t="str">
        <f>IFERROR(__xludf.DUMMYFUNCTION("REGEXEXTRACT(B85,""[A-Z]{2,}"")"),"FMDS")</f>
        <v>FMDS</v>
      </c>
      <c r="D85" s="11" t="s">
        <v>48</v>
      </c>
      <c r="E85" s="11" t="s">
        <v>73</v>
      </c>
      <c r="F85" s="11" t="s">
        <v>50</v>
      </c>
      <c r="G85" s="11">
        <v>0.38</v>
      </c>
      <c r="H85" s="11">
        <v>12.0</v>
      </c>
    </row>
    <row r="86" ht="15.75" customHeight="1">
      <c r="A86" s="9">
        <v>85.0</v>
      </c>
      <c r="B86" s="40" t="s">
        <v>798</v>
      </c>
      <c r="C86" s="11" t="str">
        <f>IFERROR(__xludf.DUMMYFUNCTION("REGEXEXTRACT(B86,""[A-Z]{2,}"")"),"FMDS")</f>
        <v>FMDS</v>
      </c>
      <c r="D86" s="11" t="s">
        <v>48</v>
      </c>
      <c r="E86" s="11" t="s">
        <v>73</v>
      </c>
      <c r="F86" s="11" t="s">
        <v>50</v>
      </c>
      <c r="G86" s="11">
        <v>2.61</v>
      </c>
      <c r="H86" s="11">
        <v>47.0</v>
      </c>
    </row>
    <row r="87" ht="15.75" customHeight="1">
      <c r="A87" s="9">
        <v>86.0</v>
      </c>
      <c r="B87" s="40" t="s">
        <v>809</v>
      </c>
      <c r="C87" s="11" t="str">
        <f>IFERROR(__xludf.DUMMYFUNCTION("REGEXEXTRACT(B87,""[A-Z]{2,}"")"),"FMDS")</f>
        <v>FMDS</v>
      </c>
      <c r="D87" s="11" t="s">
        <v>48</v>
      </c>
      <c r="E87" s="11" t="s">
        <v>73</v>
      </c>
      <c r="F87" s="11" t="s">
        <v>50</v>
      </c>
      <c r="G87" s="11">
        <v>0.34</v>
      </c>
      <c r="H87" s="11">
        <v>47.0</v>
      </c>
    </row>
    <row r="88" ht="15.75" customHeight="1">
      <c r="A88" s="9">
        <v>87.0</v>
      </c>
      <c r="B88" s="40" t="s">
        <v>815</v>
      </c>
      <c r="C88" s="11" t="str">
        <f>IFERROR(__xludf.DUMMYFUNCTION("REGEXEXTRACT(B88,""[A-Z]{2,}"")"),"FMDS")</f>
        <v>FMDS</v>
      </c>
      <c r="D88" s="11" t="s">
        <v>48</v>
      </c>
      <c r="E88" s="11" t="s">
        <v>73</v>
      </c>
      <c r="F88" s="11" t="s">
        <v>50</v>
      </c>
      <c r="G88" s="11">
        <v>0.18</v>
      </c>
      <c r="H88" s="11">
        <v>29.0</v>
      </c>
    </row>
    <row r="89" ht="15.75" customHeight="1">
      <c r="A89" s="9">
        <v>88.0</v>
      </c>
      <c r="B89" s="40" t="s">
        <v>821</v>
      </c>
      <c r="C89" s="11" t="str">
        <f>IFERROR(__xludf.DUMMYFUNCTION("REGEXEXTRACT(B89,""[A-Z]{2,}"")"),"FMDS")</f>
        <v>FMDS</v>
      </c>
      <c r="D89" s="11" t="s">
        <v>48</v>
      </c>
      <c r="E89" s="11" t="s">
        <v>73</v>
      </c>
      <c r="F89" s="11" t="s">
        <v>50</v>
      </c>
      <c r="G89" s="11">
        <v>1.43</v>
      </c>
      <c r="H89" s="11">
        <v>70.0</v>
      </c>
    </row>
    <row r="90" ht="15.75" customHeight="1">
      <c r="A90" s="9">
        <v>89.0</v>
      </c>
      <c r="B90" s="40" t="s">
        <v>827</v>
      </c>
      <c r="C90" s="11" t="str">
        <f>IFERROR(__xludf.DUMMYFUNCTION("REGEXEXTRACT(B90,""[A-Z]{2,}"")"),"FMDS")</f>
        <v>FMDS</v>
      </c>
      <c r="D90" s="11" t="s">
        <v>48</v>
      </c>
      <c r="E90" s="11" t="s">
        <v>73</v>
      </c>
      <c r="F90" s="11" t="s">
        <v>50</v>
      </c>
      <c r="G90" s="11">
        <v>0.37</v>
      </c>
      <c r="H90" s="11">
        <v>38.0</v>
      </c>
    </row>
    <row r="91" ht="15.75" customHeight="1">
      <c r="A91" s="9">
        <v>90.0</v>
      </c>
      <c r="B91" s="40" t="s">
        <v>858</v>
      </c>
      <c r="C91" s="11" t="str">
        <f>IFERROR(__xludf.DUMMYFUNCTION("REGEXEXTRACT(B91,""[A-Z]{2,}"")"),"FMDS")</f>
        <v>FMDS</v>
      </c>
      <c r="D91" s="11" t="s">
        <v>48</v>
      </c>
      <c r="E91" s="11" t="s">
        <v>73</v>
      </c>
      <c r="F91" s="11" t="s">
        <v>50</v>
      </c>
      <c r="G91" s="11">
        <v>0.26</v>
      </c>
      <c r="H91" s="11">
        <v>12.0</v>
      </c>
    </row>
    <row r="92" ht="15.75" customHeight="1">
      <c r="A92" s="9">
        <v>91.0</v>
      </c>
      <c r="B92" s="40" t="s">
        <v>864</v>
      </c>
      <c r="C92" s="11" t="str">
        <f>IFERROR(__xludf.DUMMYFUNCTION("REGEXEXTRACT(B92,""[A-Z]{2,}"")"),"FMDS")</f>
        <v>FMDS</v>
      </c>
      <c r="D92" s="11" t="s">
        <v>48</v>
      </c>
      <c r="E92" s="11" t="s">
        <v>73</v>
      </c>
      <c r="F92" s="11" t="s">
        <v>50</v>
      </c>
      <c r="G92" s="11">
        <v>0.57</v>
      </c>
      <c r="H92" s="11">
        <v>22.0</v>
      </c>
    </row>
    <row r="93" ht="15.75" customHeight="1">
      <c r="A93" s="9">
        <v>92.0</v>
      </c>
      <c r="B93" s="40" t="s">
        <v>913</v>
      </c>
      <c r="C93" s="11" t="str">
        <f>IFERROR(__xludf.DUMMYFUNCTION("REGEXEXTRACT(B93,""[A-Z]{2,}"")"),"FMDS")</f>
        <v>FMDS</v>
      </c>
      <c r="D93" s="11" t="s">
        <v>48</v>
      </c>
      <c r="E93" s="11" t="s">
        <v>73</v>
      </c>
      <c r="F93" s="11" t="s">
        <v>50</v>
      </c>
      <c r="G93" s="11">
        <v>0.08</v>
      </c>
      <c r="H93" s="11">
        <v>8.0</v>
      </c>
    </row>
    <row r="94" ht="15.75" customHeight="1">
      <c r="A94" s="9">
        <v>93.0</v>
      </c>
      <c r="B94" s="40" t="s">
        <v>919</v>
      </c>
      <c r="C94" s="11" t="str">
        <f>IFERROR(__xludf.DUMMYFUNCTION("REGEXEXTRACT(B94,""[A-Z]{2,}"")"),"FMDS")</f>
        <v>FMDS</v>
      </c>
      <c r="D94" s="11" t="s">
        <v>48</v>
      </c>
      <c r="E94" s="11" t="s">
        <v>73</v>
      </c>
      <c r="F94" s="11" t="s">
        <v>50</v>
      </c>
      <c r="G94" s="11">
        <v>0.28</v>
      </c>
      <c r="H94" s="11">
        <v>28.0</v>
      </c>
    </row>
    <row r="95" ht="15.75" customHeight="1">
      <c r="A95" s="9">
        <v>94.0</v>
      </c>
      <c r="B95" s="40" t="s">
        <v>926</v>
      </c>
      <c r="C95" s="11" t="str">
        <f>IFERROR(__xludf.DUMMYFUNCTION("REGEXEXTRACT(B95,""[A-Z]{2,}"")"),"FMDS")</f>
        <v>FMDS</v>
      </c>
      <c r="D95" s="11" t="s">
        <v>48</v>
      </c>
      <c r="E95" s="11" t="s">
        <v>73</v>
      </c>
      <c r="F95" s="11" t="s">
        <v>50</v>
      </c>
      <c r="G95" s="11">
        <v>0.16</v>
      </c>
      <c r="H95" s="11">
        <v>23.0</v>
      </c>
    </row>
    <row r="96" ht="15.75" customHeight="1">
      <c r="A96" s="9">
        <v>95.0</v>
      </c>
      <c r="B96" s="40" t="s">
        <v>933</v>
      </c>
      <c r="C96" s="11" t="str">
        <f>IFERROR(__xludf.DUMMYFUNCTION("REGEXEXTRACT(B96,""[A-Z]{2,}"")"),"FMDS")</f>
        <v>FMDS</v>
      </c>
      <c r="D96" s="11" t="s">
        <v>48</v>
      </c>
      <c r="E96" s="11" t="s">
        <v>73</v>
      </c>
      <c r="F96" s="11" t="s">
        <v>50</v>
      </c>
      <c r="G96" s="11">
        <v>13.35</v>
      </c>
      <c r="H96" s="11">
        <v>14.0</v>
      </c>
    </row>
    <row r="97" ht="15.75" customHeight="1">
      <c r="A97" s="9">
        <v>96.0</v>
      </c>
      <c r="B97" s="40" t="s">
        <v>939</v>
      </c>
      <c r="C97" s="11" t="str">
        <f>IFERROR(__xludf.DUMMYFUNCTION("REGEXEXTRACT(B97,""[A-Z]{2,}"")"),"FMDS")</f>
        <v>FMDS</v>
      </c>
      <c r="D97" s="11" t="s">
        <v>48</v>
      </c>
      <c r="E97" s="11" t="s">
        <v>73</v>
      </c>
      <c r="F97" s="11" t="s">
        <v>50</v>
      </c>
      <c r="G97" s="11">
        <v>0.47</v>
      </c>
      <c r="H97" s="11">
        <v>26.0</v>
      </c>
    </row>
    <row r="98" ht="15.75" customHeight="1">
      <c r="A98" s="9">
        <v>97.0</v>
      </c>
      <c r="B98" s="40" t="s">
        <v>951</v>
      </c>
      <c r="C98" s="11" t="str">
        <f>IFERROR(__xludf.DUMMYFUNCTION("REGEXEXTRACT(B98,""[A-Z]{2,}"")"),"FMDS")</f>
        <v>FMDS</v>
      </c>
      <c r="D98" s="11" t="s">
        <v>48</v>
      </c>
      <c r="E98" s="11" t="s">
        <v>73</v>
      </c>
      <c r="F98" s="11" t="s">
        <v>50</v>
      </c>
      <c r="G98" s="11">
        <v>0.13</v>
      </c>
      <c r="H98" s="11">
        <v>12.0</v>
      </c>
    </row>
    <row r="99" ht="15.75" customHeight="1">
      <c r="A99" s="9">
        <v>98.0</v>
      </c>
      <c r="B99" s="40" t="s">
        <v>957</v>
      </c>
      <c r="C99" s="11" t="str">
        <f>IFERROR(__xludf.DUMMYFUNCTION("REGEXEXTRACT(B99,""[A-Z]{2,}"")"),"FMDS")</f>
        <v>FMDS</v>
      </c>
      <c r="D99" s="11" t="s">
        <v>48</v>
      </c>
      <c r="E99" s="11" t="s">
        <v>73</v>
      </c>
      <c r="F99" s="11" t="s">
        <v>50</v>
      </c>
      <c r="G99" s="11">
        <v>0.19</v>
      </c>
      <c r="H99" s="11">
        <v>12.0</v>
      </c>
    </row>
    <row r="100" ht="15.75" customHeight="1">
      <c r="A100" s="9">
        <v>99.0</v>
      </c>
      <c r="B100" s="40" t="s">
        <v>975</v>
      </c>
      <c r="C100" s="11" t="str">
        <f>IFERROR(__xludf.DUMMYFUNCTION("REGEXEXTRACT(B100,""[A-Z]{2,}"")"),"FMDS")</f>
        <v>FMDS</v>
      </c>
      <c r="D100" s="11" t="s">
        <v>48</v>
      </c>
      <c r="E100" s="11" t="s">
        <v>73</v>
      </c>
      <c r="F100" s="11" t="s">
        <v>50</v>
      </c>
      <c r="G100" s="11">
        <v>0.16</v>
      </c>
      <c r="H100" s="11">
        <v>16.0</v>
      </c>
    </row>
    <row r="101" ht="15.75" customHeight="1">
      <c r="A101" s="9">
        <v>100.0</v>
      </c>
      <c r="B101" s="40" t="s">
        <v>981</v>
      </c>
      <c r="C101" s="11" t="str">
        <f>IFERROR(__xludf.DUMMYFUNCTION("REGEXEXTRACT(B101,""[A-Z]{2,}"")"),"FMDS")</f>
        <v>FMDS</v>
      </c>
      <c r="D101" s="11" t="s">
        <v>48</v>
      </c>
      <c r="E101" s="11" t="s">
        <v>73</v>
      </c>
      <c r="F101" s="11" t="s">
        <v>50</v>
      </c>
      <c r="G101" s="11">
        <v>0.57</v>
      </c>
      <c r="H101" s="11">
        <v>25.0</v>
      </c>
    </row>
    <row r="102" ht="15.75" customHeight="1">
      <c r="A102" s="9">
        <v>101.0</v>
      </c>
      <c r="B102" s="40" t="s">
        <v>987</v>
      </c>
      <c r="C102" s="11" t="str">
        <f>IFERROR(__xludf.DUMMYFUNCTION("REGEXEXTRACT(B102,""[A-Z]{2,}"")"),"FMDS")</f>
        <v>FMDS</v>
      </c>
      <c r="D102" s="11" t="s">
        <v>48</v>
      </c>
      <c r="E102" s="11" t="s">
        <v>73</v>
      </c>
      <c r="F102" s="11" t="s">
        <v>50</v>
      </c>
      <c r="G102" s="11">
        <v>0.74</v>
      </c>
      <c r="H102" s="11">
        <v>31.0</v>
      </c>
    </row>
    <row r="103" ht="15.75" customHeight="1">
      <c r="A103" s="9">
        <v>102.0</v>
      </c>
      <c r="B103" s="40" t="s">
        <v>999</v>
      </c>
      <c r="C103" s="11" t="str">
        <f>IFERROR(__xludf.DUMMYFUNCTION("REGEXEXTRACT(B103,""[A-Z]{2,}"")"),"FMDS")</f>
        <v>FMDS</v>
      </c>
      <c r="D103" s="11" t="s">
        <v>48</v>
      </c>
      <c r="E103" s="11" t="s">
        <v>73</v>
      </c>
      <c r="F103" s="11" t="s">
        <v>50</v>
      </c>
      <c r="G103" s="11">
        <v>0.83</v>
      </c>
      <c r="H103" s="11">
        <v>36.0</v>
      </c>
    </row>
    <row r="104" ht="15.75" customHeight="1">
      <c r="A104" s="9">
        <v>103.0</v>
      </c>
      <c r="B104" s="40" t="s">
        <v>1005</v>
      </c>
      <c r="C104" s="11" t="str">
        <f>IFERROR(__xludf.DUMMYFUNCTION("REGEXEXTRACT(B104,""[A-Z]{2,}"")"),"FMDS")</f>
        <v>FMDS</v>
      </c>
      <c r="D104" s="11" t="s">
        <v>48</v>
      </c>
      <c r="E104" s="11" t="s">
        <v>73</v>
      </c>
      <c r="F104" s="11" t="s">
        <v>50</v>
      </c>
      <c r="G104" s="11">
        <v>0.34</v>
      </c>
      <c r="H104" s="11">
        <v>31.0</v>
      </c>
    </row>
    <row r="105" ht="15.75" customHeight="1">
      <c r="A105" s="9">
        <v>104.0</v>
      </c>
      <c r="B105" s="40" t="s">
        <v>1011</v>
      </c>
      <c r="C105" s="11" t="str">
        <f>IFERROR(__xludf.DUMMYFUNCTION("REGEXEXTRACT(B105,""[A-Z]{2,}"")"),"FMDS")</f>
        <v>FMDS</v>
      </c>
      <c r="D105" s="11" t="s">
        <v>48</v>
      </c>
      <c r="E105" s="11" t="s">
        <v>73</v>
      </c>
      <c r="F105" s="11" t="s">
        <v>50</v>
      </c>
      <c r="G105" s="11">
        <v>0.07</v>
      </c>
      <c r="H105" s="11">
        <v>10.0</v>
      </c>
    </row>
    <row r="106" ht="15.75" customHeight="1">
      <c r="A106" s="9">
        <v>105.0</v>
      </c>
      <c r="B106" s="40" t="s">
        <v>1017</v>
      </c>
      <c r="C106" s="11" t="str">
        <f>IFERROR(__xludf.DUMMYFUNCTION("REGEXEXTRACT(B106,""[A-Z]{2,}"")"),"FMDS")</f>
        <v>FMDS</v>
      </c>
      <c r="D106" s="11" t="s">
        <v>48</v>
      </c>
      <c r="E106" s="11" t="s">
        <v>73</v>
      </c>
      <c r="F106" s="11" t="s">
        <v>50</v>
      </c>
      <c r="G106" s="11">
        <v>0.15</v>
      </c>
      <c r="H106" s="11">
        <v>31.0</v>
      </c>
    </row>
    <row r="107" ht="15.75" customHeight="1">
      <c r="A107" s="9">
        <v>106.0</v>
      </c>
      <c r="B107" s="40" t="s">
        <v>1023</v>
      </c>
      <c r="C107" s="11" t="str">
        <f>IFERROR(__xludf.DUMMYFUNCTION("REGEXEXTRACT(B107,""[A-Z]{2,}"")"),"FMDS")</f>
        <v>FMDS</v>
      </c>
      <c r="D107" s="11" t="s">
        <v>48</v>
      </c>
      <c r="E107" s="11" t="s">
        <v>73</v>
      </c>
      <c r="F107" s="11" t="s">
        <v>50</v>
      </c>
      <c r="G107" s="11">
        <v>0.21</v>
      </c>
      <c r="H107" s="11">
        <v>22.0</v>
      </c>
    </row>
    <row r="108" ht="15.75" customHeight="1">
      <c r="A108" s="9">
        <v>107.0</v>
      </c>
      <c r="B108" s="40" t="s">
        <v>1038</v>
      </c>
      <c r="C108" s="11" t="str">
        <f>IFERROR(__xludf.DUMMYFUNCTION("REGEXEXTRACT(B108,""[A-Z]{2,}"")"),"FMDS")</f>
        <v>FMDS</v>
      </c>
      <c r="D108" s="11" t="s">
        <v>48</v>
      </c>
      <c r="E108" s="11" t="s">
        <v>73</v>
      </c>
      <c r="F108" s="11" t="s">
        <v>50</v>
      </c>
      <c r="G108" s="11">
        <v>0.08</v>
      </c>
      <c r="H108" s="11">
        <v>11.0</v>
      </c>
    </row>
    <row r="109" ht="15.75" customHeight="1">
      <c r="A109" s="9">
        <v>108.0</v>
      </c>
      <c r="B109" s="40" t="s">
        <v>1045</v>
      </c>
      <c r="C109" s="11" t="str">
        <f>IFERROR(__xludf.DUMMYFUNCTION("REGEXEXTRACT(B109,""[A-Z]{2,}"")"),"FMDS")</f>
        <v>FMDS</v>
      </c>
      <c r="D109" s="11" t="s">
        <v>48</v>
      </c>
      <c r="E109" s="11" t="s">
        <v>73</v>
      </c>
      <c r="F109" s="11" t="s">
        <v>50</v>
      </c>
      <c r="G109" s="11">
        <v>0.33</v>
      </c>
      <c r="H109" s="11">
        <v>9.0</v>
      </c>
    </row>
    <row r="110" ht="15.75" customHeight="1">
      <c r="A110" s="9">
        <v>109.0</v>
      </c>
      <c r="B110" s="40" t="s">
        <v>1057</v>
      </c>
      <c r="C110" s="11" t="str">
        <f>IFERROR(__xludf.DUMMYFUNCTION("REGEXEXTRACT(B110,""[A-Z]{2,}"")"),"FMDS")</f>
        <v>FMDS</v>
      </c>
      <c r="D110" s="11" t="s">
        <v>48</v>
      </c>
      <c r="E110" s="11" t="s">
        <v>73</v>
      </c>
      <c r="F110" s="11" t="s">
        <v>50</v>
      </c>
      <c r="G110" s="11">
        <v>0.1</v>
      </c>
      <c r="H110" s="11">
        <v>10.0</v>
      </c>
    </row>
    <row r="111" ht="15.75" customHeight="1">
      <c r="A111" s="9">
        <v>110.0</v>
      </c>
      <c r="B111" s="40" t="s">
        <v>1069</v>
      </c>
      <c r="C111" s="11" t="str">
        <f>IFERROR(__xludf.DUMMYFUNCTION("REGEXEXTRACT(B111,""[A-Z]{2,}"")"),"FMDS")</f>
        <v>FMDS</v>
      </c>
      <c r="D111" s="11" t="s">
        <v>48</v>
      </c>
      <c r="E111" s="11" t="s">
        <v>73</v>
      </c>
      <c r="F111" s="11" t="s">
        <v>50</v>
      </c>
      <c r="G111" s="11">
        <v>0.12</v>
      </c>
      <c r="H111" s="11">
        <v>15.0</v>
      </c>
    </row>
    <row r="112" ht="15.75" customHeight="1">
      <c r="A112" s="9">
        <v>111.0</v>
      </c>
      <c r="B112" s="40" t="s">
        <v>1075</v>
      </c>
      <c r="C112" s="11" t="str">
        <f>IFERROR(__xludf.DUMMYFUNCTION("REGEXEXTRACT(B112,""[A-Z]{2,}"")"),"FMDS")</f>
        <v>FMDS</v>
      </c>
      <c r="D112" s="11" t="s">
        <v>48</v>
      </c>
      <c r="E112" s="11" t="s">
        <v>73</v>
      </c>
      <c r="F112" s="11" t="s">
        <v>50</v>
      </c>
      <c r="G112" s="11">
        <v>0.27</v>
      </c>
      <c r="H112" s="11">
        <v>33.0</v>
      </c>
    </row>
    <row r="113" ht="15.75" customHeight="1">
      <c r="A113" s="9">
        <v>112.0</v>
      </c>
      <c r="B113" s="40" t="s">
        <v>1081</v>
      </c>
      <c r="C113" s="11" t="str">
        <f>IFERROR(__xludf.DUMMYFUNCTION("REGEXEXTRACT(B113,""[A-Z]{2,}"")"),"FMDS")</f>
        <v>FMDS</v>
      </c>
      <c r="D113" s="11" t="s">
        <v>48</v>
      </c>
      <c r="E113" s="11" t="s">
        <v>73</v>
      </c>
      <c r="F113" s="11" t="s">
        <v>50</v>
      </c>
      <c r="G113" s="11">
        <v>2.06</v>
      </c>
      <c r="H113" s="11">
        <v>46.0</v>
      </c>
    </row>
    <row r="114" ht="15.75" customHeight="1">
      <c r="A114" s="9">
        <v>113.0</v>
      </c>
      <c r="B114" s="40" t="s">
        <v>1093</v>
      </c>
      <c r="C114" s="11" t="str">
        <f>IFERROR(__xludf.DUMMYFUNCTION("REGEXEXTRACT(B114,""[A-Z]{2,}"")"),"FMDS")</f>
        <v>FMDS</v>
      </c>
      <c r="D114" s="11" t="s">
        <v>48</v>
      </c>
      <c r="E114" s="11" t="s">
        <v>73</v>
      </c>
      <c r="F114" s="11" t="s">
        <v>50</v>
      </c>
      <c r="G114" s="11">
        <v>0.08</v>
      </c>
      <c r="H114" s="11">
        <v>6.0</v>
      </c>
    </row>
    <row r="115" ht="15.75" customHeight="1">
      <c r="A115" s="9">
        <v>114.0</v>
      </c>
      <c r="B115" s="40" t="s">
        <v>1099</v>
      </c>
      <c r="C115" s="11" t="str">
        <f>IFERROR(__xludf.DUMMYFUNCTION("REGEXEXTRACT(B115,""[A-Z]{2,}"")"),"FMDS")</f>
        <v>FMDS</v>
      </c>
      <c r="D115" s="11" t="s">
        <v>48</v>
      </c>
      <c r="E115" s="11" t="s">
        <v>73</v>
      </c>
      <c r="F115" s="11" t="s">
        <v>50</v>
      </c>
      <c r="G115" s="11">
        <v>0.15</v>
      </c>
      <c r="H115" s="11">
        <v>26.0</v>
      </c>
    </row>
    <row r="116" ht="15.75" customHeight="1">
      <c r="A116" s="9">
        <v>115.0</v>
      </c>
      <c r="B116" s="40" t="s">
        <v>1112</v>
      </c>
      <c r="C116" s="11" t="str">
        <f>IFERROR(__xludf.DUMMYFUNCTION("REGEXEXTRACT(B116,""[A-Z]{2,}"")"),"FMDS")</f>
        <v>FMDS</v>
      </c>
      <c r="D116" s="11" t="s">
        <v>48</v>
      </c>
      <c r="E116" s="11" t="s">
        <v>73</v>
      </c>
      <c r="F116" s="11" t="s">
        <v>50</v>
      </c>
      <c r="G116" s="11">
        <v>0.09</v>
      </c>
      <c r="H116" s="11">
        <v>15.0</v>
      </c>
    </row>
    <row r="117" ht="15.75" customHeight="1">
      <c r="A117" s="9">
        <v>116.0</v>
      </c>
      <c r="B117" s="40" t="s">
        <v>1124</v>
      </c>
      <c r="C117" s="11" t="str">
        <f>IFERROR(__xludf.DUMMYFUNCTION("REGEXEXTRACT(B117,""[A-Z]{2,}"")"),"FMDS")</f>
        <v>FMDS</v>
      </c>
      <c r="D117" s="11" t="s">
        <v>48</v>
      </c>
      <c r="E117" s="11" t="s">
        <v>73</v>
      </c>
      <c r="F117" s="11" t="s">
        <v>50</v>
      </c>
      <c r="G117" s="11">
        <v>0.16</v>
      </c>
      <c r="H117" s="11">
        <v>22.0</v>
      </c>
    </row>
    <row r="118" ht="15.75" customHeight="1">
      <c r="A118" s="9">
        <v>117.0</v>
      </c>
      <c r="B118" s="40" t="s">
        <v>1131</v>
      </c>
      <c r="C118" s="11" t="str">
        <f>IFERROR(__xludf.DUMMYFUNCTION("REGEXEXTRACT(B118,""[A-Z]{2,}"")"),"FMDS")</f>
        <v>FMDS</v>
      </c>
      <c r="D118" s="11" t="s">
        <v>48</v>
      </c>
      <c r="E118" s="11" t="s">
        <v>73</v>
      </c>
      <c r="F118" s="11" t="s">
        <v>50</v>
      </c>
      <c r="G118" s="11">
        <v>0.05</v>
      </c>
      <c r="H118" s="11">
        <v>7.0</v>
      </c>
    </row>
    <row r="119" ht="15.75" customHeight="1">
      <c r="A119" s="9">
        <v>118.0</v>
      </c>
      <c r="B119" s="40" t="s">
        <v>1137</v>
      </c>
      <c r="C119" s="11" t="str">
        <f>IFERROR(__xludf.DUMMYFUNCTION("REGEXEXTRACT(B119,""[A-Z]{2,}"")"),"FMDS")</f>
        <v>FMDS</v>
      </c>
      <c r="D119" s="11" t="s">
        <v>48</v>
      </c>
      <c r="E119" s="11" t="s">
        <v>73</v>
      </c>
      <c r="F119" s="11" t="s">
        <v>50</v>
      </c>
      <c r="G119" s="11">
        <v>0.11</v>
      </c>
      <c r="H119" s="11">
        <v>8.0</v>
      </c>
    </row>
    <row r="120" ht="15.75" customHeight="1">
      <c r="A120" s="9">
        <v>119.0</v>
      </c>
      <c r="B120" s="40" t="s">
        <v>1143</v>
      </c>
      <c r="C120" s="11" t="str">
        <f>IFERROR(__xludf.DUMMYFUNCTION("REGEXEXTRACT(B120,""[A-Z]{2,}"")"),"FMDS")</f>
        <v>FMDS</v>
      </c>
      <c r="D120" s="11" t="s">
        <v>48</v>
      </c>
      <c r="E120" s="11" t="s">
        <v>73</v>
      </c>
      <c r="F120" s="11" t="s">
        <v>50</v>
      </c>
      <c r="G120" s="11">
        <v>0.08</v>
      </c>
      <c r="H120" s="11">
        <v>6.0</v>
      </c>
    </row>
    <row r="121" ht="15.75" customHeight="1">
      <c r="A121" s="9">
        <v>120.0</v>
      </c>
      <c r="B121" s="40" t="s">
        <v>1161</v>
      </c>
      <c r="C121" s="11" t="str">
        <f>IFERROR(__xludf.DUMMYFUNCTION("REGEXEXTRACT(B121,""[A-Z]{2,}"")"),"FMDS")</f>
        <v>FMDS</v>
      </c>
      <c r="D121" s="11" t="s">
        <v>48</v>
      </c>
      <c r="E121" s="11" t="s">
        <v>73</v>
      </c>
      <c r="F121" s="11" t="s">
        <v>50</v>
      </c>
      <c r="G121" s="11">
        <v>0.21</v>
      </c>
      <c r="H121" s="11">
        <v>12.0</v>
      </c>
    </row>
    <row r="122" ht="15.75" customHeight="1">
      <c r="A122" s="9">
        <v>121.0</v>
      </c>
      <c r="B122" s="40" t="s">
        <v>1167</v>
      </c>
      <c r="C122" s="11" t="str">
        <f>IFERROR(__xludf.DUMMYFUNCTION("REGEXEXTRACT(B122,""[A-Z]{2,}"")"),"FMDS")</f>
        <v>FMDS</v>
      </c>
      <c r="D122" s="11" t="s">
        <v>48</v>
      </c>
      <c r="E122" s="11" t="s">
        <v>73</v>
      </c>
      <c r="F122" s="11" t="s">
        <v>50</v>
      </c>
      <c r="G122" s="11">
        <v>0.3</v>
      </c>
      <c r="H122" s="11">
        <v>9.0</v>
      </c>
    </row>
    <row r="123" ht="15.75" customHeight="1">
      <c r="A123" s="9">
        <v>122.0</v>
      </c>
      <c r="B123" s="40" t="s">
        <v>1179</v>
      </c>
      <c r="C123" s="11" t="str">
        <f>IFERROR(__xludf.DUMMYFUNCTION("REGEXEXTRACT(B123,""[A-Z]{2,}"")"),"FMDS")</f>
        <v>FMDS</v>
      </c>
      <c r="D123" s="11" t="s">
        <v>48</v>
      </c>
      <c r="E123" s="11" t="s">
        <v>73</v>
      </c>
      <c r="F123" s="11" t="s">
        <v>50</v>
      </c>
      <c r="G123" s="11">
        <v>0.5</v>
      </c>
      <c r="H123" s="11">
        <v>17.0</v>
      </c>
    </row>
    <row r="124" ht="15.75" customHeight="1">
      <c r="A124" s="9">
        <v>123.0</v>
      </c>
      <c r="B124" s="40" t="s">
        <v>1185</v>
      </c>
      <c r="C124" s="11" t="str">
        <f>IFERROR(__xludf.DUMMYFUNCTION("REGEXEXTRACT(B124,""[A-Z]{2,}"")"),"FMDS")</f>
        <v>FMDS</v>
      </c>
      <c r="D124" s="11" t="s">
        <v>48</v>
      </c>
      <c r="E124" s="11" t="s">
        <v>73</v>
      </c>
      <c r="F124" s="11" t="s">
        <v>50</v>
      </c>
      <c r="G124" s="11">
        <v>0.11</v>
      </c>
      <c r="H124" s="11">
        <v>7.0</v>
      </c>
    </row>
    <row r="125" ht="15.75" customHeight="1">
      <c r="A125" s="9">
        <v>124.0</v>
      </c>
      <c r="B125" s="40" t="s">
        <v>1191</v>
      </c>
      <c r="C125" s="11" t="str">
        <f>IFERROR(__xludf.DUMMYFUNCTION("REGEXEXTRACT(B125,""[A-Z]{2,}"")"),"FMDS")</f>
        <v>FMDS</v>
      </c>
      <c r="D125" s="11" t="s">
        <v>48</v>
      </c>
      <c r="E125" s="11" t="s">
        <v>73</v>
      </c>
      <c r="F125" s="11" t="s">
        <v>50</v>
      </c>
      <c r="G125" s="11">
        <v>2.46</v>
      </c>
      <c r="H125" s="11">
        <v>40.0</v>
      </c>
    </row>
    <row r="126" ht="15.75" customHeight="1">
      <c r="A126" s="9">
        <v>125.0</v>
      </c>
      <c r="B126" s="40" t="s">
        <v>1221</v>
      </c>
      <c r="C126" s="11" t="str">
        <f>IFERROR(__xludf.DUMMYFUNCTION("REGEXEXTRACT(B126,""[A-Z]{2,}"")"),"FMDS")</f>
        <v>FMDS</v>
      </c>
      <c r="D126" s="11" t="s">
        <v>48</v>
      </c>
      <c r="E126" s="11" t="s">
        <v>73</v>
      </c>
      <c r="F126" s="11" t="s">
        <v>50</v>
      </c>
      <c r="G126" s="11">
        <v>0.19</v>
      </c>
      <c r="H126" s="11">
        <v>18.0</v>
      </c>
    </row>
    <row r="127" ht="15.75" customHeight="1">
      <c r="A127" s="9">
        <v>126.0</v>
      </c>
      <c r="B127" s="40" t="s">
        <v>1233</v>
      </c>
      <c r="C127" s="11" t="str">
        <f>IFERROR(__xludf.DUMMYFUNCTION("REGEXEXTRACT(B127,""[A-Z]{2,}"")"),"FMDS")</f>
        <v>FMDS</v>
      </c>
      <c r="D127" s="11" t="s">
        <v>48</v>
      </c>
      <c r="E127" s="11" t="s">
        <v>73</v>
      </c>
      <c r="F127" s="11" t="s">
        <v>50</v>
      </c>
      <c r="G127" s="11">
        <v>0.3</v>
      </c>
      <c r="H127" s="11">
        <v>18.0</v>
      </c>
    </row>
    <row r="128" ht="15.75" customHeight="1">
      <c r="A128" s="9">
        <v>127.0</v>
      </c>
      <c r="B128" s="40" t="s">
        <v>1239</v>
      </c>
      <c r="C128" s="11" t="str">
        <f>IFERROR(__xludf.DUMMYFUNCTION("REGEXEXTRACT(B128,""[A-Z]{2,}"")"),"FMDS")</f>
        <v>FMDS</v>
      </c>
      <c r="D128" s="11" t="s">
        <v>48</v>
      </c>
      <c r="E128" s="11" t="s">
        <v>73</v>
      </c>
      <c r="F128" s="11" t="s">
        <v>50</v>
      </c>
      <c r="G128" s="11">
        <v>0.07</v>
      </c>
      <c r="H128" s="11">
        <v>9.0</v>
      </c>
    </row>
    <row r="129" ht="15.75" customHeight="1">
      <c r="A129" s="9">
        <v>128.0</v>
      </c>
      <c r="B129" s="40" t="s">
        <v>1245</v>
      </c>
      <c r="C129" s="11" t="str">
        <f>IFERROR(__xludf.DUMMYFUNCTION("REGEXEXTRACT(B129,""[A-Z]{2,}"")"),"FMDS")</f>
        <v>FMDS</v>
      </c>
      <c r="D129" s="11" t="s">
        <v>48</v>
      </c>
      <c r="E129" s="11" t="s">
        <v>73</v>
      </c>
      <c r="F129" s="11" t="s">
        <v>50</v>
      </c>
      <c r="G129" s="11">
        <v>0.18</v>
      </c>
      <c r="H129" s="11">
        <v>12.0</v>
      </c>
    </row>
    <row r="130" ht="15.75" customHeight="1">
      <c r="A130" s="9">
        <v>129.0</v>
      </c>
      <c r="B130" s="40" t="s">
        <v>1257</v>
      </c>
      <c r="C130" s="11" t="str">
        <f>IFERROR(__xludf.DUMMYFUNCTION("REGEXEXTRACT(B130,""[A-Z]{2,}"")"),"FMDS")</f>
        <v>FMDS</v>
      </c>
      <c r="D130" s="11" t="s">
        <v>48</v>
      </c>
      <c r="E130" s="11" t="s">
        <v>73</v>
      </c>
      <c r="F130" s="11" t="s">
        <v>50</v>
      </c>
      <c r="G130" s="11">
        <v>0.26</v>
      </c>
      <c r="H130" s="11">
        <v>31.0</v>
      </c>
    </row>
    <row r="131" ht="15.75" customHeight="1">
      <c r="A131" s="9">
        <v>130.0</v>
      </c>
      <c r="B131" s="40" t="s">
        <v>1263</v>
      </c>
      <c r="C131" s="11" t="str">
        <f>IFERROR(__xludf.DUMMYFUNCTION("REGEXEXTRACT(B131,""[A-Z]{2,}"")"),"FMDS")</f>
        <v>FMDS</v>
      </c>
      <c r="D131" s="11" t="s">
        <v>48</v>
      </c>
      <c r="E131" s="11" t="s">
        <v>73</v>
      </c>
      <c r="F131" s="11" t="s">
        <v>50</v>
      </c>
      <c r="G131" s="11">
        <v>0.09</v>
      </c>
      <c r="H131" s="11">
        <v>15.0</v>
      </c>
    </row>
    <row r="132" ht="15.75" customHeight="1">
      <c r="A132" s="9">
        <v>131.0</v>
      </c>
      <c r="B132" s="40" t="s">
        <v>1288</v>
      </c>
      <c r="C132" s="11" t="str">
        <f>IFERROR(__xludf.DUMMYFUNCTION("REGEXEXTRACT(B132,""[A-Z]{2,}"")"),"FMDS")</f>
        <v>FMDS</v>
      </c>
      <c r="D132" s="11" t="s">
        <v>48</v>
      </c>
      <c r="E132" s="11" t="s">
        <v>73</v>
      </c>
      <c r="F132" s="11" t="s">
        <v>50</v>
      </c>
      <c r="G132" s="11">
        <v>0.36</v>
      </c>
      <c r="H132" s="11">
        <v>43.0</v>
      </c>
    </row>
    <row r="133" ht="15.75" customHeight="1">
      <c r="A133" s="9">
        <v>132.0</v>
      </c>
      <c r="B133" s="40" t="s">
        <v>1300</v>
      </c>
      <c r="C133" s="11" t="str">
        <f>IFERROR(__xludf.DUMMYFUNCTION("REGEXEXTRACT(B133,""[A-Z]{2,}"")"),"FMDS")</f>
        <v>FMDS</v>
      </c>
      <c r="D133" s="11" t="s">
        <v>48</v>
      </c>
      <c r="E133" s="11" t="s">
        <v>73</v>
      </c>
      <c r="F133" s="11" t="s">
        <v>50</v>
      </c>
      <c r="G133" s="11">
        <v>0.3</v>
      </c>
      <c r="H133" s="11">
        <v>27.0</v>
      </c>
    </row>
    <row r="134" ht="15.75" customHeight="1">
      <c r="A134" s="9">
        <v>133.0</v>
      </c>
      <c r="B134" s="40" t="s">
        <v>1318</v>
      </c>
      <c r="C134" s="11" t="str">
        <f>IFERROR(__xludf.DUMMYFUNCTION("REGEXEXTRACT(B134,""[A-Z]{2,}"")"),"FMDS")</f>
        <v>FMDS</v>
      </c>
      <c r="D134" s="11" t="s">
        <v>48</v>
      </c>
      <c r="E134" s="11" t="s">
        <v>73</v>
      </c>
      <c r="F134" s="11" t="s">
        <v>50</v>
      </c>
      <c r="G134" s="11">
        <v>0.55</v>
      </c>
      <c r="H134" s="11">
        <v>20.0</v>
      </c>
    </row>
    <row r="135" ht="15.75" customHeight="1">
      <c r="A135" s="9">
        <v>134.0</v>
      </c>
      <c r="B135" s="40" t="s">
        <v>1324</v>
      </c>
      <c r="C135" s="11" t="str">
        <f>IFERROR(__xludf.DUMMYFUNCTION("REGEXEXTRACT(B135,""[A-Z]{2,}"")"),"FMDS")</f>
        <v>FMDS</v>
      </c>
      <c r="D135" s="11" t="s">
        <v>48</v>
      </c>
      <c r="E135" s="11" t="s">
        <v>73</v>
      </c>
      <c r="F135" s="11" t="s">
        <v>50</v>
      </c>
      <c r="G135" s="11">
        <v>0.14</v>
      </c>
      <c r="H135" s="11">
        <v>13.0</v>
      </c>
    </row>
    <row r="136" ht="15.75" customHeight="1">
      <c r="A136" s="9">
        <v>135.0</v>
      </c>
      <c r="B136" s="40" t="s">
        <v>1330</v>
      </c>
      <c r="C136" s="11" t="str">
        <f>IFERROR(__xludf.DUMMYFUNCTION("REGEXEXTRACT(B136,""[A-Z]{2,}"")"),"FMDS")</f>
        <v>FMDS</v>
      </c>
      <c r="D136" s="11" t="s">
        <v>48</v>
      </c>
      <c r="E136" s="11" t="s">
        <v>73</v>
      </c>
      <c r="F136" s="11" t="s">
        <v>50</v>
      </c>
      <c r="G136" s="11">
        <v>0.79</v>
      </c>
      <c r="H136" s="11">
        <v>16.0</v>
      </c>
    </row>
    <row r="137" ht="15.75" customHeight="1">
      <c r="A137" s="9">
        <v>136.0</v>
      </c>
      <c r="B137" s="40" t="s">
        <v>1348</v>
      </c>
      <c r="C137" s="11" t="str">
        <f>IFERROR(__xludf.DUMMYFUNCTION("REGEXEXTRACT(B137,""[A-Z]{2,}"")"),"FMDS")</f>
        <v>FMDS</v>
      </c>
      <c r="D137" s="11" t="s">
        <v>48</v>
      </c>
      <c r="E137" s="11" t="s">
        <v>73</v>
      </c>
      <c r="F137" s="11" t="s">
        <v>50</v>
      </c>
      <c r="G137" s="11">
        <v>0.77</v>
      </c>
      <c r="H137" s="11">
        <v>54.0</v>
      </c>
    </row>
    <row r="138" ht="15.75" customHeight="1">
      <c r="A138" s="9">
        <v>137.0</v>
      </c>
      <c r="B138" s="40" t="s">
        <v>1354</v>
      </c>
      <c r="C138" s="11" t="str">
        <f>IFERROR(__xludf.DUMMYFUNCTION("REGEXEXTRACT(B138,""[A-Z]{2,}"")"),"FMDS")</f>
        <v>FMDS</v>
      </c>
      <c r="D138" s="11" t="s">
        <v>48</v>
      </c>
      <c r="E138" s="11" t="s">
        <v>73</v>
      </c>
      <c r="F138" s="11" t="s">
        <v>50</v>
      </c>
      <c r="G138" s="11">
        <v>0.81</v>
      </c>
      <c r="H138" s="11">
        <v>31.0</v>
      </c>
    </row>
    <row r="139" ht="15.75" customHeight="1">
      <c r="A139" s="9">
        <v>138.0</v>
      </c>
      <c r="B139" s="40" t="s">
        <v>1360</v>
      </c>
      <c r="C139" s="11" t="str">
        <f>IFERROR(__xludf.DUMMYFUNCTION("REGEXEXTRACT(B139,""[A-Z]{2,}"")"),"FMDS")</f>
        <v>FMDS</v>
      </c>
      <c r="D139" s="11" t="s">
        <v>48</v>
      </c>
      <c r="E139" s="11" t="s">
        <v>73</v>
      </c>
      <c r="F139" s="11" t="s">
        <v>50</v>
      </c>
      <c r="G139" s="11">
        <v>0.11</v>
      </c>
      <c r="H139" s="11">
        <v>19.0</v>
      </c>
    </row>
    <row r="140" ht="15.75" customHeight="1">
      <c r="A140" s="9">
        <v>139.0</v>
      </c>
      <c r="B140" s="40" t="s">
        <v>1396</v>
      </c>
      <c r="C140" s="11" t="str">
        <f>IFERROR(__xludf.DUMMYFUNCTION("REGEXEXTRACT(B140,""[A-Z]{2,}"")"),"FMDS")</f>
        <v>FMDS</v>
      </c>
      <c r="D140" s="11" t="s">
        <v>48</v>
      </c>
      <c r="E140" s="11" t="s">
        <v>73</v>
      </c>
      <c r="F140" s="11" t="s">
        <v>50</v>
      </c>
      <c r="G140" s="11">
        <v>0.18</v>
      </c>
      <c r="H140" s="11">
        <v>14.0</v>
      </c>
    </row>
    <row r="141" ht="15.75" customHeight="1">
      <c r="A141" s="9">
        <v>140.0</v>
      </c>
      <c r="B141" s="40" t="s">
        <v>1402</v>
      </c>
      <c r="C141" s="11" t="str">
        <f>IFERROR(__xludf.DUMMYFUNCTION("REGEXEXTRACT(B141,""[A-Z]{2,}"")"),"FMDS")</f>
        <v>FMDS</v>
      </c>
      <c r="D141" s="11" t="s">
        <v>48</v>
      </c>
      <c r="E141" s="11" t="s">
        <v>73</v>
      </c>
      <c r="F141" s="11" t="s">
        <v>50</v>
      </c>
      <c r="G141" s="11">
        <v>0.29</v>
      </c>
      <c r="H141" s="11">
        <v>16.0</v>
      </c>
    </row>
    <row r="142" ht="15.75" customHeight="1">
      <c r="A142" s="9">
        <v>141.0</v>
      </c>
      <c r="B142" s="40" t="s">
        <v>1421</v>
      </c>
      <c r="C142" s="11" t="str">
        <f>IFERROR(__xludf.DUMMYFUNCTION("REGEXEXTRACT(B142,""[A-Z]{2,}"")"),"FMDS")</f>
        <v>FMDS</v>
      </c>
      <c r="D142" s="11" t="s">
        <v>48</v>
      </c>
      <c r="E142" s="11" t="s">
        <v>73</v>
      </c>
      <c r="F142" s="11" t="s">
        <v>50</v>
      </c>
      <c r="G142" s="11">
        <v>0.69</v>
      </c>
      <c r="H142" s="11">
        <v>28.0</v>
      </c>
    </row>
    <row r="143" ht="15.75" customHeight="1">
      <c r="A143" s="9">
        <v>142.0</v>
      </c>
      <c r="B143" s="40" t="s">
        <v>1433</v>
      </c>
      <c r="C143" s="11" t="str">
        <f>IFERROR(__xludf.DUMMYFUNCTION("REGEXEXTRACT(B143,""[A-Z]{2,}"")"),"FMDS")</f>
        <v>FMDS</v>
      </c>
      <c r="D143" s="11" t="s">
        <v>48</v>
      </c>
      <c r="E143" s="11" t="s">
        <v>73</v>
      </c>
      <c r="F143" s="11" t="s">
        <v>50</v>
      </c>
      <c r="G143" s="11">
        <v>1.85</v>
      </c>
      <c r="H143" s="11">
        <v>70.0</v>
      </c>
    </row>
    <row r="144" ht="15.75" customHeight="1">
      <c r="A144" s="9">
        <v>143.0</v>
      </c>
      <c r="B144" s="40" t="s">
        <v>1439</v>
      </c>
      <c r="C144" s="11" t="str">
        <f>IFERROR(__xludf.DUMMYFUNCTION("REGEXEXTRACT(B144,""[A-Z]{2,}"")"),"FMDS")</f>
        <v>FMDS</v>
      </c>
      <c r="D144" s="11" t="s">
        <v>48</v>
      </c>
      <c r="E144" s="11" t="s">
        <v>73</v>
      </c>
      <c r="F144" s="11" t="s">
        <v>50</v>
      </c>
      <c r="G144" s="11">
        <v>0.12</v>
      </c>
      <c r="H144" s="11">
        <v>17.0</v>
      </c>
    </row>
    <row r="145" ht="15.75" customHeight="1">
      <c r="A145" s="9">
        <v>144.0</v>
      </c>
      <c r="B145" s="40" t="s">
        <v>1445</v>
      </c>
      <c r="C145" s="11" t="str">
        <f>IFERROR(__xludf.DUMMYFUNCTION("REGEXEXTRACT(B145,""[A-Z]{2,}"")"),"FMDS")</f>
        <v>FMDS</v>
      </c>
      <c r="D145" s="11" t="s">
        <v>48</v>
      </c>
      <c r="E145" s="11" t="s">
        <v>73</v>
      </c>
      <c r="F145" s="11" t="s">
        <v>50</v>
      </c>
      <c r="G145" s="11">
        <v>0.96</v>
      </c>
      <c r="H145" s="11">
        <v>29.0</v>
      </c>
    </row>
    <row r="146" ht="15.75" customHeight="1">
      <c r="A146" s="9">
        <v>145.0</v>
      </c>
      <c r="B146" s="40" t="s">
        <v>1457</v>
      </c>
      <c r="C146" s="11" t="str">
        <f>IFERROR(__xludf.DUMMYFUNCTION("REGEXEXTRACT(B146,""[A-Z]{2,}"")"),"FMDS")</f>
        <v>FMDS</v>
      </c>
      <c r="D146" s="11" t="s">
        <v>48</v>
      </c>
      <c r="E146" s="11" t="s">
        <v>73</v>
      </c>
      <c r="F146" s="11" t="s">
        <v>50</v>
      </c>
      <c r="G146" s="11">
        <v>0.52</v>
      </c>
      <c r="H146" s="11">
        <v>37.0</v>
      </c>
    </row>
    <row r="147" ht="15.75" customHeight="1">
      <c r="A147" s="9">
        <v>146.0</v>
      </c>
      <c r="B147" s="40" t="s">
        <v>1463</v>
      </c>
      <c r="C147" s="11" t="str">
        <f>IFERROR(__xludf.DUMMYFUNCTION("REGEXEXTRACT(B147,""[A-Z]{2,}"")"),"FMDS")</f>
        <v>FMDS</v>
      </c>
      <c r="D147" s="11" t="s">
        <v>48</v>
      </c>
      <c r="E147" s="11" t="s">
        <v>73</v>
      </c>
      <c r="F147" s="11" t="s">
        <v>50</v>
      </c>
      <c r="G147" s="11">
        <v>0.94</v>
      </c>
      <c r="H147" s="11">
        <v>24.0</v>
      </c>
    </row>
    <row r="148" ht="15.75" customHeight="1">
      <c r="A148" s="9">
        <v>147.0</v>
      </c>
      <c r="B148" s="40" t="s">
        <v>1469</v>
      </c>
      <c r="C148" s="11" t="str">
        <f>IFERROR(__xludf.DUMMYFUNCTION("REGEXEXTRACT(B148,""[A-Z]{2,}"")"),"FMDS")</f>
        <v>FMDS</v>
      </c>
      <c r="D148" s="11" t="s">
        <v>48</v>
      </c>
      <c r="E148" s="11" t="s">
        <v>73</v>
      </c>
      <c r="F148" s="11" t="s">
        <v>50</v>
      </c>
      <c r="G148" s="11">
        <v>0.17</v>
      </c>
      <c r="H148" s="11">
        <v>18.0</v>
      </c>
    </row>
    <row r="149" ht="15.75" customHeight="1">
      <c r="A149" s="9">
        <v>148.0</v>
      </c>
      <c r="B149" s="40" t="s">
        <v>1481</v>
      </c>
      <c r="C149" s="11" t="str">
        <f>IFERROR(__xludf.DUMMYFUNCTION("REGEXEXTRACT(B149,""[A-Z]{2,}"")"),"FMDS")</f>
        <v>FMDS</v>
      </c>
      <c r="D149" s="11" t="s">
        <v>48</v>
      </c>
      <c r="E149" s="11" t="s">
        <v>73</v>
      </c>
      <c r="F149" s="11" t="s">
        <v>50</v>
      </c>
      <c r="G149" s="11">
        <v>0.45</v>
      </c>
      <c r="H149" s="11">
        <v>28.0</v>
      </c>
    </row>
    <row r="150" ht="15.75" customHeight="1">
      <c r="A150" s="9">
        <v>149.0</v>
      </c>
      <c r="B150" s="40" t="s">
        <v>1499</v>
      </c>
      <c r="C150" s="11" t="str">
        <f>IFERROR(__xludf.DUMMYFUNCTION("REGEXEXTRACT(B150,""[A-Z]{2,}"")"),"FMDS")</f>
        <v>FMDS</v>
      </c>
      <c r="D150" s="11" t="s">
        <v>48</v>
      </c>
      <c r="E150" s="11" t="s">
        <v>73</v>
      </c>
      <c r="F150" s="11" t="s">
        <v>50</v>
      </c>
      <c r="G150" s="11">
        <v>0.16</v>
      </c>
      <c r="H150" s="11">
        <v>19.0</v>
      </c>
    </row>
    <row r="151" ht="15.75" customHeight="1">
      <c r="A151" s="9">
        <v>150.0</v>
      </c>
      <c r="B151" s="40" t="s">
        <v>1517</v>
      </c>
      <c r="C151" s="11" t="str">
        <f>IFERROR(__xludf.DUMMYFUNCTION("REGEXEXTRACT(B151,""[A-Z]{2,}"")"),"FMDS")</f>
        <v>FMDS</v>
      </c>
      <c r="D151" s="11" t="s">
        <v>48</v>
      </c>
      <c r="E151" s="11" t="s">
        <v>73</v>
      </c>
      <c r="F151" s="11" t="s">
        <v>50</v>
      </c>
      <c r="G151" s="11">
        <v>0.11</v>
      </c>
      <c r="H151" s="11">
        <v>20.0</v>
      </c>
    </row>
    <row r="152" ht="15.75" customHeight="1">
      <c r="A152" s="9">
        <v>151.0</v>
      </c>
      <c r="B152" s="40" t="s">
        <v>1529</v>
      </c>
      <c r="C152" s="11" t="str">
        <f>IFERROR(__xludf.DUMMYFUNCTION("REGEXEXTRACT(B152,""[A-Z]{2,}"")"),"FMDS")</f>
        <v>FMDS</v>
      </c>
      <c r="D152" s="11" t="s">
        <v>48</v>
      </c>
      <c r="E152" s="11" t="s">
        <v>73</v>
      </c>
      <c r="F152" s="11" t="s">
        <v>50</v>
      </c>
      <c r="G152" s="11">
        <v>0.08</v>
      </c>
      <c r="H152" s="11">
        <v>10.0</v>
      </c>
    </row>
    <row r="153" ht="15.75" customHeight="1">
      <c r="A153" s="9">
        <v>152.0</v>
      </c>
      <c r="B153" s="40" t="s">
        <v>1535</v>
      </c>
      <c r="C153" s="11" t="str">
        <f>IFERROR(__xludf.DUMMYFUNCTION("REGEXEXTRACT(B153,""[A-Z]{2,}"")"),"FMDS")</f>
        <v>FMDS</v>
      </c>
      <c r="D153" s="11" t="s">
        <v>48</v>
      </c>
      <c r="E153" s="11" t="s">
        <v>73</v>
      </c>
      <c r="F153" s="11" t="s">
        <v>50</v>
      </c>
      <c r="G153" s="11">
        <v>0.29</v>
      </c>
      <c r="H153" s="11">
        <v>12.0</v>
      </c>
    </row>
    <row r="154" ht="15.75" customHeight="1">
      <c r="A154" s="9">
        <v>153.0</v>
      </c>
      <c r="B154" s="40" t="s">
        <v>1560</v>
      </c>
      <c r="C154" s="11" t="str">
        <f>IFERROR(__xludf.DUMMYFUNCTION("REGEXEXTRACT(B154,""[A-Z]{2,}"")"),"FMDS")</f>
        <v>FMDS</v>
      </c>
      <c r="D154" s="11" t="s">
        <v>48</v>
      </c>
      <c r="E154" s="11" t="s">
        <v>73</v>
      </c>
      <c r="F154" s="11" t="s">
        <v>50</v>
      </c>
      <c r="G154" s="11">
        <v>0.07</v>
      </c>
      <c r="H154" s="11">
        <v>10.0</v>
      </c>
    </row>
    <row r="155" ht="15.75" customHeight="1">
      <c r="A155" s="9">
        <v>154.0</v>
      </c>
      <c r="B155" s="40" t="s">
        <v>1578</v>
      </c>
      <c r="C155" s="11" t="str">
        <f>IFERROR(__xludf.DUMMYFUNCTION("REGEXEXTRACT(B155,""[A-Z]{2,}"")"),"FMDS")</f>
        <v>FMDS</v>
      </c>
      <c r="D155" s="11" t="s">
        <v>48</v>
      </c>
      <c r="E155" s="11" t="s">
        <v>73</v>
      </c>
      <c r="F155" s="11" t="s">
        <v>50</v>
      </c>
      <c r="G155" s="11">
        <v>0.18</v>
      </c>
      <c r="H155" s="11">
        <v>28.0</v>
      </c>
    </row>
    <row r="156" ht="15.75" customHeight="1">
      <c r="A156" s="9">
        <v>155.0</v>
      </c>
      <c r="B156" s="40" t="s">
        <v>1590</v>
      </c>
      <c r="C156" s="11" t="str">
        <f>IFERROR(__xludf.DUMMYFUNCTION("REGEXEXTRACT(B156,""[A-Z]{2,}"")"),"FMDS")</f>
        <v>FMDS</v>
      </c>
      <c r="D156" s="11" t="s">
        <v>48</v>
      </c>
      <c r="E156" s="11" t="s">
        <v>73</v>
      </c>
      <c r="F156" s="11" t="s">
        <v>50</v>
      </c>
      <c r="G156" s="11">
        <v>0.05</v>
      </c>
      <c r="H156" s="11">
        <v>4.0</v>
      </c>
    </row>
    <row r="157" ht="15.75" customHeight="1">
      <c r="A157" s="9">
        <v>156.0</v>
      </c>
      <c r="B157" s="40" t="s">
        <v>1602</v>
      </c>
      <c r="C157" s="11" t="str">
        <f>IFERROR(__xludf.DUMMYFUNCTION("REGEXEXTRACT(B157,""[A-Z]{2,}"")"),"FMDS")</f>
        <v>FMDS</v>
      </c>
      <c r="D157" s="11" t="s">
        <v>48</v>
      </c>
      <c r="E157" s="11" t="s">
        <v>73</v>
      </c>
      <c r="F157" s="11" t="s">
        <v>50</v>
      </c>
      <c r="G157" s="11">
        <v>0.05</v>
      </c>
      <c r="H157" s="11">
        <v>6.0</v>
      </c>
    </row>
    <row r="158" ht="15.75" customHeight="1">
      <c r="A158" s="9">
        <v>157.0</v>
      </c>
      <c r="B158" s="40" t="s">
        <v>1608</v>
      </c>
      <c r="C158" s="11" t="str">
        <f>IFERROR(__xludf.DUMMYFUNCTION("REGEXEXTRACT(B158,""[A-Z]{2,}"")"),"FMDS")</f>
        <v>FMDS</v>
      </c>
      <c r="D158" s="11" t="s">
        <v>48</v>
      </c>
      <c r="E158" s="11" t="s">
        <v>73</v>
      </c>
      <c r="F158" s="11" t="s">
        <v>50</v>
      </c>
      <c r="G158" s="11">
        <v>0.06</v>
      </c>
      <c r="H158" s="11">
        <v>6.0</v>
      </c>
    </row>
    <row r="159" ht="15.75" customHeight="1">
      <c r="A159" s="9">
        <v>158.0</v>
      </c>
      <c r="B159" s="40" t="s">
        <v>1632</v>
      </c>
      <c r="C159" s="11" t="str">
        <f>IFERROR(__xludf.DUMMYFUNCTION("REGEXEXTRACT(B159,""[A-Z]{2,}"")"),"FMDS")</f>
        <v>FMDS</v>
      </c>
      <c r="D159" s="11" t="s">
        <v>48</v>
      </c>
      <c r="E159" s="11" t="s">
        <v>73</v>
      </c>
      <c r="F159" s="11" t="s">
        <v>50</v>
      </c>
      <c r="G159" s="11">
        <v>5.74</v>
      </c>
      <c r="H159" s="11">
        <v>119.0</v>
      </c>
    </row>
    <row r="160" ht="15.75" customHeight="1">
      <c r="A160" s="9">
        <v>159.0</v>
      </c>
      <c r="B160" s="40" t="s">
        <v>1657</v>
      </c>
      <c r="C160" s="11" t="str">
        <f>IFERROR(__xludf.DUMMYFUNCTION("REGEXEXTRACT(B160,""[A-Z]{2,}"")"),"FMDS")</f>
        <v>FMDS</v>
      </c>
      <c r="D160" s="11" t="s">
        <v>48</v>
      </c>
      <c r="E160" s="11" t="s">
        <v>73</v>
      </c>
      <c r="F160" s="11" t="s">
        <v>50</v>
      </c>
      <c r="G160" s="11">
        <v>0.99</v>
      </c>
      <c r="H160" s="11">
        <v>50.0</v>
      </c>
    </row>
    <row r="161" ht="15.75" customHeight="1">
      <c r="A161" s="9">
        <v>160.0</v>
      </c>
      <c r="B161" s="40" t="s">
        <v>1663</v>
      </c>
      <c r="C161" s="11" t="str">
        <f>IFERROR(__xludf.DUMMYFUNCTION("REGEXEXTRACT(B161,""[A-Z]{2,}"")"),"FMDS")</f>
        <v>FMDS</v>
      </c>
      <c r="D161" s="11" t="s">
        <v>48</v>
      </c>
      <c r="E161" s="11" t="s">
        <v>73</v>
      </c>
      <c r="F161" s="11" t="s">
        <v>50</v>
      </c>
      <c r="G161" s="11">
        <v>0.27</v>
      </c>
      <c r="H161" s="11">
        <v>26.0</v>
      </c>
    </row>
    <row r="162" ht="15.75" customHeight="1">
      <c r="A162" s="9">
        <v>161.0</v>
      </c>
      <c r="B162" s="40" t="s">
        <v>1669</v>
      </c>
      <c r="C162" s="11" t="str">
        <f>IFERROR(__xludf.DUMMYFUNCTION("REGEXEXTRACT(B162,""[A-Z]{2,}"")"),"FMDS")</f>
        <v>FMDS</v>
      </c>
      <c r="D162" s="11" t="s">
        <v>48</v>
      </c>
      <c r="E162" s="11" t="s">
        <v>73</v>
      </c>
      <c r="F162" s="11" t="s">
        <v>50</v>
      </c>
      <c r="G162" s="11">
        <v>1.05</v>
      </c>
      <c r="H162" s="11">
        <v>22.0</v>
      </c>
    </row>
    <row r="163" ht="15.75" customHeight="1">
      <c r="A163" s="9">
        <v>162.0</v>
      </c>
      <c r="B163" s="40" t="s">
        <v>1675</v>
      </c>
      <c r="C163" s="11" t="str">
        <f>IFERROR(__xludf.DUMMYFUNCTION("REGEXEXTRACT(B163,""[A-Z]{2,}"")"),"FMDS")</f>
        <v>FMDS</v>
      </c>
      <c r="D163" s="11" t="s">
        <v>48</v>
      </c>
      <c r="E163" s="11" t="s">
        <v>73</v>
      </c>
      <c r="F163" s="11" t="s">
        <v>50</v>
      </c>
      <c r="G163" s="11">
        <v>1.3</v>
      </c>
      <c r="H163" s="11">
        <v>14.0</v>
      </c>
    </row>
    <row r="164" ht="15.75" customHeight="1">
      <c r="A164" s="9">
        <v>163.0</v>
      </c>
      <c r="B164" s="40" t="s">
        <v>1681</v>
      </c>
      <c r="C164" s="11" t="str">
        <f>IFERROR(__xludf.DUMMYFUNCTION("REGEXEXTRACT(B164,""[A-Z]{2,}"")"),"FMDS")</f>
        <v>FMDS</v>
      </c>
      <c r="D164" s="11" t="s">
        <v>48</v>
      </c>
      <c r="E164" s="11" t="s">
        <v>73</v>
      </c>
      <c r="F164" s="11" t="s">
        <v>50</v>
      </c>
      <c r="G164" s="11">
        <v>2.18</v>
      </c>
      <c r="H164" s="11">
        <v>10.0</v>
      </c>
    </row>
    <row r="165" ht="15.75" customHeight="1">
      <c r="A165" s="9">
        <v>164.0</v>
      </c>
      <c r="B165" s="40" t="s">
        <v>1723</v>
      </c>
      <c r="C165" s="11" t="str">
        <f>IFERROR(__xludf.DUMMYFUNCTION("REGEXEXTRACT(B165,""[A-Z]{2,}"")"),"FMDS")</f>
        <v>FMDS</v>
      </c>
      <c r="D165" s="11" t="s">
        <v>48</v>
      </c>
      <c r="E165" s="11" t="s">
        <v>73</v>
      </c>
      <c r="F165" s="11" t="s">
        <v>50</v>
      </c>
      <c r="G165" s="11">
        <v>0.26</v>
      </c>
      <c r="H165" s="11">
        <v>12.0</v>
      </c>
    </row>
    <row r="166" ht="15.75" customHeight="1">
      <c r="A166" s="9">
        <v>165.0</v>
      </c>
      <c r="B166" s="40" t="s">
        <v>1735</v>
      </c>
      <c r="C166" s="11" t="str">
        <f>IFERROR(__xludf.DUMMYFUNCTION("REGEXEXTRACT(B166,""[A-Z]{2,}"")"),"FMDS")</f>
        <v>FMDS</v>
      </c>
      <c r="D166" s="11" t="s">
        <v>48</v>
      </c>
      <c r="E166" s="11" t="s">
        <v>73</v>
      </c>
      <c r="F166" s="11" t="s">
        <v>50</v>
      </c>
      <c r="G166" s="11">
        <v>0.11</v>
      </c>
      <c r="H166" s="11">
        <v>17.0</v>
      </c>
    </row>
    <row r="167" ht="15.75" customHeight="1">
      <c r="A167" s="9">
        <v>166.0</v>
      </c>
      <c r="B167" s="40" t="s">
        <v>1741</v>
      </c>
      <c r="C167" s="11" t="str">
        <f>IFERROR(__xludf.DUMMYFUNCTION("REGEXEXTRACT(B167,""[A-Z]{2,}"")"),"FMDS")</f>
        <v>FMDS</v>
      </c>
      <c r="D167" s="11" t="s">
        <v>48</v>
      </c>
      <c r="E167" s="11" t="s">
        <v>73</v>
      </c>
      <c r="F167" s="11" t="s">
        <v>50</v>
      </c>
      <c r="G167" s="11">
        <v>0.08</v>
      </c>
      <c r="H167" s="11">
        <v>13.0</v>
      </c>
    </row>
    <row r="168" ht="15.75" customHeight="1">
      <c r="A168" s="9">
        <v>167.0</v>
      </c>
      <c r="B168" s="40" t="s">
        <v>1753</v>
      </c>
      <c r="C168" s="11" t="str">
        <f>IFERROR(__xludf.DUMMYFUNCTION("REGEXEXTRACT(B168,""[A-Z]{2,}"")"),"FMDS")</f>
        <v>FMDS</v>
      </c>
      <c r="D168" s="11" t="s">
        <v>48</v>
      </c>
      <c r="E168" s="11" t="s">
        <v>73</v>
      </c>
      <c r="F168" s="11" t="s">
        <v>50</v>
      </c>
      <c r="G168" s="11">
        <v>0.92</v>
      </c>
      <c r="H168" s="11">
        <v>57.0</v>
      </c>
    </row>
    <row r="169" ht="15.75" customHeight="1">
      <c r="A169" s="9">
        <v>168.0</v>
      </c>
      <c r="B169" s="40" t="s">
        <v>1759</v>
      </c>
      <c r="C169" s="11" t="str">
        <f>IFERROR(__xludf.DUMMYFUNCTION("REGEXEXTRACT(B169,""[A-Z]{2,}"")"),"FMDS")</f>
        <v>FMDS</v>
      </c>
      <c r="D169" s="11" t="s">
        <v>48</v>
      </c>
      <c r="E169" s="11" t="s">
        <v>73</v>
      </c>
      <c r="F169" s="11" t="s">
        <v>50</v>
      </c>
      <c r="G169" s="11">
        <v>3.13</v>
      </c>
      <c r="H169" s="11">
        <v>43.0</v>
      </c>
    </row>
    <row r="170" ht="15.75" customHeight="1">
      <c r="A170" s="9">
        <v>169.0</v>
      </c>
      <c r="B170" s="40" t="s">
        <v>1765</v>
      </c>
      <c r="C170" s="11" t="str">
        <f>IFERROR(__xludf.DUMMYFUNCTION("REGEXEXTRACT(B170,""[A-Z]{2,}"")"),"FMDS")</f>
        <v>FMDS</v>
      </c>
      <c r="D170" s="11" t="s">
        <v>48</v>
      </c>
      <c r="E170" s="11" t="s">
        <v>73</v>
      </c>
      <c r="F170" s="11" t="s">
        <v>50</v>
      </c>
      <c r="G170" s="11">
        <v>0.06</v>
      </c>
      <c r="H170" s="11">
        <v>6.0</v>
      </c>
    </row>
    <row r="171" ht="15.75" customHeight="1">
      <c r="A171" s="9">
        <v>170.0</v>
      </c>
      <c r="B171" s="40" t="s">
        <v>1771</v>
      </c>
      <c r="C171" s="11" t="str">
        <f>IFERROR(__xludf.DUMMYFUNCTION("REGEXEXTRACT(B171,""[A-Z]{2,}"")"),"FMDS")</f>
        <v>FMDS</v>
      </c>
      <c r="D171" s="11" t="s">
        <v>48</v>
      </c>
      <c r="E171" s="11" t="s">
        <v>73</v>
      </c>
      <c r="F171" s="11" t="s">
        <v>50</v>
      </c>
      <c r="G171" s="11">
        <v>1.9</v>
      </c>
      <c r="H171" s="11">
        <v>56.0</v>
      </c>
    </row>
    <row r="172" ht="15.75" customHeight="1">
      <c r="A172" s="9">
        <v>171.0</v>
      </c>
      <c r="B172" s="40" t="s">
        <v>1777</v>
      </c>
      <c r="C172" s="11" t="str">
        <f>IFERROR(__xludf.DUMMYFUNCTION("REGEXEXTRACT(B172,""[A-Z]{2,}"")"),"FMDS")</f>
        <v>FMDS</v>
      </c>
      <c r="D172" s="11" t="s">
        <v>48</v>
      </c>
      <c r="E172" s="11" t="s">
        <v>73</v>
      </c>
      <c r="F172" s="11" t="s">
        <v>50</v>
      </c>
      <c r="G172" s="11">
        <v>0.19</v>
      </c>
      <c r="H172" s="11">
        <v>36.0</v>
      </c>
    </row>
    <row r="173" ht="15.75" customHeight="1">
      <c r="A173" s="9">
        <v>172.0</v>
      </c>
      <c r="B173" s="40" t="s">
        <v>1783</v>
      </c>
      <c r="C173" s="11" t="str">
        <f>IFERROR(__xludf.DUMMYFUNCTION("REGEXEXTRACT(B173,""[A-Z]{2,}"")"),"FMDS")</f>
        <v>FMDS</v>
      </c>
      <c r="D173" s="11" t="s">
        <v>48</v>
      </c>
      <c r="E173" s="11" t="s">
        <v>73</v>
      </c>
      <c r="F173" s="11" t="s">
        <v>50</v>
      </c>
      <c r="G173" s="11">
        <v>2.99</v>
      </c>
      <c r="H173" s="11">
        <v>16.0</v>
      </c>
    </row>
    <row r="174" ht="15.75" customHeight="1">
      <c r="A174" s="9">
        <v>173.0</v>
      </c>
      <c r="B174" s="40" t="s">
        <v>1795</v>
      </c>
      <c r="C174" s="11" t="str">
        <f>IFERROR(__xludf.DUMMYFUNCTION("REGEXEXTRACT(B174,""[A-Z]{2,}"")"),"FMDS")</f>
        <v>FMDS</v>
      </c>
      <c r="D174" s="11" t="s">
        <v>48</v>
      </c>
      <c r="E174" s="11" t="s">
        <v>73</v>
      </c>
      <c r="F174" s="11" t="s">
        <v>50</v>
      </c>
      <c r="G174" s="11">
        <v>1.23</v>
      </c>
      <c r="H174" s="11">
        <v>18.0</v>
      </c>
    </row>
    <row r="175" ht="15.75" customHeight="1">
      <c r="A175" s="9">
        <v>174.0</v>
      </c>
      <c r="B175" s="40" t="s">
        <v>502</v>
      </c>
      <c r="C175" s="11" t="str">
        <f>IFERROR(__xludf.DUMMYFUNCTION("REGEXEXTRACT(B175,""[A-Z]{2,}"")"),"FMDS")</f>
        <v>FMDS</v>
      </c>
      <c r="D175" s="11" t="s">
        <v>48</v>
      </c>
      <c r="E175" s="11" t="s">
        <v>73</v>
      </c>
      <c r="F175" s="11" t="s">
        <v>50</v>
      </c>
      <c r="G175" s="11">
        <v>0.54</v>
      </c>
      <c r="H175" s="11">
        <v>50.0</v>
      </c>
    </row>
    <row r="176" ht="15.75" customHeight="1">
      <c r="A176" s="9">
        <v>175.0</v>
      </c>
      <c r="B176" s="40" t="s">
        <v>508</v>
      </c>
      <c r="C176" s="11" t="str">
        <f>IFERROR(__xludf.DUMMYFUNCTION("REGEXEXTRACT(B176,""[A-Z]{2,}"")"),"FMDS")</f>
        <v>FMDS</v>
      </c>
      <c r="D176" s="11" t="s">
        <v>48</v>
      </c>
      <c r="E176" s="11" t="s">
        <v>73</v>
      </c>
      <c r="F176" s="11" t="s">
        <v>50</v>
      </c>
      <c r="G176" s="11">
        <v>0.18</v>
      </c>
      <c r="H176" s="11">
        <v>11.0</v>
      </c>
    </row>
    <row r="177" ht="15.75" customHeight="1">
      <c r="A177" s="9">
        <v>176.0</v>
      </c>
      <c r="B177" s="40" t="s">
        <v>514</v>
      </c>
      <c r="C177" s="11" t="str">
        <f>IFERROR(__xludf.DUMMYFUNCTION("REGEXEXTRACT(B177,""[A-Z]{2,}"")"),"FMDS")</f>
        <v>FMDS</v>
      </c>
      <c r="D177" s="11" t="s">
        <v>48</v>
      </c>
      <c r="E177" s="11" t="s">
        <v>73</v>
      </c>
      <c r="F177" s="11" t="s">
        <v>50</v>
      </c>
      <c r="G177" s="11">
        <v>3.55</v>
      </c>
      <c r="H177" s="11">
        <v>24.0</v>
      </c>
    </row>
    <row r="178" ht="15.75" customHeight="1">
      <c r="A178" s="9">
        <v>177.0</v>
      </c>
      <c r="B178" s="40" t="s">
        <v>526</v>
      </c>
      <c r="C178" s="11" t="str">
        <f>IFERROR(__xludf.DUMMYFUNCTION("REGEXEXTRACT(B178,""[A-Z]{2,}"")"),"FMDS")</f>
        <v>FMDS</v>
      </c>
      <c r="D178" s="11" t="s">
        <v>48</v>
      </c>
      <c r="E178" s="11" t="s">
        <v>73</v>
      </c>
      <c r="F178" s="11" t="s">
        <v>50</v>
      </c>
      <c r="G178" s="11">
        <v>2.5</v>
      </c>
      <c r="H178" s="11">
        <v>50.0</v>
      </c>
    </row>
    <row r="179" ht="15.75" customHeight="1">
      <c r="A179" s="9">
        <v>178.0</v>
      </c>
      <c r="B179" s="40" t="s">
        <v>562</v>
      </c>
      <c r="C179" s="11" t="str">
        <f>IFERROR(__xludf.DUMMYFUNCTION("REGEXEXTRACT(B179,""[A-Z]{2,}"")"),"FMDS")</f>
        <v>FMDS</v>
      </c>
      <c r="D179" s="11" t="s">
        <v>48</v>
      </c>
      <c r="E179" s="11" t="s">
        <v>73</v>
      </c>
      <c r="F179" s="11" t="s">
        <v>50</v>
      </c>
      <c r="G179" s="11">
        <v>0.23</v>
      </c>
      <c r="H179" s="11">
        <v>36.0</v>
      </c>
    </row>
    <row r="180" ht="15.75" customHeight="1">
      <c r="A180" s="9">
        <v>179.0</v>
      </c>
      <c r="B180" s="40" t="s">
        <v>572</v>
      </c>
      <c r="C180" s="11" t="str">
        <f>IFERROR(__xludf.DUMMYFUNCTION("REGEXEXTRACT(B180,""[A-Z]{2,}"")"),"FMDS")</f>
        <v>FMDS</v>
      </c>
      <c r="D180" s="11" t="s">
        <v>48</v>
      </c>
      <c r="E180" s="11" t="s">
        <v>73</v>
      </c>
      <c r="F180" s="11" t="s">
        <v>50</v>
      </c>
      <c r="G180" s="11">
        <v>2.77</v>
      </c>
      <c r="H180" s="11">
        <v>125.0</v>
      </c>
    </row>
    <row r="181" ht="15.75" customHeight="1">
      <c r="A181" s="9">
        <v>180.0</v>
      </c>
      <c r="B181" s="40" t="s">
        <v>578</v>
      </c>
      <c r="C181" s="11" t="str">
        <f>IFERROR(__xludf.DUMMYFUNCTION("REGEXEXTRACT(B181,""[A-Z]{2,}"")"),"FMDS")</f>
        <v>FMDS</v>
      </c>
      <c r="D181" s="11" t="s">
        <v>48</v>
      </c>
      <c r="E181" s="11" t="s">
        <v>73</v>
      </c>
      <c r="F181" s="11" t="s">
        <v>50</v>
      </c>
      <c r="G181" s="11">
        <v>0.29</v>
      </c>
      <c r="H181" s="11">
        <v>26.0</v>
      </c>
    </row>
    <row r="182" ht="15.75" customHeight="1">
      <c r="A182" s="9">
        <v>181.0</v>
      </c>
      <c r="B182" s="40" t="s">
        <v>622</v>
      </c>
      <c r="C182" s="11" t="str">
        <f>IFERROR(__xludf.DUMMYFUNCTION("REGEXEXTRACT(B182,""[A-Z]{2,}"")"),"FMDS")</f>
        <v>FMDS</v>
      </c>
      <c r="D182" s="11" t="s">
        <v>48</v>
      </c>
      <c r="E182" s="11" t="s">
        <v>73</v>
      </c>
      <c r="F182" s="11" t="s">
        <v>50</v>
      </c>
      <c r="G182" s="11">
        <v>0.15</v>
      </c>
      <c r="H182" s="11">
        <v>18.0</v>
      </c>
    </row>
    <row r="183" ht="15.75" customHeight="1">
      <c r="A183" s="9">
        <v>182.0</v>
      </c>
      <c r="B183" s="40" t="s">
        <v>648</v>
      </c>
      <c r="C183" s="11" t="str">
        <f>IFERROR(__xludf.DUMMYFUNCTION("REGEXEXTRACT(B183,""[A-Z]{2,}"")"),"FMDS")</f>
        <v>FMDS</v>
      </c>
      <c r="D183" s="11" t="s">
        <v>48</v>
      </c>
      <c r="E183" s="11" t="s">
        <v>73</v>
      </c>
      <c r="F183" s="11" t="s">
        <v>50</v>
      </c>
      <c r="G183" s="11">
        <v>1.59</v>
      </c>
      <c r="H183" s="11">
        <v>92.0</v>
      </c>
    </row>
    <row r="184" ht="15.75" customHeight="1">
      <c r="A184" s="9">
        <v>183.0</v>
      </c>
      <c r="B184" s="40" t="s">
        <v>669</v>
      </c>
      <c r="C184" s="11" t="str">
        <f>IFERROR(__xludf.DUMMYFUNCTION("REGEXEXTRACT(B184,""[A-Z]{2,}"")"),"FMDS")</f>
        <v>FMDS</v>
      </c>
      <c r="D184" s="11" t="s">
        <v>48</v>
      </c>
      <c r="E184" s="11" t="s">
        <v>73</v>
      </c>
      <c r="F184" s="11" t="s">
        <v>50</v>
      </c>
      <c r="G184" s="11">
        <v>4.09</v>
      </c>
      <c r="H184" s="11">
        <v>65.0</v>
      </c>
    </row>
    <row r="185" ht="15.75" customHeight="1">
      <c r="A185" s="9">
        <v>184.0</v>
      </c>
      <c r="B185" s="40" t="s">
        <v>687</v>
      </c>
      <c r="C185" s="11" t="str">
        <f>IFERROR(__xludf.DUMMYFUNCTION("REGEXEXTRACT(B185,""[A-Z]{2,}"")"),"FMDS")</f>
        <v>FMDS</v>
      </c>
      <c r="D185" s="11" t="s">
        <v>48</v>
      </c>
      <c r="E185" s="11" t="s">
        <v>73</v>
      </c>
      <c r="F185" s="11" t="s">
        <v>50</v>
      </c>
      <c r="G185" s="11">
        <v>0.22</v>
      </c>
      <c r="H185" s="11">
        <v>6.0</v>
      </c>
    </row>
    <row r="186" ht="15.75" customHeight="1">
      <c r="A186" s="9">
        <v>185.0</v>
      </c>
      <c r="B186" s="40" t="s">
        <v>699</v>
      </c>
      <c r="C186" s="11" t="str">
        <f>IFERROR(__xludf.DUMMYFUNCTION("REGEXEXTRACT(B186,""[A-Z]{2,}"")"),"FMDS")</f>
        <v>FMDS</v>
      </c>
      <c r="D186" s="11" t="s">
        <v>48</v>
      </c>
      <c r="E186" s="11" t="s">
        <v>73</v>
      </c>
      <c r="F186" s="11" t="s">
        <v>50</v>
      </c>
      <c r="G186" s="11">
        <v>1.16</v>
      </c>
      <c r="H186" s="11">
        <v>48.0</v>
      </c>
    </row>
    <row r="187" ht="15.75" customHeight="1">
      <c r="A187" s="9">
        <v>186.0</v>
      </c>
      <c r="B187" s="40" t="s">
        <v>717</v>
      </c>
      <c r="C187" s="11" t="str">
        <f>IFERROR(__xludf.DUMMYFUNCTION("REGEXEXTRACT(B187,""[A-Z]{2,}"")"),"FMDS")</f>
        <v>FMDS</v>
      </c>
      <c r="D187" s="11" t="s">
        <v>48</v>
      </c>
      <c r="E187" s="11" t="s">
        <v>73</v>
      </c>
      <c r="F187" s="11" t="s">
        <v>50</v>
      </c>
      <c r="G187" s="11">
        <v>0.57</v>
      </c>
      <c r="H187" s="11">
        <v>26.0</v>
      </c>
    </row>
    <row r="188" ht="15.75" customHeight="1">
      <c r="A188" s="9">
        <v>187.0</v>
      </c>
      <c r="B188" s="40" t="s">
        <v>724</v>
      </c>
      <c r="C188" s="11" t="str">
        <f>IFERROR(__xludf.DUMMYFUNCTION("REGEXEXTRACT(B188,""[A-Z]{2,}"")"),"FMDS")</f>
        <v>FMDS</v>
      </c>
      <c r="D188" s="11" t="s">
        <v>48</v>
      </c>
      <c r="E188" s="11" t="s">
        <v>73</v>
      </c>
      <c r="F188" s="11" t="s">
        <v>50</v>
      </c>
      <c r="G188" s="11">
        <v>0.05</v>
      </c>
      <c r="H188" s="11">
        <v>5.0</v>
      </c>
    </row>
    <row r="189" ht="15.75" customHeight="1">
      <c r="A189" s="9">
        <v>188.0</v>
      </c>
      <c r="B189" s="40" t="s">
        <v>730</v>
      </c>
      <c r="C189" s="11" t="str">
        <f>IFERROR(__xludf.DUMMYFUNCTION("REGEXEXTRACT(B189,""[A-Z]{2,}"")"),"FMDS")</f>
        <v>FMDS</v>
      </c>
      <c r="D189" s="11" t="s">
        <v>48</v>
      </c>
      <c r="E189" s="11" t="s">
        <v>73</v>
      </c>
      <c r="F189" s="11" t="s">
        <v>50</v>
      </c>
      <c r="G189" s="11">
        <v>0.06</v>
      </c>
      <c r="H189" s="11">
        <v>9.0</v>
      </c>
    </row>
    <row r="190" ht="15.75" customHeight="1">
      <c r="A190" s="9">
        <v>189.0</v>
      </c>
      <c r="B190" s="40" t="s">
        <v>749</v>
      </c>
      <c r="C190" s="11" t="str">
        <f>IFERROR(__xludf.DUMMYFUNCTION("REGEXEXTRACT(B190,""[A-Z]{2,}"")"),"FMDS")</f>
        <v>FMDS</v>
      </c>
      <c r="D190" s="11" t="s">
        <v>48</v>
      </c>
      <c r="E190" s="11" t="s">
        <v>73</v>
      </c>
      <c r="F190" s="11" t="s">
        <v>50</v>
      </c>
      <c r="G190" s="11">
        <v>1.35</v>
      </c>
      <c r="H190" s="11">
        <v>26.0</v>
      </c>
    </row>
    <row r="191" ht="15.75" customHeight="1">
      <c r="A191" s="9">
        <v>190.0</v>
      </c>
      <c r="B191" s="40" t="s">
        <v>780</v>
      </c>
      <c r="C191" s="11" t="str">
        <f>IFERROR(__xludf.DUMMYFUNCTION("REGEXEXTRACT(B191,""[A-Z]{2,}"")"),"FMDS")</f>
        <v>FMDS</v>
      </c>
      <c r="D191" s="11" t="s">
        <v>48</v>
      </c>
      <c r="E191" s="11" t="s">
        <v>73</v>
      </c>
      <c r="F191" s="11" t="s">
        <v>50</v>
      </c>
      <c r="G191" s="11">
        <v>2.3</v>
      </c>
      <c r="H191" s="11">
        <v>81.0</v>
      </c>
    </row>
    <row r="192" ht="15.75" customHeight="1">
      <c r="A192" s="9">
        <v>191.0</v>
      </c>
      <c r="B192" s="40" t="s">
        <v>792</v>
      </c>
      <c r="C192" s="11" t="str">
        <f>IFERROR(__xludf.DUMMYFUNCTION("REGEXEXTRACT(B192,""[A-Z]{2,}"")"),"FMDS")</f>
        <v>FMDS</v>
      </c>
      <c r="D192" s="11" t="s">
        <v>48</v>
      </c>
      <c r="E192" s="11" t="s">
        <v>73</v>
      </c>
      <c r="F192" s="11" t="s">
        <v>50</v>
      </c>
      <c r="G192" s="11">
        <v>0.21</v>
      </c>
      <c r="H192" s="11">
        <v>36.0</v>
      </c>
    </row>
    <row r="193" ht="15.75" customHeight="1">
      <c r="A193" s="9">
        <v>192.0</v>
      </c>
      <c r="B193" s="40" t="s">
        <v>833</v>
      </c>
      <c r="C193" s="11" t="str">
        <f>IFERROR(__xludf.DUMMYFUNCTION("REGEXEXTRACT(B193,""[A-Z]{2,}"")"),"FMDS")</f>
        <v>FMDS</v>
      </c>
      <c r="D193" s="11" t="s">
        <v>48</v>
      </c>
      <c r="E193" s="11" t="s">
        <v>73</v>
      </c>
      <c r="F193" s="11" t="s">
        <v>50</v>
      </c>
      <c r="G193" s="11">
        <v>1.79</v>
      </c>
      <c r="H193" s="11">
        <v>30.0</v>
      </c>
    </row>
    <row r="194" ht="15.75" customHeight="1">
      <c r="A194" s="9">
        <v>193.0</v>
      </c>
      <c r="B194" s="40" t="s">
        <v>839</v>
      </c>
      <c r="C194" s="11" t="str">
        <f>IFERROR(__xludf.DUMMYFUNCTION("REGEXEXTRACT(B194,""[A-Z]{2,}"")"),"FMDS")</f>
        <v>FMDS</v>
      </c>
      <c r="D194" s="11" t="s">
        <v>48</v>
      </c>
      <c r="E194" s="11" t="s">
        <v>73</v>
      </c>
      <c r="F194" s="11" t="s">
        <v>50</v>
      </c>
      <c r="G194" s="11">
        <v>0.25</v>
      </c>
      <c r="H194" s="11">
        <v>39.0</v>
      </c>
    </row>
    <row r="195" ht="15.75" customHeight="1">
      <c r="A195" s="9">
        <v>194.0</v>
      </c>
      <c r="B195" s="40" t="s">
        <v>4657</v>
      </c>
      <c r="C195" s="11" t="str">
        <f>IFERROR(__xludf.DUMMYFUNCTION("REGEXEXTRACT(B195,""[A-Z]{2,}"")"),"FMDS")</f>
        <v>FMDS</v>
      </c>
      <c r="D195" s="11" t="s">
        <v>48</v>
      </c>
      <c r="E195" s="11" t="s">
        <v>73</v>
      </c>
      <c r="F195" s="11" t="s">
        <v>50</v>
      </c>
      <c r="G195" s="11">
        <v>0.16</v>
      </c>
      <c r="H195" s="11">
        <v>13.0</v>
      </c>
    </row>
    <row r="196" ht="15.75" customHeight="1">
      <c r="A196" s="9">
        <v>195.0</v>
      </c>
      <c r="B196" s="40" t="s">
        <v>845</v>
      </c>
      <c r="C196" s="11" t="str">
        <f>IFERROR(__xludf.DUMMYFUNCTION("REGEXEXTRACT(B196,""[A-Z]{2,}"")"),"FMDS")</f>
        <v>FMDS</v>
      </c>
      <c r="D196" s="11" t="s">
        <v>48</v>
      </c>
      <c r="E196" s="11" t="s">
        <v>73</v>
      </c>
      <c r="F196" s="11" t="s">
        <v>50</v>
      </c>
      <c r="G196" s="11">
        <v>0.8</v>
      </c>
      <c r="H196" s="11">
        <v>30.0</v>
      </c>
    </row>
    <row r="197" ht="15.75" customHeight="1">
      <c r="A197" s="9">
        <v>196.0</v>
      </c>
      <c r="B197" s="40" t="s">
        <v>851</v>
      </c>
      <c r="C197" s="11" t="str">
        <f>IFERROR(__xludf.DUMMYFUNCTION("REGEXEXTRACT(B197,""[A-Z]{2,}"")"),"FMDS")</f>
        <v>FMDS</v>
      </c>
      <c r="D197" s="11" t="s">
        <v>48</v>
      </c>
      <c r="E197" s="11" t="s">
        <v>73</v>
      </c>
      <c r="F197" s="11" t="s">
        <v>50</v>
      </c>
      <c r="G197" s="11">
        <v>0.09</v>
      </c>
      <c r="H197" s="11">
        <v>19.0</v>
      </c>
    </row>
    <row r="198" ht="15.75" customHeight="1">
      <c r="A198" s="9">
        <v>197.0</v>
      </c>
      <c r="B198" s="40" t="s">
        <v>870</v>
      </c>
      <c r="C198" s="11" t="str">
        <f>IFERROR(__xludf.DUMMYFUNCTION("REGEXEXTRACT(B198,""[A-Z]{2,}"")"),"FMDS")</f>
        <v>FMDS</v>
      </c>
      <c r="D198" s="11" t="s">
        <v>48</v>
      </c>
      <c r="E198" s="11" t="s">
        <v>73</v>
      </c>
      <c r="F198" s="11" t="s">
        <v>50</v>
      </c>
      <c r="G198" s="11">
        <v>0.26</v>
      </c>
      <c r="H198" s="11">
        <v>21.0</v>
      </c>
    </row>
    <row r="199" ht="15.75" customHeight="1">
      <c r="A199" s="9">
        <v>198.0</v>
      </c>
      <c r="B199" s="40" t="s">
        <v>876</v>
      </c>
      <c r="C199" s="11" t="str">
        <f>IFERROR(__xludf.DUMMYFUNCTION("REGEXEXTRACT(B199,""[A-Z]{2,}"")"),"FMDS")</f>
        <v>FMDS</v>
      </c>
      <c r="D199" s="11" t="s">
        <v>48</v>
      </c>
      <c r="E199" s="11" t="s">
        <v>73</v>
      </c>
      <c r="F199" s="11" t="s">
        <v>50</v>
      </c>
      <c r="G199" s="11">
        <v>0.57</v>
      </c>
      <c r="H199" s="11">
        <v>14.0</v>
      </c>
    </row>
    <row r="200" ht="15.75" customHeight="1">
      <c r="A200" s="9">
        <v>199.0</v>
      </c>
      <c r="B200" s="40" t="s">
        <v>882</v>
      </c>
      <c r="C200" s="11" t="str">
        <f>IFERROR(__xludf.DUMMYFUNCTION("REGEXEXTRACT(B200,""[A-Z]{2,}"")"),"FMDS")</f>
        <v>FMDS</v>
      </c>
      <c r="D200" s="11" t="s">
        <v>48</v>
      </c>
      <c r="E200" s="11" t="s">
        <v>73</v>
      </c>
      <c r="F200" s="11" t="s">
        <v>50</v>
      </c>
      <c r="G200" s="11">
        <v>0.25</v>
      </c>
      <c r="H200" s="11">
        <v>23.0</v>
      </c>
    </row>
    <row r="201" ht="15.75" customHeight="1">
      <c r="A201" s="9">
        <v>200.0</v>
      </c>
      <c r="B201" s="40" t="s">
        <v>888</v>
      </c>
      <c r="C201" s="11" t="str">
        <f>IFERROR(__xludf.DUMMYFUNCTION("REGEXEXTRACT(B201,""[A-Z]{2,}"")"),"FMDS")</f>
        <v>FMDS</v>
      </c>
      <c r="D201" s="11" t="s">
        <v>48</v>
      </c>
      <c r="E201" s="11" t="s">
        <v>73</v>
      </c>
      <c r="F201" s="11" t="s">
        <v>50</v>
      </c>
      <c r="G201" s="11">
        <v>1.35</v>
      </c>
      <c r="H201" s="11">
        <v>79.0</v>
      </c>
    </row>
    <row r="202" ht="15.75" customHeight="1">
      <c r="A202" s="9">
        <v>201.0</v>
      </c>
      <c r="B202" s="40" t="s">
        <v>894</v>
      </c>
      <c r="C202" s="11" t="str">
        <f>IFERROR(__xludf.DUMMYFUNCTION("REGEXEXTRACT(B202,""[A-Z]{2,}"")"),"FMDS")</f>
        <v>FMDS</v>
      </c>
      <c r="D202" s="11" t="s">
        <v>48</v>
      </c>
      <c r="E202" s="11" t="s">
        <v>73</v>
      </c>
      <c r="F202" s="11" t="s">
        <v>50</v>
      </c>
      <c r="G202" s="11">
        <v>0.31</v>
      </c>
      <c r="H202" s="11">
        <v>25.0</v>
      </c>
    </row>
    <row r="203" ht="15.75" customHeight="1">
      <c r="A203" s="9">
        <v>202.0</v>
      </c>
      <c r="B203" s="40" t="s">
        <v>900</v>
      </c>
      <c r="C203" s="11" t="str">
        <f>IFERROR(__xludf.DUMMYFUNCTION("REGEXEXTRACT(B203,""[A-Z]{2,}"")"),"FMDS")</f>
        <v>FMDS</v>
      </c>
      <c r="D203" s="11" t="s">
        <v>48</v>
      </c>
      <c r="E203" s="11" t="s">
        <v>73</v>
      </c>
      <c r="F203" s="11" t="s">
        <v>50</v>
      </c>
      <c r="G203" s="11">
        <v>0.48</v>
      </c>
      <c r="H203" s="11">
        <v>26.0</v>
      </c>
    </row>
    <row r="204" ht="15.75" customHeight="1">
      <c r="A204" s="9">
        <v>203.0</v>
      </c>
      <c r="B204" s="40" t="s">
        <v>907</v>
      </c>
      <c r="C204" s="11" t="str">
        <f>IFERROR(__xludf.DUMMYFUNCTION("REGEXEXTRACT(B204,""[A-Z]{2,}"")"),"FMDS")</f>
        <v>FMDS</v>
      </c>
      <c r="D204" s="11" t="s">
        <v>48</v>
      </c>
      <c r="E204" s="11" t="s">
        <v>73</v>
      </c>
      <c r="F204" s="11" t="s">
        <v>50</v>
      </c>
      <c r="G204" s="11">
        <v>0.47</v>
      </c>
      <c r="H204" s="11">
        <v>32.0</v>
      </c>
    </row>
    <row r="205" ht="15.75" customHeight="1">
      <c r="A205" s="9">
        <v>204.0</v>
      </c>
      <c r="B205" s="40" t="s">
        <v>945</v>
      </c>
      <c r="C205" s="11" t="str">
        <f>IFERROR(__xludf.DUMMYFUNCTION("REGEXEXTRACT(B205,""[A-Z]{2,}"")"),"FMDS")</f>
        <v>FMDS</v>
      </c>
      <c r="D205" s="11" t="s">
        <v>48</v>
      </c>
      <c r="E205" s="11" t="s">
        <v>73</v>
      </c>
      <c r="F205" s="11" t="s">
        <v>50</v>
      </c>
      <c r="G205" s="11">
        <v>0.12</v>
      </c>
      <c r="H205" s="11">
        <v>24.0</v>
      </c>
    </row>
    <row r="206" ht="15.75" customHeight="1">
      <c r="A206" s="9">
        <v>205.0</v>
      </c>
      <c r="B206" s="40" t="s">
        <v>963</v>
      </c>
      <c r="C206" s="11" t="str">
        <f>IFERROR(__xludf.DUMMYFUNCTION("REGEXEXTRACT(B206,""[A-Z]{2,}"")"),"FMDS")</f>
        <v>FMDS</v>
      </c>
      <c r="D206" s="11" t="s">
        <v>48</v>
      </c>
      <c r="E206" s="11" t="s">
        <v>73</v>
      </c>
      <c r="F206" s="11" t="s">
        <v>50</v>
      </c>
      <c r="G206" s="11">
        <v>0.25</v>
      </c>
      <c r="H206" s="11">
        <v>44.0</v>
      </c>
    </row>
    <row r="207" ht="15.75" customHeight="1">
      <c r="A207" s="9">
        <v>206.0</v>
      </c>
      <c r="B207" s="40" t="s">
        <v>969</v>
      </c>
      <c r="C207" s="11" t="str">
        <f>IFERROR(__xludf.DUMMYFUNCTION("REGEXEXTRACT(B207,""[A-Z]{2,}"")"),"FMDS")</f>
        <v>FMDS</v>
      </c>
      <c r="D207" s="11" t="s">
        <v>48</v>
      </c>
      <c r="E207" s="11" t="s">
        <v>73</v>
      </c>
      <c r="F207" s="11" t="s">
        <v>50</v>
      </c>
      <c r="G207" s="11">
        <v>0.92</v>
      </c>
      <c r="H207" s="11">
        <v>41.0</v>
      </c>
    </row>
    <row r="208" ht="15.75" customHeight="1">
      <c r="A208" s="9">
        <v>207.0</v>
      </c>
      <c r="B208" s="40" t="s">
        <v>993</v>
      </c>
      <c r="C208" s="11" t="str">
        <f>IFERROR(__xludf.DUMMYFUNCTION("REGEXEXTRACT(B208,""[A-Z]{2,}"")"),"FMDS")</f>
        <v>FMDS</v>
      </c>
      <c r="D208" s="11" t="s">
        <v>48</v>
      </c>
      <c r="E208" s="11" t="s">
        <v>73</v>
      </c>
      <c r="F208" s="11" t="s">
        <v>50</v>
      </c>
      <c r="G208" s="11">
        <v>0.99</v>
      </c>
      <c r="H208" s="11">
        <v>22.0</v>
      </c>
    </row>
    <row r="209" ht="15.75" customHeight="1">
      <c r="A209" s="9">
        <v>208.0</v>
      </c>
      <c r="B209" s="40" t="s">
        <v>1031</v>
      </c>
      <c r="C209" s="11" t="str">
        <f>IFERROR(__xludf.DUMMYFUNCTION("REGEXEXTRACT(B209,""[A-Z]{2,}"")"),"FMDS")</f>
        <v>FMDS</v>
      </c>
      <c r="D209" s="11" t="s">
        <v>48</v>
      </c>
      <c r="E209" s="11" t="s">
        <v>73</v>
      </c>
      <c r="F209" s="11" t="s">
        <v>50</v>
      </c>
      <c r="G209" s="11">
        <v>1.58</v>
      </c>
      <c r="H209" s="11">
        <v>42.0</v>
      </c>
    </row>
    <row r="210" ht="15.75" customHeight="1">
      <c r="A210" s="9">
        <v>209.0</v>
      </c>
      <c r="B210" s="40" t="s">
        <v>1051</v>
      </c>
      <c r="C210" s="11" t="str">
        <f>IFERROR(__xludf.DUMMYFUNCTION("REGEXEXTRACT(B210,""[A-Z]{2,}"")"),"FMDS")</f>
        <v>FMDS</v>
      </c>
      <c r="D210" s="11" t="s">
        <v>48</v>
      </c>
      <c r="E210" s="11" t="s">
        <v>73</v>
      </c>
      <c r="F210" s="11" t="s">
        <v>50</v>
      </c>
      <c r="G210" s="11">
        <v>0.73</v>
      </c>
      <c r="H210" s="11">
        <v>41.0</v>
      </c>
    </row>
    <row r="211" ht="15.75" customHeight="1">
      <c r="A211" s="9">
        <v>210.0</v>
      </c>
      <c r="B211" s="40" t="s">
        <v>1063</v>
      </c>
      <c r="C211" s="11" t="str">
        <f>IFERROR(__xludf.DUMMYFUNCTION("REGEXEXTRACT(B211,""[A-Z]{2,}"")"),"FMDS")</f>
        <v>FMDS</v>
      </c>
      <c r="D211" s="11" t="s">
        <v>48</v>
      </c>
      <c r="E211" s="11" t="s">
        <v>73</v>
      </c>
      <c r="F211" s="11" t="s">
        <v>50</v>
      </c>
      <c r="G211" s="11">
        <v>1.84</v>
      </c>
      <c r="H211" s="11">
        <v>76.0</v>
      </c>
    </row>
    <row r="212" ht="15.75" customHeight="1">
      <c r="A212" s="9">
        <v>211.0</v>
      </c>
      <c r="B212" s="40" t="s">
        <v>1087</v>
      </c>
      <c r="C212" s="11" t="str">
        <f>IFERROR(__xludf.DUMMYFUNCTION("REGEXEXTRACT(B212,""[A-Z]{2,}"")"),"FMDS")</f>
        <v>FMDS</v>
      </c>
      <c r="D212" s="11" t="s">
        <v>48</v>
      </c>
      <c r="E212" s="11" t="s">
        <v>73</v>
      </c>
      <c r="F212" s="11" t="s">
        <v>50</v>
      </c>
      <c r="G212" s="11">
        <v>0.26</v>
      </c>
      <c r="H212" s="11">
        <v>5.0</v>
      </c>
    </row>
    <row r="213" ht="15.75" customHeight="1">
      <c r="A213" s="9">
        <v>212.0</v>
      </c>
      <c r="B213" s="40" t="s">
        <v>1106</v>
      </c>
      <c r="C213" s="11" t="str">
        <f>IFERROR(__xludf.DUMMYFUNCTION("REGEXEXTRACT(B213,""[A-Z]{2,}"")"),"FMDS")</f>
        <v>FMDS</v>
      </c>
      <c r="D213" s="11" t="s">
        <v>48</v>
      </c>
      <c r="E213" s="11" t="s">
        <v>73</v>
      </c>
      <c r="F213" s="11" t="s">
        <v>50</v>
      </c>
      <c r="G213" s="11">
        <v>0.17</v>
      </c>
      <c r="H213" s="11">
        <v>22.0</v>
      </c>
    </row>
    <row r="214" ht="15.75" customHeight="1">
      <c r="A214" s="9">
        <v>213.0</v>
      </c>
      <c r="B214" s="40" t="s">
        <v>1118</v>
      </c>
      <c r="C214" s="11" t="str">
        <f>IFERROR(__xludf.DUMMYFUNCTION("REGEXEXTRACT(B214,""[A-Z]{2,}"")"),"FMDS")</f>
        <v>FMDS</v>
      </c>
      <c r="D214" s="11" t="s">
        <v>48</v>
      </c>
      <c r="E214" s="11" t="s">
        <v>73</v>
      </c>
      <c r="F214" s="11" t="s">
        <v>50</v>
      </c>
      <c r="G214" s="11">
        <v>0.23</v>
      </c>
      <c r="H214" s="11">
        <v>22.0</v>
      </c>
    </row>
    <row r="215" ht="15.75" customHeight="1">
      <c r="A215" s="9">
        <v>214.0</v>
      </c>
      <c r="B215" s="40" t="s">
        <v>1149</v>
      </c>
      <c r="C215" s="11" t="str">
        <f>IFERROR(__xludf.DUMMYFUNCTION("REGEXEXTRACT(B215,""[A-Z]{2,}"")"),"FMDS")</f>
        <v>FMDS</v>
      </c>
      <c r="D215" s="11" t="s">
        <v>48</v>
      </c>
      <c r="E215" s="11" t="s">
        <v>73</v>
      </c>
      <c r="F215" s="11" t="s">
        <v>50</v>
      </c>
      <c r="G215" s="11">
        <v>0.2</v>
      </c>
      <c r="H215" s="11">
        <v>7.0</v>
      </c>
    </row>
    <row r="216" ht="15.75" customHeight="1">
      <c r="A216" s="9">
        <v>215.0</v>
      </c>
      <c r="B216" s="40" t="s">
        <v>1155</v>
      </c>
      <c r="C216" s="11" t="str">
        <f>IFERROR(__xludf.DUMMYFUNCTION("REGEXEXTRACT(B216,""[A-Z]{2,}"")"),"FMDS")</f>
        <v>FMDS</v>
      </c>
      <c r="D216" s="11" t="s">
        <v>48</v>
      </c>
      <c r="E216" s="11" t="s">
        <v>73</v>
      </c>
      <c r="F216" s="11" t="s">
        <v>50</v>
      </c>
      <c r="G216" s="11">
        <v>0.19</v>
      </c>
      <c r="H216" s="11">
        <v>6.0</v>
      </c>
    </row>
    <row r="217" ht="15.75" customHeight="1">
      <c r="A217" s="9">
        <v>216.0</v>
      </c>
      <c r="B217" s="40" t="s">
        <v>1173</v>
      </c>
      <c r="C217" s="11" t="str">
        <f>IFERROR(__xludf.DUMMYFUNCTION("REGEXEXTRACT(B217,""[A-Z]{2,}"")"),"FMDS")</f>
        <v>FMDS</v>
      </c>
      <c r="D217" s="11" t="s">
        <v>48</v>
      </c>
      <c r="E217" s="11" t="s">
        <v>73</v>
      </c>
      <c r="F217" s="11" t="s">
        <v>50</v>
      </c>
      <c r="G217" s="11">
        <v>0.39</v>
      </c>
      <c r="H217" s="11">
        <v>9.0</v>
      </c>
    </row>
    <row r="218" ht="15.75" customHeight="1">
      <c r="A218" s="9">
        <v>217.0</v>
      </c>
      <c r="B218" s="40" t="s">
        <v>1197</v>
      </c>
      <c r="C218" s="11" t="str">
        <f>IFERROR(__xludf.DUMMYFUNCTION("REGEXEXTRACT(B218,""[A-Z]{2,}"")"),"FMDS")</f>
        <v>FMDS</v>
      </c>
      <c r="D218" s="11" t="s">
        <v>48</v>
      </c>
      <c r="E218" s="11" t="s">
        <v>73</v>
      </c>
      <c r="F218" s="11" t="s">
        <v>50</v>
      </c>
      <c r="G218" s="11">
        <v>0.5</v>
      </c>
      <c r="H218" s="11">
        <v>54.0</v>
      </c>
    </row>
    <row r="219" ht="15.75" customHeight="1">
      <c r="A219" s="9">
        <v>218.0</v>
      </c>
      <c r="B219" s="40" t="s">
        <v>1203</v>
      </c>
      <c r="C219" s="11" t="str">
        <f>IFERROR(__xludf.DUMMYFUNCTION("REGEXEXTRACT(B219,""[A-Z]{2,}"")"),"FMDS")</f>
        <v>FMDS</v>
      </c>
      <c r="D219" s="11" t="s">
        <v>48</v>
      </c>
      <c r="E219" s="11" t="s">
        <v>73</v>
      </c>
      <c r="F219" s="11" t="s">
        <v>50</v>
      </c>
      <c r="G219" s="11">
        <v>0.45</v>
      </c>
      <c r="H219" s="11">
        <v>20.0</v>
      </c>
    </row>
    <row r="220" ht="15.75" customHeight="1">
      <c r="A220" s="9">
        <v>219.0</v>
      </c>
      <c r="B220" s="40" t="s">
        <v>1209</v>
      </c>
      <c r="C220" s="11" t="str">
        <f>IFERROR(__xludf.DUMMYFUNCTION("REGEXEXTRACT(B220,""[A-Z]{2,}"")"),"FMDS")</f>
        <v>FMDS</v>
      </c>
      <c r="D220" s="11" t="s">
        <v>48</v>
      </c>
      <c r="E220" s="11" t="s">
        <v>73</v>
      </c>
      <c r="F220" s="11" t="s">
        <v>50</v>
      </c>
      <c r="G220" s="11">
        <v>0.53</v>
      </c>
      <c r="H220" s="11">
        <v>44.0</v>
      </c>
    </row>
    <row r="221" ht="15.75" customHeight="1">
      <c r="A221" s="9">
        <v>220.0</v>
      </c>
      <c r="B221" s="40" t="s">
        <v>1215</v>
      </c>
      <c r="C221" s="11" t="str">
        <f>IFERROR(__xludf.DUMMYFUNCTION("REGEXEXTRACT(B221,""[A-Z]{2,}"")"),"FMDS")</f>
        <v>FMDS</v>
      </c>
      <c r="D221" s="11" t="s">
        <v>48</v>
      </c>
      <c r="E221" s="11" t="s">
        <v>73</v>
      </c>
      <c r="F221" s="11" t="s">
        <v>50</v>
      </c>
      <c r="G221" s="11">
        <v>0.05</v>
      </c>
      <c r="H221" s="11">
        <v>5.0</v>
      </c>
    </row>
    <row r="222" ht="15.75" customHeight="1">
      <c r="A222" s="9">
        <v>221.0</v>
      </c>
      <c r="B222" s="40" t="s">
        <v>1227</v>
      </c>
      <c r="C222" s="11" t="str">
        <f>IFERROR(__xludf.DUMMYFUNCTION("REGEXEXTRACT(B222,""[A-Z]{2,}"")"),"FMDS")</f>
        <v>FMDS</v>
      </c>
      <c r="D222" s="11" t="s">
        <v>48</v>
      </c>
      <c r="E222" s="11" t="s">
        <v>73</v>
      </c>
      <c r="F222" s="11" t="s">
        <v>50</v>
      </c>
      <c r="G222" s="11">
        <v>0.11</v>
      </c>
      <c r="H222" s="11">
        <v>14.0</v>
      </c>
    </row>
    <row r="223" ht="15.75" customHeight="1">
      <c r="A223" s="9">
        <v>222.0</v>
      </c>
      <c r="B223" s="40" t="s">
        <v>1251</v>
      </c>
      <c r="C223" s="11" t="str">
        <f>IFERROR(__xludf.DUMMYFUNCTION("REGEXEXTRACT(B223,""[A-Z]{2,}"")"),"FMDS")</f>
        <v>FMDS</v>
      </c>
      <c r="D223" s="11" t="s">
        <v>48</v>
      </c>
      <c r="E223" s="11" t="s">
        <v>73</v>
      </c>
      <c r="F223" s="11" t="s">
        <v>50</v>
      </c>
      <c r="G223" s="11">
        <v>0.26</v>
      </c>
      <c r="H223" s="11">
        <v>25.0</v>
      </c>
    </row>
    <row r="224" ht="15.75" customHeight="1">
      <c r="A224" s="9">
        <v>223.0</v>
      </c>
      <c r="B224" s="40" t="s">
        <v>1269</v>
      </c>
      <c r="C224" s="11" t="str">
        <f>IFERROR(__xludf.DUMMYFUNCTION("REGEXEXTRACT(B224,""[A-Z]{2,}"")"),"FMDS")</f>
        <v>FMDS</v>
      </c>
      <c r="D224" s="11" t="s">
        <v>48</v>
      </c>
      <c r="E224" s="11" t="s">
        <v>73</v>
      </c>
      <c r="F224" s="11" t="s">
        <v>50</v>
      </c>
      <c r="G224" s="11">
        <v>2.88</v>
      </c>
      <c r="H224" s="11">
        <v>157.0</v>
      </c>
    </row>
    <row r="225" ht="15.75" customHeight="1">
      <c r="A225" s="9">
        <v>224.0</v>
      </c>
      <c r="B225" s="40" t="s">
        <v>1276</v>
      </c>
      <c r="C225" s="11" t="str">
        <f>IFERROR(__xludf.DUMMYFUNCTION("REGEXEXTRACT(B225,""[A-Z]{2,}"")"),"FMDS")</f>
        <v>FMDS</v>
      </c>
      <c r="D225" s="11" t="s">
        <v>48</v>
      </c>
      <c r="E225" s="11" t="s">
        <v>73</v>
      </c>
      <c r="F225" s="11" t="s">
        <v>50</v>
      </c>
      <c r="G225" s="11">
        <v>0.63</v>
      </c>
      <c r="H225" s="11">
        <v>66.0</v>
      </c>
    </row>
    <row r="226" ht="15.75" customHeight="1">
      <c r="A226" s="9">
        <v>225.0</v>
      </c>
      <c r="B226" s="40" t="s">
        <v>1282</v>
      </c>
      <c r="C226" s="11" t="str">
        <f>IFERROR(__xludf.DUMMYFUNCTION("REGEXEXTRACT(B226,""[A-Z]{2,}"")"),"FMDS")</f>
        <v>FMDS</v>
      </c>
      <c r="D226" s="11" t="s">
        <v>48</v>
      </c>
      <c r="E226" s="11" t="s">
        <v>73</v>
      </c>
      <c r="F226" s="11" t="s">
        <v>50</v>
      </c>
      <c r="G226" s="11">
        <v>0.6</v>
      </c>
      <c r="H226" s="11">
        <v>62.0</v>
      </c>
    </row>
    <row r="227" ht="15.75" customHeight="1">
      <c r="A227" s="9">
        <v>226.0</v>
      </c>
      <c r="B227" s="40" t="s">
        <v>1294</v>
      </c>
      <c r="C227" s="11" t="str">
        <f>IFERROR(__xludf.DUMMYFUNCTION("REGEXEXTRACT(B227,""[A-Z]{2,}"")"),"FMDS")</f>
        <v>FMDS</v>
      </c>
      <c r="D227" s="11" t="s">
        <v>48</v>
      </c>
      <c r="E227" s="11" t="s">
        <v>73</v>
      </c>
      <c r="F227" s="11" t="s">
        <v>50</v>
      </c>
      <c r="G227" s="11">
        <v>2.0</v>
      </c>
      <c r="H227" s="11">
        <v>22.0</v>
      </c>
    </row>
    <row r="228" ht="15.75" customHeight="1">
      <c r="A228" s="9">
        <v>227.0</v>
      </c>
      <c r="B228" s="40" t="s">
        <v>1306</v>
      </c>
      <c r="C228" s="11" t="str">
        <f>IFERROR(__xludf.DUMMYFUNCTION("REGEXEXTRACT(B228,""[A-Z]{2,}"")"),"FMDS")</f>
        <v>FMDS</v>
      </c>
      <c r="D228" s="11" t="s">
        <v>48</v>
      </c>
      <c r="E228" s="11" t="s">
        <v>73</v>
      </c>
      <c r="F228" s="11" t="s">
        <v>50</v>
      </c>
      <c r="G228" s="11">
        <v>0.16</v>
      </c>
      <c r="H228" s="11">
        <v>10.0</v>
      </c>
    </row>
    <row r="229" ht="15.75" customHeight="1">
      <c r="A229" s="9">
        <v>228.0</v>
      </c>
      <c r="B229" s="40" t="s">
        <v>1312</v>
      </c>
      <c r="C229" s="11" t="str">
        <f>IFERROR(__xludf.DUMMYFUNCTION("REGEXEXTRACT(B229,""[A-Z]{2,}"")"),"FMDS")</f>
        <v>FMDS</v>
      </c>
      <c r="D229" s="11" t="s">
        <v>48</v>
      </c>
      <c r="E229" s="11" t="s">
        <v>73</v>
      </c>
      <c r="F229" s="11" t="s">
        <v>50</v>
      </c>
      <c r="G229" s="11">
        <v>0.1</v>
      </c>
      <c r="H229" s="11">
        <v>11.0</v>
      </c>
    </row>
    <row r="230" ht="15.75" customHeight="1">
      <c r="A230" s="9">
        <v>229.0</v>
      </c>
      <c r="B230" s="40" t="s">
        <v>1336</v>
      </c>
      <c r="C230" s="11" t="str">
        <f>IFERROR(__xludf.DUMMYFUNCTION("REGEXEXTRACT(B230,""[A-Z]{2,}"")"),"FMDS")</f>
        <v>FMDS</v>
      </c>
      <c r="D230" s="11" t="s">
        <v>48</v>
      </c>
      <c r="E230" s="11" t="s">
        <v>73</v>
      </c>
      <c r="F230" s="11" t="s">
        <v>50</v>
      </c>
      <c r="G230" s="11">
        <v>0.13</v>
      </c>
      <c r="H230" s="11">
        <v>26.0</v>
      </c>
    </row>
    <row r="231" ht="15.75" customHeight="1">
      <c r="A231" s="9">
        <v>230.0</v>
      </c>
      <c r="B231" s="40" t="s">
        <v>1342</v>
      </c>
      <c r="C231" s="11" t="str">
        <f>IFERROR(__xludf.DUMMYFUNCTION("REGEXEXTRACT(B231,""[A-Z]{2,}"")"),"FMDS")</f>
        <v>FMDS</v>
      </c>
      <c r="D231" s="11" t="s">
        <v>48</v>
      </c>
      <c r="E231" s="11" t="s">
        <v>73</v>
      </c>
      <c r="F231" s="11" t="s">
        <v>50</v>
      </c>
      <c r="G231" s="11">
        <v>0.28</v>
      </c>
      <c r="H231" s="11">
        <v>26.0</v>
      </c>
    </row>
    <row r="232" ht="15.75" customHeight="1">
      <c r="A232" s="9">
        <v>231.0</v>
      </c>
      <c r="B232" s="40" t="s">
        <v>1366</v>
      </c>
      <c r="C232" s="11" t="str">
        <f>IFERROR(__xludf.DUMMYFUNCTION("REGEXEXTRACT(B232,""[A-Z]{2,}"")"),"FMDS")</f>
        <v>FMDS</v>
      </c>
      <c r="D232" s="11" t="s">
        <v>48</v>
      </c>
      <c r="E232" s="11" t="s">
        <v>73</v>
      </c>
      <c r="F232" s="11" t="s">
        <v>50</v>
      </c>
      <c r="G232" s="11">
        <v>0.55</v>
      </c>
      <c r="H232" s="11">
        <v>16.0</v>
      </c>
    </row>
    <row r="233" ht="15.75" customHeight="1">
      <c r="A233" s="9">
        <v>232.0</v>
      </c>
      <c r="B233" s="40" t="s">
        <v>1372</v>
      </c>
      <c r="C233" s="11" t="str">
        <f>IFERROR(__xludf.DUMMYFUNCTION("REGEXEXTRACT(B233,""[A-Z]{2,}"")"),"FMDS")</f>
        <v>FMDS</v>
      </c>
      <c r="D233" s="11" t="s">
        <v>48</v>
      </c>
      <c r="E233" s="11" t="s">
        <v>73</v>
      </c>
      <c r="F233" s="11" t="s">
        <v>50</v>
      </c>
      <c r="G233" s="11">
        <v>0.31</v>
      </c>
      <c r="H233" s="11">
        <v>8.0</v>
      </c>
    </row>
    <row r="234" ht="15.75" customHeight="1">
      <c r="A234" s="9">
        <v>233.0</v>
      </c>
      <c r="B234" s="40" t="s">
        <v>1378</v>
      </c>
      <c r="C234" s="11" t="str">
        <f>IFERROR(__xludf.DUMMYFUNCTION("REGEXEXTRACT(B234,""[A-Z]{2,}"")"),"FMDS")</f>
        <v>FMDS</v>
      </c>
      <c r="D234" s="11" t="s">
        <v>48</v>
      </c>
      <c r="E234" s="11" t="s">
        <v>73</v>
      </c>
      <c r="F234" s="11" t="s">
        <v>50</v>
      </c>
      <c r="G234" s="11">
        <v>0.23</v>
      </c>
      <c r="H234" s="11">
        <v>17.0</v>
      </c>
    </row>
    <row r="235" ht="15.75" customHeight="1">
      <c r="A235" s="9">
        <v>234.0</v>
      </c>
      <c r="B235" s="40" t="s">
        <v>1384</v>
      </c>
      <c r="C235" s="11" t="str">
        <f>IFERROR(__xludf.DUMMYFUNCTION("REGEXEXTRACT(B235,""[A-Z]{2,}"")"),"FMDS")</f>
        <v>FMDS</v>
      </c>
      <c r="D235" s="11" t="s">
        <v>48</v>
      </c>
      <c r="E235" s="11" t="s">
        <v>73</v>
      </c>
      <c r="F235" s="11" t="s">
        <v>50</v>
      </c>
      <c r="G235" s="11">
        <v>0.63</v>
      </c>
      <c r="H235" s="11">
        <v>34.0</v>
      </c>
    </row>
    <row r="236" ht="15.75" customHeight="1">
      <c r="A236" s="9">
        <v>235.0</v>
      </c>
      <c r="B236" s="40" t="s">
        <v>1390</v>
      </c>
      <c r="C236" s="11" t="str">
        <f>IFERROR(__xludf.DUMMYFUNCTION("REGEXEXTRACT(B236,""[A-Z]{2,}"")"),"FMDS")</f>
        <v>FMDS</v>
      </c>
      <c r="D236" s="11" t="s">
        <v>48</v>
      </c>
      <c r="E236" s="11" t="s">
        <v>73</v>
      </c>
      <c r="F236" s="11" t="s">
        <v>50</v>
      </c>
      <c r="G236" s="11">
        <v>0.09</v>
      </c>
      <c r="H236" s="11">
        <v>10.0</v>
      </c>
    </row>
    <row r="237" ht="15.75" customHeight="1">
      <c r="A237" s="9">
        <v>236.0</v>
      </c>
      <c r="B237" s="40" t="s">
        <v>1408</v>
      </c>
      <c r="C237" s="11" t="str">
        <f>IFERROR(__xludf.DUMMYFUNCTION("REGEXEXTRACT(B237,""[A-Z]{2,}"")"),"FMDS")</f>
        <v>FMDS</v>
      </c>
      <c r="D237" s="11" t="s">
        <v>48</v>
      </c>
      <c r="E237" s="11" t="s">
        <v>73</v>
      </c>
      <c r="F237" s="11" t="s">
        <v>50</v>
      </c>
      <c r="G237" s="11">
        <v>3.48</v>
      </c>
      <c r="H237" s="11">
        <v>15.0</v>
      </c>
    </row>
    <row r="238" ht="15.75" customHeight="1">
      <c r="A238" s="9">
        <v>237.0</v>
      </c>
      <c r="B238" s="40" t="s">
        <v>1414</v>
      </c>
      <c r="C238" s="11" t="str">
        <f>IFERROR(__xludf.DUMMYFUNCTION("REGEXEXTRACT(B238,""[A-Z]{2,}"")"),"FMDS")</f>
        <v>FMDS</v>
      </c>
      <c r="D238" s="11" t="s">
        <v>48</v>
      </c>
      <c r="E238" s="11" t="s">
        <v>73</v>
      </c>
      <c r="F238" s="11" t="s">
        <v>50</v>
      </c>
      <c r="G238" s="11">
        <v>0.09</v>
      </c>
      <c r="H238" s="11">
        <v>17.0</v>
      </c>
    </row>
    <row r="239" ht="15.75" customHeight="1">
      <c r="A239" s="9">
        <v>238.0</v>
      </c>
      <c r="B239" s="40" t="s">
        <v>1427</v>
      </c>
      <c r="C239" s="11" t="str">
        <f>IFERROR(__xludf.DUMMYFUNCTION("REGEXEXTRACT(B239,""[A-Z]{2,}"")"),"FMDS")</f>
        <v>FMDS</v>
      </c>
      <c r="D239" s="11" t="s">
        <v>48</v>
      </c>
      <c r="E239" s="11" t="s">
        <v>73</v>
      </c>
      <c r="F239" s="11" t="s">
        <v>50</v>
      </c>
      <c r="G239" s="11">
        <v>0.11</v>
      </c>
      <c r="H239" s="11">
        <v>10.0</v>
      </c>
    </row>
    <row r="240" ht="15.75" customHeight="1">
      <c r="A240" s="9">
        <v>239.0</v>
      </c>
      <c r="B240" s="40" t="s">
        <v>1451</v>
      </c>
      <c r="C240" s="11" t="str">
        <f>IFERROR(__xludf.DUMMYFUNCTION("REGEXEXTRACT(B240,""[A-Z]{2,}"")"),"FMDS")</f>
        <v>FMDS</v>
      </c>
      <c r="D240" s="11" t="s">
        <v>48</v>
      </c>
      <c r="E240" s="11" t="s">
        <v>73</v>
      </c>
      <c r="F240" s="11" t="s">
        <v>50</v>
      </c>
      <c r="G240" s="11">
        <v>0.47</v>
      </c>
      <c r="H240" s="11">
        <v>43.0</v>
      </c>
    </row>
    <row r="241" ht="15.75" customHeight="1">
      <c r="A241" s="9">
        <v>240.0</v>
      </c>
      <c r="B241" s="40" t="s">
        <v>1475</v>
      </c>
      <c r="C241" s="11" t="str">
        <f>IFERROR(__xludf.DUMMYFUNCTION("REGEXEXTRACT(B241,""[A-Z]{2,}"")"),"FMDS")</f>
        <v>FMDS</v>
      </c>
      <c r="D241" s="11" t="s">
        <v>48</v>
      </c>
      <c r="E241" s="11" t="s">
        <v>73</v>
      </c>
      <c r="F241" s="11" t="s">
        <v>50</v>
      </c>
      <c r="G241" s="11">
        <v>0.05</v>
      </c>
      <c r="H241" s="11">
        <v>4.0</v>
      </c>
    </row>
    <row r="242" ht="15.75" customHeight="1">
      <c r="A242" s="9">
        <v>241.0</v>
      </c>
      <c r="B242" s="40" t="s">
        <v>1487</v>
      </c>
      <c r="C242" s="11" t="str">
        <f>IFERROR(__xludf.DUMMYFUNCTION("REGEXEXTRACT(B242,""[A-Z]{2,}"")"),"FMDS")</f>
        <v>FMDS</v>
      </c>
      <c r="D242" s="11" t="s">
        <v>48</v>
      </c>
      <c r="E242" s="11" t="s">
        <v>73</v>
      </c>
      <c r="F242" s="11" t="s">
        <v>50</v>
      </c>
      <c r="G242" s="11">
        <v>0.23</v>
      </c>
      <c r="H242" s="11">
        <v>16.0</v>
      </c>
    </row>
    <row r="243" ht="15.75" customHeight="1">
      <c r="A243" s="9">
        <v>242.0</v>
      </c>
      <c r="B243" s="40" t="s">
        <v>1493</v>
      </c>
      <c r="C243" s="11" t="str">
        <f>IFERROR(__xludf.DUMMYFUNCTION("REGEXEXTRACT(B243,""[A-Z]{2,}"")"),"FMDS")</f>
        <v>FMDS</v>
      </c>
      <c r="D243" s="11" t="s">
        <v>48</v>
      </c>
      <c r="E243" s="11" t="s">
        <v>73</v>
      </c>
      <c r="F243" s="11" t="s">
        <v>50</v>
      </c>
      <c r="G243" s="11">
        <v>0.5</v>
      </c>
      <c r="H243" s="11">
        <v>22.0</v>
      </c>
    </row>
    <row r="244" ht="15.75" customHeight="1">
      <c r="A244" s="9">
        <v>243.0</v>
      </c>
      <c r="B244" s="40" t="s">
        <v>1505</v>
      </c>
      <c r="C244" s="11" t="str">
        <f>IFERROR(__xludf.DUMMYFUNCTION("REGEXEXTRACT(B244,""[A-Z]{2,}"")"),"FMDS")</f>
        <v>FMDS</v>
      </c>
      <c r="D244" s="11" t="s">
        <v>48</v>
      </c>
      <c r="E244" s="11" t="s">
        <v>73</v>
      </c>
      <c r="F244" s="11" t="s">
        <v>50</v>
      </c>
      <c r="G244" s="11">
        <v>0.48</v>
      </c>
      <c r="H244" s="11">
        <v>27.0</v>
      </c>
    </row>
    <row r="245" ht="15.75" customHeight="1">
      <c r="A245" s="9">
        <v>244.0</v>
      </c>
      <c r="B245" s="40" t="s">
        <v>1511</v>
      </c>
      <c r="C245" s="11" t="str">
        <f>IFERROR(__xludf.DUMMYFUNCTION("REGEXEXTRACT(B245,""[A-Z]{2,}"")"),"FMDS")</f>
        <v>FMDS</v>
      </c>
      <c r="D245" s="11" t="s">
        <v>48</v>
      </c>
      <c r="E245" s="11" t="s">
        <v>73</v>
      </c>
      <c r="F245" s="11" t="s">
        <v>50</v>
      </c>
      <c r="G245" s="11">
        <v>0.13</v>
      </c>
      <c r="H245" s="11">
        <v>17.0</v>
      </c>
    </row>
    <row r="246" ht="15.75" customHeight="1">
      <c r="A246" s="9">
        <v>245.0</v>
      </c>
      <c r="B246" s="40" t="s">
        <v>1523</v>
      </c>
      <c r="C246" s="11" t="str">
        <f>IFERROR(__xludf.DUMMYFUNCTION("REGEXEXTRACT(B246,""[A-Z]{2,}"")"),"FMDS")</f>
        <v>FMDS</v>
      </c>
      <c r="D246" s="11" t="s">
        <v>48</v>
      </c>
      <c r="E246" s="11" t="s">
        <v>73</v>
      </c>
      <c r="F246" s="11" t="s">
        <v>50</v>
      </c>
      <c r="G246" s="11">
        <v>1.56</v>
      </c>
      <c r="H246" s="11">
        <v>29.0</v>
      </c>
    </row>
    <row r="247" ht="15.75" customHeight="1">
      <c r="A247" s="9">
        <v>246.0</v>
      </c>
      <c r="B247" s="40" t="s">
        <v>1541</v>
      </c>
      <c r="C247" s="11" t="str">
        <f>IFERROR(__xludf.DUMMYFUNCTION("REGEXEXTRACT(B247,""[A-Z]{2,}"")"),"FMDS")</f>
        <v>FMDS</v>
      </c>
      <c r="D247" s="11" t="s">
        <v>48</v>
      </c>
      <c r="E247" s="11" t="s">
        <v>73</v>
      </c>
      <c r="F247" s="11" t="s">
        <v>50</v>
      </c>
      <c r="G247" s="11">
        <v>1.01</v>
      </c>
      <c r="H247" s="11">
        <v>34.0</v>
      </c>
    </row>
    <row r="248" ht="15.75" customHeight="1">
      <c r="A248" s="9">
        <v>247.0</v>
      </c>
      <c r="B248" s="40" t="s">
        <v>1547</v>
      </c>
      <c r="C248" s="11" t="str">
        <f>IFERROR(__xludf.DUMMYFUNCTION("REGEXEXTRACT(B248,""[A-Z]{2,}"")"),"FMDS")</f>
        <v>FMDS</v>
      </c>
      <c r="D248" s="11" t="s">
        <v>48</v>
      </c>
      <c r="E248" s="11" t="s">
        <v>73</v>
      </c>
      <c r="F248" s="11" t="s">
        <v>50</v>
      </c>
      <c r="G248" s="11">
        <v>0.86</v>
      </c>
      <c r="H248" s="11">
        <v>23.0</v>
      </c>
    </row>
    <row r="249" ht="15.75" customHeight="1">
      <c r="A249" s="9">
        <v>248.0</v>
      </c>
      <c r="B249" s="40" t="s">
        <v>1554</v>
      </c>
      <c r="C249" s="11" t="str">
        <f>IFERROR(__xludf.DUMMYFUNCTION("REGEXEXTRACT(B249,""[A-Z]{2,}"")"),"FMDS")</f>
        <v>FMDS</v>
      </c>
      <c r="D249" s="11" t="s">
        <v>48</v>
      </c>
      <c r="E249" s="11" t="s">
        <v>73</v>
      </c>
      <c r="F249" s="11" t="s">
        <v>50</v>
      </c>
      <c r="G249" s="11">
        <v>0.86</v>
      </c>
      <c r="H249" s="11">
        <v>20.0</v>
      </c>
    </row>
    <row r="250" ht="15.75" customHeight="1">
      <c r="A250" s="9">
        <v>249.0</v>
      </c>
      <c r="B250" s="40" t="s">
        <v>1566</v>
      </c>
      <c r="C250" s="11" t="str">
        <f>IFERROR(__xludf.DUMMYFUNCTION("REGEXEXTRACT(B250,""[A-Z]{2,}"")"),"FMDS")</f>
        <v>FMDS</v>
      </c>
      <c r="D250" s="11" t="s">
        <v>48</v>
      </c>
      <c r="E250" s="11" t="s">
        <v>73</v>
      </c>
      <c r="F250" s="11" t="s">
        <v>50</v>
      </c>
      <c r="G250" s="11">
        <v>2.39</v>
      </c>
      <c r="H250" s="11">
        <v>100.0</v>
      </c>
    </row>
    <row r="251" ht="15.75" customHeight="1">
      <c r="A251" s="9">
        <v>250.0</v>
      </c>
      <c r="B251" s="40" t="s">
        <v>1572</v>
      </c>
      <c r="C251" s="11" t="str">
        <f>IFERROR(__xludf.DUMMYFUNCTION("REGEXEXTRACT(B251,""[A-Z]{2,}"")"),"FMDS")</f>
        <v>FMDS</v>
      </c>
      <c r="D251" s="11" t="s">
        <v>48</v>
      </c>
      <c r="E251" s="11" t="s">
        <v>73</v>
      </c>
      <c r="F251" s="11" t="s">
        <v>50</v>
      </c>
      <c r="G251" s="11">
        <v>0.07</v>
      </c>
      <c r="H251" s="11">
        <v>7.0</v>
      </c>
    </row>
    <row r="252" ht="15.75" customHeight="1">
      <c r="A252" s="9">
        <v>251.0</v>
      </c>
      <c r="B252" s="40" t="s">
        <v>1584</v>
      </c>
      <c r="C252" s="11" t="str">
        <f>IFERROR(__xludf.DUMMYFUNCTION("REGEXEXTRACT(B252,""[A-Z]{2,}"")"),"FMDS")</f>
        <v>FMDS</v>
      </c>
      <c r="D252" s="11" t="s">
        <v>48</v>
      </c>
      <c r="E252" s="11" t="s">
        <v>73</v>
      </c>
      <c r="F252" s="11" t="s">
        <v>50</v>
      </c>
      <c r="G252" s="11">
        <v>0.29</v>
      </c>
      <c r="H252" s="11">
        <v>20.0</v>
      </c>
    </row>
    <row r="253" ht="15.75" customHeight="1">
      <c r="A253" s="9">
        <v>252.0</v>
      </c>
      <c r="B253" s="40" t="s">
        <v>1596</v>
      </c>
      <c r="C253" s="11" t="str">
        <f>IFERROR(__xludf.DUMMYFUNCTION("REGEXEXTRACT(B253,""[A-Z]{2,}"")"),"FMDS")</f>
        <v>FMDS</v>
      </c>
      <c r="D253" s="11" t="s">
        <v>48</v>
      </c>
      <c r="E253" s="11" t="s">
        <v>73</v>
      </c>
      <c r="F253" s="11" t="s">
        <v>50</v>
      </c>
      <c r="G253" s="11">
        <v>0.13</v>
      </c>
      <c r="H253" s="11">
        <v>31.0</v>
      </c>
    </row>
    <row r="254" ht="15.75" customHeight="1">
      <c r="A254" s="9">
        <v>253.0</v>
      </c>
      <c r="B254" s="40" t="s">
        <v>1614</v>
      </c>
      <c r="C254" s="11" t="str">
        <f>IFERROR(__xludf.DUMMYFUNCTION("REGEXEXTRACT(B254,""[A-Z]{2,}"")"),"FMDS")</f>
        <v>FMDS</v>
      </c>
      <c r="D254" s="11" t="s">
        <v>48</v>
      </c>
      <c r="E254" s="11" t="s">
        <v>73</v>
      </c>
      <c r="F254" s="11" t="s">
        <v>50</v>
      </c>
      <c r="G254" s="11">
        <v>0.16</v>
      </c>
      <c r="H254" s="11">
        <v>12.0</v>
      </c>
    </row>
    <row r="255" ht="15.75" customHeight="1">
      <c r="A255" s="9">
        <v>254.0</v>
      </c>
      <c r="B255" s="40" t="s">
        <v>1620</v>
      </c>
      <c r="C255" s="11" t="str">
        <f>IFERROR(__xludf.DUMMYFUNCTION("REGEXEXTRACT(B255,""[A-Z]{2,}"")"),"FMDS")</f>
        <v>FMDS</v>
      </c>
      <c r="D255" s="11" t="s">
        <v>48</v>
      </c>
      <c r="E255" s="11" t="s">
        <v>73</v>
      </c>
      <c r="F255" s="11" t="s">
        <v>50</v>
      </c>
      <c r="G255" s="11">
        <v>0.12</v>
      </c>
      <c r="H255" s="11">
        <v>8.0</v>
      </c>
    </row>
    <row r="256" ht="15.75" customHeight="1">
      <c r="A256" s="9">
        <v>255.0</v>
      </c>
      <c r="B256" s="40" t="s">
        <v>1626</v>
      </c>
      <c r="C256" s="11" t="str">
        <f>IFERROR(__xludf.DUMMYFUNCTION("REGEXEXTRACT(B256,""[A-Z]{2,}"")"),"FMDS")</f>
        <v>FMDS</v>
      </c>
      <c r="D256" s="11" t="s">
        <v>48</v>
      </c>
      <c r="E256" s="11" t="s">
        <v>73</v>
      </c>
      <c r="F256" s="11" t="s">
        <v>50</v>
      </c>
      <c r="G256" s="11">
        <v>0.4</v>
      </c>
      <c r="H256" s="11">
        <v>18.0</v>
      </c>
    </row>
    <row r="257" ht="15.75" customHeight="1">
      <c r="A257" s="9">
        <v>256.0</v>
      </c>
      <c r="B257" s="40" t="s">
        <v>1638</v>
      </c>
      <c r="C257" s="11" t="str">
        <f>IFERROR(__xludf.DUMMYFUNCTION("REGEXEXTRACT(B257,""[A-Z]{2,}"")"),"FMDS")</f>
        <v>FMDS</v>
      </c>
      <c r="D257" s="11" t="s">
        <v>48</v>
      </c>
      <c r="E257" s="11" t="s">
        <v>73</v>
      </c>
      <c r="F257" s="11" t="s">
        <v>50</v>
      </c>
      <c r="G257" s="11">
        <v>0.34</v>
      </c>
      <c r="H257" s="11">
        <v>47.0</v>
      </c>
    </row>
    <row r="258" ht="15.75" customHeight="1">
      <c r="A258" s="9">
        <v>257.0</v>
      </c>
      <c r="B258" s="40" t="s">
        <v>1645</v>
      </c>
      <c r="C258" s="11" t="str">
        <f>IFERROR(__xludf.DUMMYFUNCTION("REGEXEXTRACT(B258,""[A-Z]{2,}"")"),"FMDS")</f>
        <v>FMDS</v>
      </c>
      <c r="D258" s="11" t="s">
        <v>48</v>
      </c>
      <c r="E258" s="11" t="s">
        <v>73</v>
      </c>
      <c r="F258" s="11" t="s">
        <v>50</v>
      </c>
      <c r="G258" s="11">
        <v>0.23</v>
      </c>
      <c r="H258" s="11">
        <v>31.0</v>
      </c>
    </row>
    <row r="259" ht="15.75" customHeight="1">
      <c r="A259" s="9">
        <v>258.0</v>
      </c>
      <c r="B259" s="40" t="s">
        <v>1651</v>
      </c>
      <c r="C259" s="11" t="str">
        <f>IFERROR(__xludf.DUMMYFUNCTION("REGEXEXTRACT(B259,""[A-Z]{2,}"")"),"FMDS")</f>
        <v>FMDS</v>
      </c>
      <c r="D259" s="11" t="s">
        <v>48</v>
      </c>
      <c r="E259" s="11" t="s">
        <v>73</v>
      </c>
      <c r="F259" s="11" t="s">
        <v>50</v>
      </c>
      <c r="G259" s="11">
        <v>0.51</v>
      </c>
      <c r="H259" s="11">
        <v>15.0</v>
      </c>
    </row>
    <row r="260" ht="15.75" customHeight="1">
      <c r="A260" s="9">
        <v>259.0</v>
      </c>
      <c r="B260" s="40" t="s">
        <v>1687</v>
      </c>
      <c r="C260" s="11" t="str">
        <f>IFERROR(__xludf.DUMMYFUNCTION("REGEXEXTRACT(B260,""[A-Z]{2,}"")"),"FMDS")</f>
        <v>FMDS</v>
      </c>
      <c r="D260" s="11" t="s">
        <v>48</v>
      </c>
      <c r="E260" s="11" t="s">
        <v>73</v>
      </c>
      <c r="F260" s="11" t="s">
        <v>50</v>
      </c>
      <c r="G260" s="11">
        <v>0.14</v>
      </c>
      <c r="H260" s="11">
        <v>31.0</v>
      </c>
    </row>
    <row r="261" ht="15.75" customHeight="1">
      <c r="A261" s="9">
        <v>260.0</v>
      </c>
      <c r="B261" s="40" t="s">
        <v>1693</v>
      </c>
      <c r="C261" s="11" t="str">
        <f>IFERROR(__xludf.DUMMYFUNCTION("REGEXEXTRACT(B261,""[A-Z]{2,}"")"),"FMDS")</f>
        <v>FMDS</v>
      </c>
      <c r="D261" s="11" t="s">
        <v>48</v>
      </c>
      <c r="E261" s="11" t="s">
        <v>73</v>
      </c>
      <c r="F261" s="11" t="s">
        <v>50</v>
      </c>
      <c r="G261" s="11">
        <v>0.55</v>
      </c>
      <c r="H261" s="11">
        <v>30.0</v>
      </c>
    </row>
    <row r="262" ht="15.75" customHeight="1">
      <c r="A262" s="9">
        <v>261.0</v>
      </c>
      <c r="B262" s="40" t="s">
        <v>1699</v>
      </c>
      <c r="C262" s="11" t="str">
        <f>IFERROR(__xludf.DUMMYFUNCTION("REGEXEXTRACT(B262,""[A-Z]{2,}"")"),"FMDS")</f>
        <v>FMDS</v>
      </c>
      <c r="D262" s="11" t="s">
        <v>48</v>
      </c>
      <c r="E262" s="11" t="s">
        <v>73</v>
      </c>
      <c r="F262" s="11" t="s">
        <v>50</v>
      </c>
      <c r="G262" s="11">
        <v>0.06</v>
      </c>
      <c r="H262" s="11">
        <v>7.0</v>
      </c>
    </row>
    <row r="263" ht="15.75" customHeight="1">
      <c r="A263" s="9">
        <v>262.0</v>
      </c>
      <c r="B263" s="40" t="s">
        <v>1705</v>
      </c>
      <c r="C263" s="11" t="str">
        <f>IFERROR(__xludf.DUMMYFUNCTION("REGEXEXTRACT(B263,""[A-Z]{2,}"")"),"FMDS")</f>
        <v>FMDS</v>
      </c>
      <c r="D263" s="11" t="s">
        <v>48</v>
      </c>
      <c r="E263" s="11" t="s">
        <v>73</v>
      </c>
      <c r="F263" s="11" t="s">
        <v>50</v>
      </c>
      <c r="G263" s="11">
        <v>0.1</v>
      </c>
      <c r="H263" s="11">
        <v>8.0</v>
      </c>
    </row>
    <row r="264" ht="15.75" customHeight="1">
      <c r="A264" s="9">
        <v>263.0</v>
      </c>
      <c r="B264" s="40" t="s">
        <v>1711</v>
      </c>
      <c r="C264" s="11" t="str">
        <f>IFERROR(__xludf.DUMMYFUNCTION("REGEXEXTRACT(B264,""[A-Z]{2,}"")"),"FMDS")</f>
        <v>FMDS</v>
      </c>
      <c r="D264" s="11" t="s">
        <v>48</v>
      </c>
      <c r="E264" s="11" t="s">
        <v>73</v>
      </c>
      <c r="F264" s="11" t="s">
        <v>50</v>
      </c>
      <c r="G264" s="11">
        <v>0.09</v>
      </c>
      <c r="H264" s="11">
        <v>14.0</v>
      </c>
    </row>
    <row r="265" ht="15.75" customHeight="1">
      <c r="A265" s="9">
        <v>264.0</v>
      </c>
      <c r="B265" s="40" t="s">
        <v>1717</v>
      </c>
      <c r="C265" s="11" t="str">
        <f>IFERROR(__xludf.DUMMYFUNCTION("REGEXEXTRACT(B265,""[A-Z]{2,}"")"),"FMDS")</f>
        <v>FMDS</v>
      </c>
      <c r="D265" s="11" t="s">
        <v>48</v>
      </c>
      <c r="E265" s="11" t="s">
        <v>73</v>
      </c>
      <c r="F265" s="11" t="s">
        <v>50</v>
      </c>
      <c r="G265" s="11">
        <v>0.6</v>
      </c>
      <c r="H265" s="11">
        <v>8.0</v>
      </c>
    </row>
    <row r="266" ht="15.75" customHeight="1">
      <c r="A266" s="9">
        <v>265.0</v>
      </c>
      <c r="B266" s="40" t="s">
        <v>1729</v>
      </c>
      <c r="C266" s="11" t="str">
        <f>IFERROR(__xludf.DUMMYFUNCTION("REGEXEXTRACT(B266,""[A-Z]{2,}"")"),"FMDS")</f>
        <v>FMDS</v>
      </c>
      <c r="D266" s="11" t="s">
        <v>48</v>
      </c>
      <c r="E266" s="11" t="s">
        <v>73</v>
      </c>
      <c r="F266" s="11" t="s">
        <v>50</v>
      </c>
      <c r="G266" s="11">
        <v>1.29</v>
      </c>
      <c r="H266" s="11">
        <v>44.0</v>
      </c>
    </row>
    <row r="267" ht="15.75" customHeight="1">
      <c r="A267" s="9">
        <v>266.0</v>
      </c>
      <c r="B267" s="40" t="s">
        <v>1747</v>
      </c>
      <c r="C267" s="11" t="str">
        <f>IFERROR(__xludf.DUMMYFUNCTION("REGEXEXTRACT(B267,""[A-Z]{2,}"")"),"FMDS")</f>
        <v>FMDS</v>
      </c>
      <c r="D267" s="11" t="s">
        <v>48</v>
      </c>
      <c r="E267" s="11" t="s">
        <v>73</v>
      </c>
      <c r="F267" s="11" t="s">
        <v>50</v>
      </c>
      <c r="G267" s="11">
        <v>0.13</v>
      </c>
      <c r="H267" s="11">
        <v>13.0</v>
      </c>
    </row>
    <row r="268" ht="15.75" customHeight="1">
      <c r="A268" s="9">
        <v>267.0</v>
      </c>
      <c r="B268" s="40" t="s">
        <v>1789</v>
      </c>
      <c r="C268" s="11" t="str">
        <f>IFERROR(__xludf.DUMMYFUNCTION("REGEXEXTRACT(B268,""[A-Z]{2,}"")"),"FMDS")</f>
        <v>FMDS</v>
      </c>
      <c r="D268" s="11" t="s">
        <v>48</v>
      </c>
      <c r="E268" s="11" t="s">
        <v>73</v>
      </c>
      <c r="F268" s="11" t="s">
        <v>50</v>
      </c>
      <c r="G268" s="11">
        <v>0.22</v>
      </c>
      <c r="H268" s="11">
        <v>20.0</v>
      </c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2.13"/>
    <col customWidth="1" min="2" max="2" width="8.25"/>
    <col customWidth="1" min="3" max="3" width="8.38"/>
    <col customWidth="1" min="4" max="4" width="9.0"/>
    <col customWidth="1" min="5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